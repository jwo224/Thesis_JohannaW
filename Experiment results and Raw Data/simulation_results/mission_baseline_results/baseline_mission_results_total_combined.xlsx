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han\Desktop\Master Thesis\Experiment results and Raw Data\simulation_results\mission_baseline_results\"/>
    </mc:Choice>
  </mc:AlternateContent>
  <xr:revisionPtr revIDLastSave="0" documentId="13_ncr:1_{6E1B153C-26B8-4002-B316-3F2E54301C7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1" r:id="rId1"/>
    <sheet name="baseline_mission_results (2)" sheetId="2" r:id="rId2"/>
    <sheet name="baseline_mission_results_with_a" sheetId="3" r:id="rId3"/>
    <sheet name="Tabelle2" sheetId="7" r:id="rId4"/>
    <sheet name="Combined Mission Data" sheetId="4" r:id="rId5"/>
  </sheets>
  <definedNames>
    <definedName name="ExterneDaten_1" localSheetId="2" hidden="1">baseline_mission_results_with_a!#REF!</definedName>
    <definedName name="ExterneDaten_2" localSheetId="1" hidden="1">'baseline_mission_results (2)'!#REF!</definedName>
    <definedName name="ExterneDaten_2" localSheetId="2" hidden="1">baseline_mission_results_with_a!#REF!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J7" i="1"/>
  <c r="I7" i="1"/>
  <c r="I5" i="1"/>
  <c r="C26" i="1"/>
  <c r="C27" i="1"/>
  <c r="C28" i="1"/>
  <c r="C29" i="1"/>
  <c r="C30" i="1"/>
  <c r="C31" i="1" a="1"/>
  <c r="C31" i="1" s="1"/>
  <c r="C32" i="1" a="1"/>
  <c r="C32" i="1" s="1"/>
  <c r="C33" i="1" a="1"/>
  <c r="C33" i="1" s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C2" i="3"/>
  <c r="CB2" i="3"/>
  <c r="CA2" i="3"/>
  <c r="BZ2" i="3"/>
  <c r="BY2" i="3"/>
  <c r="BX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J13" i="1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2" i="4"/>
  <c r="L2" i="4"/>
  <c r="M2" i="4"/>
  <c r="N2" i="4"/>
  <c r="L3" i="4"/>
  <c r="M3" i="4"/>
  <c r="N3" i="4"/>
  <c r="L4" i="4"/>
  <c r="M4" i="4"/>
  <c r="N4" i="4"/>
  <c r="L5" i="4"/>
  <c r="M5" i="4"/>
  <c r="N5" i="4"/>
  <c r="L6" i="4"/>
  <c r="M6" i="4"/>
  <c r="N6" i="4"/>
  <c r="L7" i="4"/>
  <c r="M7" i="4"/>
  <c r="N7" i="4"/>
  <c r="L8" i="4"/>
  <c r="M8" i="4"/>
  <c r="N8" i="4"/>
  <c r="L9" i="4"/>
  <c r="M9" i="4"/>
  <c r="N9" i="4"/>
  <c r="L10" i="4"/>
  <c r="M10" i="4"/>
  <c r="N10" i="4"/>
  <c r="L11" i="4"/>
  <c r="M11" i="4"/>
  <c r="N11" i="4"/>
  <c r="L12" i="4"/>
  <c r="M12" i="4"/>
  <c r="N12" i="4"/>
  <c r="L13" i="4"/>
  <c r="M13" i="4"/>
  <c r="N13" i="4"/>
  <c r="L14" i="4"/>
  <c r="M14" i="4"/>
  <c r="N14" i="4"/>
  <c r="L15" i="4"/>
  <c r="M15" i="4"/>
  <c r="N15" i="4"/>
  <c r="L16" i="4"/>
  <c r="M16" i="4"/>
  <c r="N16" i="4"/>
  <c r="L17" i="4"/>
  <c r="M17" i="4"/>
  <c r="N17" i="4"/>
  <c r="L18" i="4"/>
  <c r="M18" i="4"/>
  <c r="N18" i="4"/>
  <c r="L19" i="4"/>
  <c r="M19" i="4"/>
  <c r="N19" i="4"/>
  <c r="L20" i="4"/>
  <c r="M20" i="4"/>
  <c r="N20" i="4"/>
  <c r="L21" i="4"/>
  <c r="M21" i="4"/>
  <c r="N21" i="4"/>
  <c r="L22" i="4"/>
  <c r="M22" i="4"/>
  <c r="N22" i="4"/>
  <c r="L23" i="4"/>
  <c r="M23" i="4"/>
  <c r="N23" i="4"/>
  <c r="L24" i="4"/>
  <c r="M24" i="4"/>
  <c r="N24" i="4"/>
  <c r="L25" i="4"/>
  <c r="M25" i="4"/>
  <c r="N25" i="4"/>
  <c r="L26" i="4"/>
  <c r="M26" i="4"/>
  <c r="N26" i="4"/>
  <c r="L27" i="4"/>
  <c r="M27" i="4"/>
  <c r="N27" i="4"/>
  <c r="L28" i="4"/>
  <c r="M28" i="4"/>
  <c r="N28" i="4"/>
  <c r="L29" i="4"/>
  <c r="M29" i="4"/>
  <c r="N29" i="4"/>
  <c r="L30" i="4"/>
  <c r="M30" i="4"/>
  <c r="N30" i="4"/>
  <c r="L31" i="4"/>
  <c r="M31" i="4"/>
  <c r="N31" i="4"/>
  <c r="L32" i="4"/>
  <c r="M32" i="4"/>
  <c r="N32" i="4"/>
  <c r="L33" i="4"/>
  <c r="M33" i="4"/>
  <c r="N33" i="4"/>
  <c r="L34" i="4"/>
  <c r="M34" i="4"/>
  <c r="N34" i="4"/>
  <c r="L35" i="4"/>
  <c r="M35" i="4"/>
  <c r="N35" i="4"/>
  <c r="L36" i="4"/>
  <c r="M36" i="4"/>
  <c r="N36" i="4"/>
  <c r="L37" i="4"/>
  <c r="M37" i="4"/>
  <c r="N37" i="4"/>
  <c r="L38" i="4"/>
  <c r="M38" i="4"/>
  <c r="N38" i="4"/>
  <c r="L39" i="4"/>
  <c r="M39" i="4"/>
  <c r="N39" i="4"/>
  <c r="L40" i="4"/>
  <c r="M40" i="4"/>
  <c r="N40" i="4"/>
  <c r="L41" i="4"/>
  <c r="M41" i="4"/>
  <c r="N41" i="4"/>
  <c r="L42" i="4"/>
  <c r="M42" i="4"/>
  <c r="N42" i="4"/>
  <c r="L43" i="4"/>
  <c r="M43" i="4"/>
  <c r="N43" i="4"/>
  <c r="L44" i="4"/>
  <c r="M44" i="4"/>
  <c r="N44" i="4"/>
  <c r="L45" i="4"/>
  <c r="M45" i="4"/>
  <c r="N45" i="4"/>
  <c r="L46" i="4"/>
  <c r="M46" i="4"/>
  <c r="N46" i="4"/>
  <c r="L47" i="4"/>
  <c r="M47" i="4"/>
  <c r="N47" i="4"/>
  <c r="L48" i="4"/>
  <c r="M48" i="4"/>
  <c r="N48" i="4"/>
  <c r="L49" i="4"/>
  <c r="M49" i="4"/>
  <c r="N49" i="4"/>
  <c r="L50" i="4"/>
  <c r="M50" i="4"/>
  <c r="N50" i="4"/>
  <c r="L51" i="4"/>
  <c r="M51" i="4"/>
  <c r="N51" i="4"/>
  <c r="L52" i="4"/>
  <c r="M52" i="4"/>
  <c r="N52" i="4"/>
  <c r="L53" i="4"/>
  <c r="M53" i="4"/>
  <c r="N53" i="4"/>
  <c r="L54" i="4"/>
  <c r="M54" i="4"/>
  <c r="N54" i="4"/>
  <c r="L55" i="4"/>
  <c r="M55" i="4"/>
  <c r="N55" i="4"/>
  <c r="L56" i="4"/>
  <c r="M56" i="4"/>
  <c r="N56" i="4"/>
  <c r="L57" i="4"/>
  <c r="M57" i="4"/>
  <c r="N57" i="4"/>
  <c r="L58" i="4"/>
  <c r="M58" i="4"/>
  <c r="N58" i="4"/>
  <c r="L59" i="4"/>
  <c r="M59" i="4"/>
  <c r="N59" i="4"/>
  <c r="L60" i="4"/>
  <c r="M60" i="4"/>
  <c r="N60" i="4"/>
  <c r="L61" i="4"/>
  <c r="M61" i="4"/>
  <c r="N61" i="4"/>
  <c r="L62" i="4"/>
  <c r="M62" i="4"/>
  <c r="N62" i="4"/>
  <c r="L63" i="4"/>
  <c r="M63" i="4"/>
  <c r="N63" i="4"/>
  <c r="L64" i="4"/>
  <c r="M64" i="4"/>
  <c r="N64" i="4"/>
  <c r="L65" i="4"/>
  <c r="M65" i="4"/>
  <c r="N65" i="4"/>
  <c r="L66" i="4"/>
  <c r="M66" i="4"/>
  <c r="N66" i="4"/>
  <c r="L67" i="4"/>
  <c r="M67" i="4"/>
  <c r="N67" i="4"/>
  <c r="L68" i="4"/>
  <c r="M68" i="4"/>
  <c r="N68" i="4"/>
  <c r="L69" i="4"/>
  <c r="M69" i="4"/>
  <c r="N69" i="4"/>
  <c r="L70" i="4"/>
  <c r="M70" i="4"/>
  <c r="N70" i="4"/>
  <c r="L71" i="4"/>
  <c r="M71" i="4"/>
  <c r="N71" i="4"/>
  <c r="L72" i="4"/>
  <c r="M72" i="4"/>
  <c r="N72" i="4"/>
  <c r="L73" i="4"/>
  <c r="M73" i="4"/>
  <c r="N73" i="4"/>
  <c r="L74" i="4"/>
  <c r="M74" i="4"/>
  <c r="N74" i="4"/>
  <c r="L75" i="4"/>
  <c r="M75" i="4"/>
  <c r="N75" i="4"/>
  <c r="L76" i="4"/>
  <c r="M76" i="4"/>
  <c r="N76" i="4"/>
  <c r="J2" i="4"/>
  <c r="K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39" i="4"/>
  <c r="K39" i="4"/>
  <c r="J40" i="4"/>
  <c r="K40" i="4"/>
  <c r="J41" i="4"/>
  <c r="K41" i="4"/>
  <c r="J42" i="4"/>
  <c r="K42" i="4"/>
  <c r="J43" i="4"/>
  <c r="K43" i="4"/>
  <c r="J44" i="4"/>
  <c r="K44" i="4"/>
  <c r="J45" i="4"/>
  <c r="K45" i="4"/>
  <c r="J46" i="4"/>
  <c r="K46" i="4"/>
  <c r="J47" i="4"/>
  <c r="K47" i="4"/>
  <c r="J48" i="4"/>
  <c r="K48" i="4"/>
  <c r="J49" i="4"/>
  <c r="K49" i="4"/>
  <c r="J50" i="4"/>
  <c r="K50" i="4"/>
  <c r="J51" i="4"/>
  <c r="K51" i="4"/>
  <c r="J52" i="4"/>
  <c r="K52" i="4"/>
  <c r="J53" i="4"/>
  <c r="K53" i="4"/>
  <c r="J54" i="4"/>
  <c r="K54" i="4"/>
  <c r="J55" i="4"/>
  <c r="K55" i="4"/>
  <c r="J56" i="4"/>
  <c r="K56" i="4"/>
  <c r="J57" i="4"/>
  <c r="K57" i="4"/>
  <c r="J58" i="4"/>
  <c r="K58" i="4"/>
  <c r="J59" i="4"/>
  <c r="K59" i="4"/>
  <c r="J60" i="4"/>
  <c r="K60" i="4"/>
  <c r="J61" i="4"/>
  <c r="K61" i="4"/>
  <c r="J62" i="4"/>
  <c r="K62" i="4"/>
  <c r="J63" i="4"/>
  <c r="K63" i="4"/>
  <c r="J64" i="4"/>
  <c r="K64" i="4"/>
  <c r="J65" i="4"/>
  <c r="K65" i="4"/>
  <c r="J66" i="4"/>
  <c r="K66" i="4"/>
  <c r="J67" i="4"/>
  <c r="K67" i="4"/>
  <c r="J68" i="4"/>
  <c r="K68" i="4"/>
  <c r="J69" i="4"/>
  <c r="K69" i="4"/>
  <c r="J70" i="4"/>
  <c r="K70" i="4"/>
  <c r="J71" i="4"/>
  <c r="K71" i="4"/>
  <c r="J72" i="4"/>
  <c r="K72" i="4"/>
  <c r="J73" i="4"/>
  <c r="K73" i="4"/>
  <c r="J74" i="4"/>
  <c r="K74" i="4"/>
  <c r="J75" i="4"/>
  <c r="K75" i="4"/>
  <c r="J76" i="4"/>
  <c r="K76" i="4"/>
  <c r="G2" i="4"/>
  <c r="H2" i="4"/>
  <c r="G3" i="4"/>
  <c r="H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P52" i="4" s="1"/>
  <c r="H52" i="4"/>
  <c r="G53" i="4"/>
  <c r="P53" i="4" s="1"/>
  <c r="H53" i="4"/>
  <c r="G54" i="4"/>
  <c r="P54" i="4" s="1"/>
  <c r="H54" i="4"/>
  <c r="G55" i="4"/>
  <c r="P55" i="4" s="1"/>
  <c r="H55" i="4"/>
  <c r="G56" i="4"/>
  <c r="P56" i="4" s="1"/>
  <c r="H56" i="4"/>
  <c r="G57" i="4"/>
  <c r="P57" i="4" s="1"/>
  <c r="H57" i="4"/>
  <c r="G58" i="4"/>
  <c r="P58" i="4" s="1"/>
  <c r="H58" i="4"/>
  <c r="G59" i="4"/>
  <c r="P59" i="4" s="1"/>
  <c r="H59" i="4"/>
  <c r="G60" i="4"/>
  <c r="P60" i="4" s="1"/>
  <c r="H60" i="4"/>
  <c r="G61" i="4"/>
  <c r="P61" i="4" s="1"/>
  <c r="H61" i="4"/>
  <c r="G62" i="4"/>
  <c r="P62" i="4" s="1"/>
  <c r="H62" i="4"/>
  <c r="G63" i="4"/>
  <c r="P63" i="4" s="1"/>
  <c r="H63" i="4"/>
  <c r="G64" i="4"/>
  <c r="P64" i="4" s="1"/>
  <c r="H64" i="4"/>
  <c r="G65" i="4"/>
  <c r="P65" i="4" s="1"/>
  <c r="H65" i="4"/>
  <c r="G66" i="4"/>
  <c r="P66" i="4" s="1"/>
  <c r="H66" i="4"/>
  <c r="G67" i="4"/>
  <c r="P67" i="4" s="1"/>
  <c r="H67" i="4"/>
  <c r="G68" i="4"/>
  <c r="P68" i="4" s="1"/>
  <c r="H68" i="4"/>
  <c r="G69" i="4"/>
  <c r="P69" i="4" s="1"/>
  <c r="H69" i="4"/>
  <c r="G70" i="4"/>
  <c r="P70" i="4" s="1"/>
  <c r="H70" i="4"/>
  <c r="G71" i="4"/>
  <c r="P71" i="4" s="1"/>
  <c r="H71" i="4"/>
  <c r="G72" i="4"/>
  <c r="P72" i="4" s="1"/>
  <c r="H72" i="4"/>
  <c r="G73" i="4"/>
  <c r="P73" i="4" s="1"/>
  <c r="H73" i="4"/>
  <c r="G74" i="4"/>
  <c r="P74" i="4" s="1"/>
  <c r="H74" i="4"/>
  <c r="G75" i="4"/>
  <c r="P75" i="4" s="1"/>
  <c r="H75" i="4"/>
  <c r="G76" i="4"/>
  <c r="P76" i="4" s="1"/>
  <c r="H76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52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" i="4"/>
  <c r="P8" i="4"/>
  <c r="P18" i="4"/>
  <c r="P19" i="4"/>
  <c r="P20" i="4"/>
  <c r="P21" i="4"/>
  <c r="P22" i="4"/>
  <c r="P23" i="4"/>
  <c r="P24" i="4"/>
  <c r="P25" i="4"/>
  <c r="P26" i="4"/>
  <c r="P45" i="4"/>
  <c r="P46" i="4"/>
  <c r="P47" i="4"/>
  <c r="P48" i="4"/>
  <c r="P49" i="4"/>
  <c r="P50" i="4"/>
  <c r="P6" i="4"/>
  <c r="P30" i="4"/>
  <c r="P32" i="4"/>
  <c r="P35" i="4"/>
  <c r="P37" i="4"/>
  <c r="P41" i="4"/>
  <c r="P42" i="4"/>
  <c r="P43" i="4"/>
  <c r="P44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5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5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2" i="4"/>
  <c r="D53" i="4"/>
  <c r="D54" i="4"/>
  <c r="D55" i="4"/>
  <c r="O55" i="4" s="1"/>
  <c r="D56" i="4"/>
  <c r="O56" i="4" s="1"/>
  <c r="D57" i="4"/>
  <c r="D58" i="4"/>
  <c r="D59" i="4"/>
  <c r="D60" i="4"/>
  <c r="O60" i="4" s="1"/>
  <c r="D61" i="4"/>
  <c r="D62" i="4"/>
  <c r="O62" i="4" s="1"/>
  <c r="D63" i="4"/>
  <c r="O63" i="4" s="1"/>
  <c r="D64" i="4"/>
  <c r="D65" i="4"/>
  <c r="D66" i="4"/>
  <c r="O66" i="4" s="1"/>
  <c r="D67" i="4"/>
  <c r="D68" i="4"/>
  <c r="D69" i="4"/>
  <c r="D70" i="4"/>
  <c r="O70" i="4" s="1"/>
  <c r="D71" i="4"/>
  <c r="O71" i="4" s="1"/>
  <c r="D72" i="4"/>
  <c r="D73" i="4"/>
  <c r="D74" i="4"/>
  <c r="D75" i="4"/>
  <c r="D76" i="4"/>
  <c r="O76" i="4" s="1"/>
  <c r="D5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5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5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P51" i="4"/>
  <c r="A51" i="4"/>
  <c r="A50" i="4"/>
  <c r="A49" i="4"/>
  <c r="A48" i="4"/>
  <c r="A47" i="4"/>
  <c r="A46" i="4"/>
  <c r="A45" i="4"/>
  <c r="A44" i="4"/>
  <c r="A43" i="4"/>
  <c r="A42" i="4"/>
  <c r="A41" i="4"/>
  <c r="P40" i="4"/>
  <c r="A40" i="4"/>
  <c r="P39" i="4"/>
  <c r="A39" i="4"/>
  <c r="P38" i="4"/>
  <c r="A38" i="4"/>
  <c r="A37" i="4"/>
  <c r="P36" i="4"/>
  <c r="A36" i="4"/>
  <c r="A35" i="4"/>
  <c r="P34" i="4"/>
  <c r="A34" i="4"/>
  <c r="P33" i="4"/>
  <c r="A33" i="4"/>
  <c r="A32" i="4"/>
  <c r="P31" i="4"/>
  <c r="A31" i="4"/>
  <c r="A30" i="4"/>
  <c r="P29" i="4"/>
  <c r="A29" i="4"/>
  <c r="P28" i="4"/>
  <c r="A28" i="4"/>
  <c r="P27" i="4"/>
  <c r="A27" i="4"/>
  <c r="A26" i="4"/>
  <c r="A25" i="4"/>
  <c r="A24" i="4"/>
  <c r="A23" i="4"/>
  <c r="A22" i="4"/>
  <c r="A21" i="4"/>
  <c r="A20" i="4"/>
  <c r="A19" i="4"/>
  <c r="A18" i="4"/>
  <c r="P17" i="4"/>
  <c r="A17" i="4"/>
  <c r="P16" i="4"/>
  <c r="A16" i="4"/>
  <c r="P15" i="4"/>
  <c r="A15" i="4"/>
  <c r="P14" i="4"/>
  <c r="A14" i="4"/>
  <c r="P13" i="4"/>
  <c r="A13" i="4"/>
  <c r="P12" i="4"/>
  <c r="A12" i="4"/>
  <c r="P11" i="4"/>
  <c r="A11" i="4"/>
  <c r="P10" i="4"/>
  <c r="A10" i="4"/>
  <c r="P9" i="4"/>
  <c r="A9" i="4"/>
  <c r="A8" i="4"/>
  <c r="P7" i="4"/>
  <c r="A7" i="4"/>
  <c r="A6" i="4"/>
  <c r="P5" i="4"/>
  <c r="A5" i="4"/>
  <c r="P4" i="4"/>
  <c r="A4" i="4"/>
  <c r="P3" i="4"/>
  <c r="A3" i="4"/>
  <c r="P2" i="4"/>
  <c r="A2" i="4"/>
  <c r="I13" i="1" s="1"/>
  <c r="O54" i="4" l="1"/>
  <c r="O74" i="4"/>
  <c r="O53" i="4"/>
  <c r="O64" i="4"/>
  <c r="O67" i="4"/>
  <c r="O65" i="4"/>
  <c r="O61" i="4"/>
  <c r="O59" i="4"/>
  <c r="O58" i="4"/>
  <c r="O57" i="4"/>
  <c r="O73" i="4"/>
  <c r="O72" i="4"/>
  <c r="E16" i="1"/>
  <c r="O75" i="4"/>
  <c r="O69" i="4"/>
  <c r="O68" i="4"/>
  <c r="B9" i="1"/>
  <c r="E20" i="1"/>
  <c r="E19" i="1"/>
  <c r="B16" i="1"/>
  <c r="B10" i="1"/>
  <c r="B5" i="1"/>
  <c r="J14" i="1"/>
  <c r="K14" i="1" s="1"/>
  <c r="C17" i="1" a="1"/>
  <c r="C17" i="1" s="1"/>
  <c r="C16" i="1" a="1"/>
  <c r="C16" i="1" s="1"/>
  <c r="C15" i="1" a="1"/>
  <c r="C15" i="1" s="1"/>
  <c r="C20" i="1" a="1"/>
  <c r="C20" i="1" s="1"/>
  <c r="C19" i="1" a="1"/>
  <c r="C19" i="1" s="1"/>
  <c r="C18" i="1" a="1"/>
  <c r="C18" i="1" s="1"/>
  <c r="B18" i="1"/>
  <c r="B17" i="1"/>
  <c r="D15" i="1"/>
  <c r="D17" i="1"/>
  <c r="D16" i="1"/>
  <c r="D19" i="1"/>
  <c r="D18" i="1"/>
  <c r="D20" i="1"/>
  <c r="O52" i="4"/>
  <c r="B21" i="1" s="1"/>
  <c r="E15" i="1"/>
  <c r="B15" i="1"/>
  <c r="E18" i="1"/>
  <c r="B6" i="1"/>
  <c r="E17" i="1"/>
  <c r="B19" i="1"/>
  <c r="B20" i="1"/>
  <c r="B8" i="1"/>
  <c r="B11" i="1"/>
  <c r="I4" i="1"/>
  <c r="I6" i="1"/>
  <c r="B4" i="1"/>
  <c r="C4" i="1" s="1"/>
  <c r="K13" i="1"/>
  <c r="I14" i="1"/>
  <c r="E21" i="1" l="1"/>
  <c r="D21" i="1"/>
  <c r="C21" i="1" a="1"/>
  <c r="C21" i="1" s="1"/>
  <c r="I9" i="1"/>
  <c r="C9" i="1"/>
  <c r="C10" i="1"/>
  <c r="C11" i="1"/>
  <c r="C8" i="1"/>
  <c r="B7" i="1"/>
  <c r="J8" i="1"/>
  <c r="J6" i="1"/>
  <c r="J5" i="1"/>
  <c r="C5" i="1"/>
  <c r="C6" i="1"/>
  <c r="J4" i="1"/>
  <c r="C7" i="1"/>
  <c r="J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9097FB-E1C2-4E5E-9B95-F338F76E3BF5}" keepAlive="1" name="Abfrage - baseline_mission_results" description="Verbindung mit der Abfrage 'baseline_mission_results' in der Arbeitsmappe." type="5" refreshedVersion="8" background="1" saveData="1">
    <dbPr connection="Provider=Microsoft.Mashup.OleDb.1;Data Source=$Workbook$;Location=baseline_mission_results;Extended Properties=&quot;&quot;" command="SELECT * FROM [baseline_mission_resul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<sst xmlns="http://schemas.openxmlformats.org/spreadsheetml/2006/main" count="657" uniqueCount="345">
  <si>
    <t>run</t>
  </si>
  <si>
    <t>success</t>
  </si>
  <si>
    <t>failure_reason</t>
  </si>
  <si>
    <t>failure_detail</t>
  </si>
  <si>
    <t>duration_sec</t>
  </si>
  <si>
    <t>startup_duration_sec</t>
  </si>
  <si>
    <t>command_to_success_sec</t>
  </si>
  <si>
    <t>mission_started_sec</t>
  </si>
  <si>
    <t>attach_sec</t>
  </si>
  <si>
    <t>detach_sec</t>
  </si>
  <si>
    <t>dropoff_detected_sec</t>
  </si>
  <si>
    <t>charging_detected_sec</t>
  </si>
  <si>
    <t>last_trolley_x</t>
  </si>
  <si>
    <t>last_trolley_y</t>
  </si>
  <si>
    <t>last_robot_x</t>
  </si>
  <si>
    <t>last_robot_y</t>
  </si>
  <si>
    <t>mission_param_overrides</t>
  </si>
  <si>
    <t>holonomic_param_overrides</t>
  </si>
  <si>
    <t>last_log_line</t>
  </si>
  <si>
    <t>41</t>
  </si>
  <si>
    <t>local_target_timeout</t>
  </si>
  <si>
    <t>run_timeout</t>
  </si>
  <si>
    <t>Success</t>
  </si>
  <si>
    <t>last_trolley_yaw_deg</t>
  </si>
  <si>
    <t>last_robot_yaw_deg</t>
  </si>
  <si>
    <t>final_trolley_dropoff_error_x</t>
  </si>
  <si>
    <t>final_trolley_dropoff_error_y</t>
  </si>
  <si>
    <t>final_trolley_dropoff_error_dist</t>
  </si>
  <si>
    <t>final_robot_charging_error_x</t>
  </si>
  <si>
    <t>final_robot_charging_error_y</t>
  </si>
  <si>
    <t>final_robot_charging_error_dist</t>
  </si>
  <si>
    <t>holonomic_goal_timeout</t>
  </si>
  <si>
    <t>Test Results Summary – Gazebo Baseline + ArUco Simulation</t>
  </si>
  <si>
    <t>Overall KPI</t>
  </si>
  <si>
    <t>Value</t>
  </si>
  <si>
    <t>N / formula basis</t>
  </si>
  <si>
    <t>Notes</t>
  </si>
  <si>
    <t>Failure reason</t>
  </si>
  <si>
    <t>Count</t>
  </si>
  <si>
    <t>% of failed</t>
  </si>
  <si>
    <t>Total mission runs</t>
  </si>
  <si>
    <t>Baseline and ArUco sheets counted together</t>
  </si>
  <si>
    <t>Successful runs</t>
  </si>
  <si>
    <t>Success flag = 1</t>
  </si>
  <si>
    <t>Failed runs</t>
  </si>
  <si>
    <t>Success flag = 0</t>
  </si>
  <si>
    <t>Success rate</t>
  </si>
  <si>
    <t>Successful runs divided by total runs</t>
  </si>
  <si>
    <t>Average successful mission duration (s)</t>
  </si>
  <si>
    <t>Successful runs only</t>
  </si>
  <si>
    <t>Successful</t>
  </si>
  <si>
    <t>Median successful mission duration (s)</t>
  </si>
  <si>
    <t>Total</t>
  </si>
  <si>
    <t>All combined runs</t>
  </si>
  <si>
    <t>Minimum successful mission duration (s)</t>
  </si>
  <si>
    <t>Maximum successful mission duration (s)</t>
  </si>
  <si>
    <t>Source</t>
  </si>
  <si>
    <t>Runs</t>
  </si>
  <si>
    <t>Baseline</t>
  </si>
  <si>
    <t>Average in s</t>
  </si>
  <si>
    <t>Median in s</t>
  </si>
  <si>
    <t>Min in s</t>
  </si>
  <si>
    <t>Max in s</t>
  </si>
  <si>
    <t>Baseline with ArUco</t>
  </si>
  <si>
    <t>Startup duration</t>
  </si>
  <si>
    <t>Mission start time</t>
  </si>
  <si>
    <t>Pickup / attach time</t>
  </si>
  <si>
    <t>Failure detail</t>
  </si>
  <si>
    <t>Attached driving to drop-off</t>
  </si>
  <si>
    <t>Drop-off release / detach time</t>
  </si>
  <si>
    <t>Return to charging time</t>
  </si>
  <si>
    <t>Command-to-success time</t>
  </si>
  <si>
    <t>Total mission duration</t>
  </si>
  <si>
    <t>Source run</t>
  </si>
  <si>
    <t>Global run id</t>
  </si>
  <si>
    <t>Duration (s)</t>
  </si>
  <si>
    <t>Startup duration (s)</t>
  </si>
  <si>
    <t>Command-to-success (s)</t>
  </si>
  <si>
    <t>Mission start time (s)</t>
  </si>
  <si>
    <t>Pickup / attach time (s)</t>
  </si>
  <si>
    <t>Attached driving to drop-off (s)</t>
  </si>
  <si>
    <t>Drop-off release / detach time (s)</t>
  </si>
  <si>
    <t>Return to charging time (s)</t>
  </si>
  <si>
    <t>Successful mission duration (s)</t>
  </si>
  <si>
    <t>Total mission duration (s)</t>
  </si>
  <si>
    <t>Robot did not return to charging while trolley remained in orange drop-off before timeout,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</si>
  <si>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</si>
  <si>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</si>
  <si>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</si>
  <si>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</si>
  <si>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</si>
  <si>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</si>
  <si>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</si>
  <si>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</si>
  <si>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</si>
  <si>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</si>
  <si>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</si>
  <si>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</si>
  <si>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</si>
  <si>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</si>
  <si>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</si>
  <si>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</si>
  <si>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</si>
  <si>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</si>
  <si>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</si>
  <si>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</si>
  <si>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</si>
  <si>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</si>
  <si>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</si>
  <si>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</si>
  <si>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</si>
  <si>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</si>
  <si>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</si>
  <si>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</si>
  <si>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</si>
  <si>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</si>
  <si>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</si>
  <si>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</si>
  <si>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</si>
  <si>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</si>
  <si>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</si>
  <si>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</si>
  <si>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</si>
  <si>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</si>
  <si>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</si>
  <si>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</si>
  <si>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</si>
  <si>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</si>
  <si>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</si>
  <si>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</si>
  <si>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</si>
  <si>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</si>
  <si>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</si>
  <si>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</si>
  <si>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</si>
  <si>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[python3-22] [INFO] [1779400767,120909397] [nav2_trolley_mission_controller]: Local target 'return lane above drop zones' reached,</t>
  </si>
  <si>
    <t>[python3-22] [INFO] [1779401059,774966934] [nav2_trolley_mission_controller]: Local target 'return lane above drop zones' reached,</t>
  </si>
  <si>
    <t>[python3-22] [INFO] [1779401341,476298780] [nav2_trolley_mission_controller]: Local target 'return lane above drop zones' reached,</t>
  </si>
  <si>
    <t>[python3-22] [INFO] [1779401625,139209710] [nav2_trolley_mission_controller]: Local target 'return lane above drop zones' reached,</t>
  </si>
  <si>
    <t>[python3-22] [ERROR] [1779401884,165594121] [nav2_trolley_mission_controller]: Local target 'drop-off center' timed out: distance=0,029, yaw=+0,33 deg</t>
  </si>
  <si>
    <t>[python3-23] [INFO] [1779401884,166443925] [holonomic_goal_controller]: Holonomic lidar ignore radius set to 0,00 m,</t>
  </si>
  <si>
    <t>[python3-22] [INFO] [1779402172,403670692] [nav2_trolley_mission_controller]: Local target 'return lane above drop zones' reached,</t>
  </si>
  <si>
    <t>[python3-22] [INFO] [1779402484,713304423] [nav2_trolley_mission_controller]: Local target 'return lane above drop zones' reached,</t>
  </si>
  <si>
    <t>[python3-22] [INFO] [1779402767,554791470] [nav2_trolley_mission_controller]: Local target 'return lane above drop zones' reached,</t>
  </si>
  <si>
    <t>[python3-22] [INFO] [1779403049,123255652] [nav2_trolley_mission_controller]: Local target 'return lane above drop zones' reached,</t>
  </si>
  <si>
    <t>[python3-22] [INFO] [1779403332,698544269] [nav2_trolley_mission_controller]: Local target 'return lane above drop zones' reached,</t>
  </si>
  <si>
    <t>[python3-22] [INFO] [1779403611,394082521] [nav2_trolley_mission_controller]: Local target 'return lane above drop zones' reached,</t>
  </si>
  <si>
    <t>[python3-23] [INFO] [1779403913,978006695] [holonomic_goal_controller]: Holonomic lidar ignore radius set to 0,00 m,</t>
  </si>
  <si>
    <t>[python3-23] [INFO] [1779404355,542661361] [holonomic_goal_controller]: Holonomic lidar ignore radius set to 0,00 m,</t>
  </si>
  <si>
    <t>[python3-22] [INFO] [1779404745,301644056] [nav2_trolley_mission_controller]: Local target 'return lane above drop zones' reached,</t>
  </si>
  <si>
    <t>[python3-22] [INFO] [1779405023,026550787] [nav2_trolley_mission_controller]: Local target 'return lane above drop zones' reached,</t>
  </si>
  <si>
    <t>[python3-22] [INFO] [1779405315,434277759] [nav2_trolley_mission_controller]: Local target 'return lane above drop zones' reached,</t>
  </si>
  <si>
    <t>[python3-22] [INFO] [1779405609,793560650] [nav2_trolley_mission_controller]: Local target 'return lane above drop zones' reached,</t>
  </si>
  <si>
    <t>[python3-22] [INFO] [1779405886,188781421] [nav2_trolley_mission_controller]: Local target 'return lane above drop zones' reached,</t>
  </si>
  <si>
    <t>[python3-22] [INFO] [1779406164,520318367] [nav2_trolley_mission_controller]: Local target 'return lane above drop zones' reached,</t>
  </si>
  <si>
    <t>[python3-22] [INFO] [1779406448,550052743] [nav2_trolley_mission_controller]: Local target 'return lane above drop zones' reached,</t>
  </si>
  <si>
    <t>[python3-22] [ERROR] [1779406685,450673931] [nav2_trolley_mission_controller]: Local target 'drop-off center' timed out: distance=0,030, yaw=-4,28 deg</t>
  </si>
  <si>
    <t>[python3-23] [INFO] [1779406685,451428658] [holonomic_goal_controller]: Holonomic lidar ignore radius set to 0,00 m,</t>
  </si>
  <si>
    <t>[python3-22] [INFO] [1779406954,883848531] [nav2_trolley_mission_controller]: Local target 'return lane above drop zones' reached,</t>
  </si>
  <si>
    <t>[python3-22] [INFO] [1779407246,112403451] [nav2_trolley_mission_controller]: Local target 'return lane above drop zones' reached,</t>
  </si>
  <si>
    <t>[python3-22] [INFO] [1779407527,352570769] [nav2_trolley_mission_controller]: Local target 'return lane above drop zones' reached,</t>
  </si>
  <si>
    <t>[python3-22] [ERROR] [1779407760,816316232] [nav2_trolley_mission_controller]: Local target 'drop-off center' timed out: distance=0,031, yaw=+5,39 deg</t>
  </si>
  <si>
    <t>[python3-23] [INFO] [1779407760,817166000] [holonomic_goal_controller]: Holonomic lidar ignore radius set to 0,00 m,</t>
  </si>
  <si>
    <t>[python3-22] [INFO] [1779408026,858227011] [nav2_trolley_mission_controller]: Local target 'return lane above drop zones' reached,</t>
  </si>
  <si>
    <t>[python3-22] [ERROR] [1779408204,902850771] [nav2_trolley_mission_controller]: Local target 'pickup exit lane' timed out: distance=0,025, yaw=-0,84 deg</t>
  </si>
  <si>
    <t>[python3-23] [INFO] [1779408204,903748410] [holonomic_goal_controller]: Holonomic lidar ignore radius set to 0,00 m,</t>
  </si>
  <si>
    <t>[python3-22] [ERROR] [1779408422,851393718] [nav2_trolley_mission_controller]: Local target 'drop-off center' timed out: distance=0,031, yaw=+5,44 deg</t>
  </si>
  <si>
    <t>[python3-23] [INFO] [1779408422,852442142] [holonomic_goal_controller]: Holonomic lidar ignore radius set to 0,00 m,</t>
  </si>
  <si>
    <t>[python3-22] [INFO] [1779408704,469834293] [nav2_trolley_mission_controller]: Local target 'return lane above drop zones' reached,</t>
  </si>
  <si>
    <t>[python3-22] [INFO] [1779408997,517295828] [nav2_trolley_mission_controller]: Local target 'return lane above drop zones' reached,</t>
  </si>
  <si>
    <t>[python3-22] [ERROR] [1779409229,846244368] [nav2_trolley_mission_controller]: Local target 'drop-off center' timed out: distance=0,025, yaw=-4,82 deg</t>
  </si>
  <si>
    <t>[python3-23] [INFO] [1779409229,847084174] [holonomic_goal_controller]: Holonomic lidar ignore radius set to 0,00 m,</t>
  </si>
  <si>
    <t>[python3-22] [INFO] [1779409496,576593356] [nav2_trolley_mission_controller]: Local target 'return lane above drop zones' reached,</t>
  </si>
  <si>
    <t>[python3-22] [INFO] [1779409776,201681101] [nav2_trolley_mission_controller]: Local target 'return lane above drop zones' reached,</t>
  </si>
  <si>
    <t>[python3-22] [INFO] [1779410049,492180342] [nav2_trolley_mission_controller]: Local target 'return lane above drop zones' reached,</t>
  </si>
  <si>
    <t>[python3-22] [INFO] [1779410330,097743149] [nav2_trolley_mission_controller]: Local target 'return lane above drop zones' reached,</t>
  </si>
  <si>
    <t>[python3-22] [INFO] [1779410632,941458095] [nav2_trolley_mission_controller]: Local target 'return lane above drop zones' reached,</t>
  </si>
  <si>
    <t>[python3-22] [INFO] [1779410915,036969336] [nav2_trolley_mission_controller]: Local target 'return lane above drop zones' reached,</t>
  </si>
  <si>
    <t>[python3-22] [INFO] [1779411197,601325212] [nav2_trolley_mission_controller]: Local target 'return lane above drop zones' reached,</t>
  </si>
  <si>
    <t>[python3-23] [INFO] [1779411498,914204898] [holonomic_goal_controller]: Holonomic lidar ignore radius set to 0,00 m,</t>
  </si>
  <si>
    <t>[python3-22] [INFO] [1779411916,766000408] [nav2_trolley_mission_controller]: Local target 'return lane above drop zones' reached,</t>
  </si>
  <si>
    <t>[python3-22] [ERROR] [1779412158,882495005] [nav2_trolley_mission_controller]: Local target 'drop-off center' timed out: distance=0,028, yaw=+6,13 deg</t>
  </si>
  <si>
    <t>[python3-23] [INFO] [1779412158,883298786] [holonomic_goal_controller]: Holonomic lidar ignore radius set to 0,00 m,</t>
  </si>
  <si>
    <t>[python3-22] [INFO] [1779412427,452155802] [nav2_trolley_mission_controller]: Local target 'return lane above drop zones' reached,</t>
  </si>
  <si>
    <t>[python3-22] [INFO] [1779412708,611893980] [nav2_trolley_mission_controller]: Local target 'return lane above drop zones' reached,</t>
  </si>
  <si>
    <t>[python3-23] [INFO] [1779413005,453262791] [holonomic_goal_controller]: Holonomic lidar ignore radius set to 0,00 m,</t>
  </si>
  <si>
    <t>[python3-22] [INFO] [1779413406,209320355] [nav2_trolley_mission_controller]: Local target 'return lane above drop zones' reached,</t>
  </si>
  <si>
    <t>[python3-22] [INFO] [1779413697,434283495] [nav2_trolley_mission_controller]: Local target 'return lane above drop zones' reached,</t>
  </si>
  <si>
    <t>[python3-22] [INFO] [1779413978,219131852] [nav2_trolley_mission_controller]: Local target 'return lane above drop zones' reached,</t>
  </si>
  <si>
    <t>[python3-22] [ERROR] [1779414155,833962452] [nav2_trolley_mission_controller]: Local target 'pickup exit lane' timed out: distance=0,026, yaw=+0,31 deg</t>
  </si>
  <si>
    <t>[python3-23] [INFO] [1779414155,834768709] [holonomic_goal_controller]: Holonomic lidar ignore radius set to 0,00 m,</t>
  </si>
  <si>
    <t>[python3-22] [INFO] [1779414431,575056229] [nav2_trolley_mission_controller]: Local target 'return lane above drop zones' reached,</t>
  </si>
  <si>
    <t>[python3-23] [INFO] [1779414734,569575595] [holonomic_goal_controller]: Holonomic lidar ignore radius set to 0,00 m,</t>
  </si>
  <si>
    <t>Timing details sucessfull</t>
  </si>
  <si>
    <t>Robot did not return to charging while trolley remained in orange drop-off before timeout.</t>
  </si>
  <si>
    <t>side_align_complete_sec</t>
  </si>
  <si>
    <t>side_align_aruco_est_error_x</t>
  </si>
  <si>
    <t>side_align_aruco_est_error_y</t>
  </si>
  <si>
    <t>side_align_aruco_est_yaw_error_deg</t>
  </si>
  <si>
    <t>side_align_aruco_est_marker_count</t>
  </si>
  <si>
    <t>side_align_actual_trolley_base_x</t>
  </si>
  <si>
    <t>side_align_actual_trolley_base_y</t>
  </si>
  <si>
    <t>side_align_actual_trolley_yaw_error_deg</t>
  </si>
  <si>
    <t>side_align_actual_aruco_error_x</t>
  </si>
  <si>
    <t>side_align_actual_aruco_error_y</t>
  </si>
  <si>
    <t>side_align_actual_aruco_error_dist</t>
  </si>
  <si>
    <t>side_align_actual_aruco_yaw_error_deg</t>
  </si>
  <si>
    <t>side_align_aruco_vs_actual_error_x</t>
  </si>
  <si>
    <t>side_align_aruco_vs_actual_error_y</t>
  </si>
  <si>
    <t>side_align_aruco_vs_actual_yaw_error_deg</t>
  </si>
  <si>
    <t>fine_align_complete_sec</t>
  </si>
  <si>
    <t>fine_align_aruco_est_error_x</t>
  </si>
  <si>
    <t>fine_align_aruco_est_error_y</t>
  </si>
  <si>
    <t>fine_align_aruco_est_yaw_error_deg</t>
  </si>
  <si>
    <t>fine_align_aruco_est_marker_count</t>
  </si>
  <si>
    <t>fine_align_actual_trolley_base_x</t>
  </si>
  <si>
    <t>fine_align_actual_trolley_base_y</t>
  </si>
  <si>
    <t>fine_align_actual_trolley_yaw_error_deg</t>
  </si>
  <si>
    <t>fine_align_actual_aruco_error_x</t>
  </si>
  <si>
    <t>fine_align_actual_aruco_error_y</t>
  </si>
  <si>
    <t>fine_align_actual_aruco_error_dist</t>
  </si>
  <si>
    <t>fine_align_actual_aruco_yaw_error_deg</t>
  </si>
  <si>
    <t>fine_align_aruco_vs_actual_error_x</t>
  </si>
  <si>
    <t>fine_align_aruco_vs_actual_error_y</t>
  </si>
  <si>
    <t>fine_align_aruco_vs_actual_yaw_error_deg</t>
  </si>
  <si>
    <t>[python3-22] [INFO] [1783093089.174777147] [nav2_trolley_mission_controller]: Local target 'return lane above drop zones' reached.</t>
  </si>
  <si>
    <t>[python3-22] [INFO] [1783093351.359922148] [nav2_trolley_mission_controller]: Local target 'return lane above drop zones' reached.</t>
  </si>
  <si>
    <t>[python3-22] [INFO] [1783093621.465201077] [nav2_trolley_mission_controller]: Local target 'return lane above drop zones' reached.</t>
  </si>
  <si>
    <t>[python3-22] [ERROR] [1783093847.752841244] [nav2_trolley_mission_controller]: Local target 'drop-off center' timed out: distance=0.029, yaw=+5.26 deg</t>
  </si>
  <si>
    <t>[python3-23] [INFO] [1783093847.753690416] [holonomic_goal_controller]: Holonomic lidar ignore radius set to 0.00 m.</t>
  </si>
  <si>
    <t>[python3-22] [ERROR] [1783094053.707800312] [nav2_trolley_mission_controller]: Local target 'drop-off center' timed out: distance=0.028, yaw=+1.86 deg</t>
  </si>
  <si>
    <t>[python3-23] [INFO] [1783094053.708565484] [holonomic_goal_controller]: Holonomic lidar ignore radius set to 0.00 m.</t>
  </si>
  <si>
    <t>[python3-22] [INFO] [1783094302.881573410] [nav2_trolley_mission_controller]: Local target 'return lane above drop zones' reached.</t>
  </si>
  <si>
    <t>[planner_server-16] [INFO] [1783094573.434418557] [global_costmap.global_costmap]: StaticLayer: Resizing costmap to 158 X 118 at 0.050000 m/pix</t>
  </si>
  <si>
    <t>[python3-22] [INFO] [1783094828.342074230] [nav2_trolley_mission_controller]: Local target 'return lane above drop zones' reached.</t>
  </si>
  <si>
    <t>[python3-23] [INFO] [1783095167.032223533] [holonomic_goal_controller]: Holonomic lidar ignore radius set to 0.00 m.</t>
  </si>
  <si>
    <t>[python3-22] [INFO] [1783095511.477123455] [nav2_trolley_mission_controller]: Local target 'return lane above drop zones' reached.</t>
  </si>
  <si>
    <t>[python3-22] [ERROR] [1783095725.510524969] [nav2_trolley_mission_controller]: Local target 'drop-off center' timed out: distance=0.029, yaw=+5.31 deg</t>
  </si>
  <si>
    <t>[python3-22] [ERROR] [1783095965.449069465] [nav2_trolley_mission_controller]: Holonomic goal 'drop-off approach' timed out: distance=0.043, yaw=117.7 deg</t>
  </si>
  <si>
    <t>[python3-23] [INFO] [1783095965.449999876] [holonomic_goal_controller]: Holonomic lidar ignore radius set to 0.00 m.</t>
  </si>
  <si>
    <t>[python3-22] [INFO] [1783096219.763146100] [nav2_trolley_mission_controller]: Local target 'return lane above drop zones' reached.</t>
  </si>
  <si>
    <t>[python3-22] [INFO] [1783096475.291141887] [nav2_trolley_mission_controller]: Local target 'return lane above drop zones' reached.</t>
  </si>
  <si>
    <t>aruco_no_markers_timeout</t>
  </si>
  <si>
    <t>[python3-22] [ERROR] [1783096640.472751380] [nav2_trolley_mission_controller]: side ArUco pre-entry timed out waiting for ArUco markers.</t>
  </si>
  <si>
    <t>[python3-23] [INFO] [1783096640.473716226] [holonomic_goal_controller]: Holonomic lidar ignore radius set to 0.00 m.</t>
  </si>
  <si>
    <t>[python3-22] [INFO] [1783096898.302163189] [nav2_trolley_mission_controller]: Local target 'return lane above drop zones' reached.</t>
  </si>
  <si>
    <t>[python3-22] [INFO] [1783097152.238489415] [nav2_trolley_mission_controller]: Local target 'return lane above drop zones' reached.</t>
  </si>
  <si>
    <t>[python3-22] [INFO] [1783097416.525520310] [nav2_trolley_mission_controller]: Local target 'return lane above drop zones' reached.</t>
  </si>
  <si>
    <t>[python3-22] [INFO] [1783097682.139068879] [nav2_trolley_mission_controller]: Local target 'return lane above drop zones' reached.</t>
  </si>
  <si>
    <t>[python3-22] [ERROR] [1783097904.529839283] [nav2_trolley_mission_controller]: Local target 'drop-off center' timed out: distance=0.029, yaw=+5.72 deg</t>
  </si>
  <si>
    <t>[python3-23] [INFO] [1783097904.531162252] [holonomic_goal_controller]: Holonomic lidar ignore radius set to 0.00 m.</t>
  </si>
  <si>
    <t>detach_failed</t>
  </si>
  <si>
    <t>[python3-22] [ERROR] [1783098105.639989293] [nav2_trolley_mission_controller]: Service 'detach trolley' timed out.</t>
  </si>
  <si>
    <t>[python3-23] [INFO] [1783098105.641101534] [holonomic_goal_controller]: Holonomic lidar ignore radius set to 0.00 m.</t>
  </si>
  <si>
    <t>[python3-22] [INFO] [1783098373.402313605] [nav2_trolley_mission_controller]: Local target 'return lane above drop zones' reached.</t>
  </si>
  <si>
    <t>[planner_server-16] [INFO] [1783098643.720900066] [global_costmap.global_costmap]: StaticLayer: Resizing costmap to 158 X 118 at 0.050000 m/pix</t>
  </si>
  <si>
    <t>[python3-22] [INFO] [1783098913.569471235] [nav2_trolley_mission_controller]: Local target 'return lane above drop zones' reached.</t>
  </si>
  <si>
    <t>[python3-22] [ERROR] [1783099138.754413938] [nav2_trolley_mission_controller]: Local target 'drop-off center' timed out: distance=0.027, yaw=-0.37 deg</t>
  </si>
  <si>
    <t>[python3-22] [INFO] [1783099138.757786504] [nav2_trolley_mission_controller]: Set holonomic lidar ignore radius to 0.00 m.</t>
  </si>
  <si>
    <t>abs_final_trolley_dropoff_x_mm</t>
  </si>
  <si>
    <t>abs_final_trolley_dropoff_y_mm</t>
  </si>
  <si>
    <t>final_trolley_dropoff_dist_mm</t>
  </si>
  <si>
    <t>abs_final_robot_charging_x_mm</t>
  </si>
  <si>
    <t>abs_final_robot_charging_y_mm</t>
  </si>
  <si>
    <t>final_robot_charging_dist_mm</t>
  </si>
  <si>
    <t>abs_side_est_x_mm</t>
  </si>
  <si>
    <t>abs_side_est_y_mm</t>
  </si>
  <si>
    <t>abs_side_est_yaw_deg</t>
  </si>
  <si>
    <t>abs_side_actual_x_mm</t>
  </si>
  <si>
    <t>abs_side_actual_y_mm</t>
  </si>
  <si>
    <t>abs_side_actual_yaw_deg</t>
  </si>
  <si>
    <t>abs_side_vs_actual_x_mm</t>
  </si>
  <si>
    <t>abs_side_vs_actual_y_mm</t>
  </si>
  <si>
    <t>abs_side_vs_actual_yaw_deg</t>
  </si>
  <si>
    <t>abs_fine_est_x_mm</t>
  </si>
  <si>
    <t>abs_fine_est_y_mm</t>
  </si>
  <si>
    <t>abs_fine_est_yaw_deg</t>
  </si>
  <si>
    <t>abs_fine_actual_x_mm</t>
  </si>
  <si>
    <t>abs_fine_actual_y_mm</t>
  </si>
  <si>
    <t>abs_fine_actual_yaw_deg</t>
  </si>
  <si>
    <t>abs_fine_vs_actual_x_mm</t>
  </si>
  <si>
    <t>abs_fine_vs_actual_y_mm</t>
  </si>
  <si>
    <t>abs_fine_vs_actual_yaw_deg</t>
  </si>
  <si>
    <t>Result group / thesis table</t>
  </si>
  <si>
    <t>Result name</t>
  </si>
  <si>
    <t>Gazebo mission success and timing results</t>
  </si>
  <si>
    <t>Total runs</t>
  </si>
  <si>
    <t>Average successful duration</t>
  </si>
  <si>
    <t>Median successful duration</t>
  </si>
  <si>
    <t>Minimum successful duration</t>
  </si>
  <si>
    <t>Maximum successful duration</t>
  </si>
  <si>
    <t>Average command-to-success time</t>
  </si>
  <si>
    <t>Simulation failure reasons</t>
  </si>
  <si>
    <t>Count per failure reason</t>
  </si>
  <si>
    <t>Percentage of failed runs</t>
  </si>
  <si>
    <t>Final trolley and robot position errors</t>
  </si>
  <si>
    <t>Average trolley drop-off X error</t>
  </si>
  <si>
    <t>Average trolley drop-off Y error</t>
  </si>
  <si>
    <t>Average trolley drop-off distance error</t>
  </si>
  <si>
    <t>Average robot charging X error</t>
  </si>
  <si>
    <t>Average robot charging Y error</t>
  </si>
  <si>
    <t>Average robot charging distance error</t>
  </si>
  <si>
    <t>Side-alignment completion</t>
  </si>
  <si>
    <t>Side alignment completed</t>
  </si>
  <si>
    <t>Side alignment completion rate</t>
  </si>
  <si>
    <t>Average side-alignment completion time</t>
  </si>
  <si>
    <t>Average marker count</t>
  </si>
  <si>
    <t>ArUco-reported side-alignment result</t>
  </si>
  <si>
    <t>Average X error</t>
  </si>
  <si>
    <t>Median X error</t>
  </si>
  <si>
    <t>Minimum X error</t>
  </si>
  <si>
    <t>Maximum X error</t>
  </si>
  <si>
    <t>Average Y value/error</t>
  </si>
  <si>
    <t>Median Y value/error</t>
  </si>
  <si>
    <t>Minimum Y value/error</t>
  </si>
  <si>
    <t>Maximum Y value/error</t>
  </si>
  <si>
    <t>Average yaw error</t>
  </si>
  <si>
    <t>Median yaw error</t>
  </si>
  <si>
    <t>Minimum yaw error</t>
  </si>
  <si>
    <t>Maximum yaw error</t>
  </si>
  <si>
    <t>Gazebo-based actual side-alignment result</t>
  </si>
  <si>
    <t>ArUco-vs-Gazebo side-alignment difference</t>
  </si>
  <si>
    <t>Average X difference</t>
  </si>
  <si>
    <t>Median X difference</t>
  </si>
  <si>
    <t>Minimum X difference</t>
  </si>
  <si>
    <t>Maximum X difference</t>
  </si>
  <si>
    <t>Average Y difference</t>
  </si>
  <si>
    <t>Median Y difference</t>
  </si>
  <si>
    <t>Minimum Y difference</t>
  </si>
  <si>
    <t>Maximum Y difference</t>
  </si>
  <si>
    <t>Average yaw difference</t>
  </si>
  <si>
    <t>Median yaw difference</t>
  </si>
  <si>
    <t>Minimum yaw difference</t>
  </si>
  <si>
    <t>Maximum yaw difference</t>
  </si>
  <si>
    <t>Fine-alignment completion</t>
  </si>
  <si>
    <t>Fine alignment completed</t>
  </si>
  <si>
    <t>Fine alignment completion rate</t>
  </si>
  <si>
    <t>Average fine-alignment completion time</t>
  </si>
  <si>
    <t>ArUco-reported fine-alignment result</t>
  </si>
  <si>
    <t>Average Y error</t>
  </si>
  <si>
    <t>Median Y error</t>
  </si>
  <si>
    <t>Minimum Y error</t>
  </si>
  <si>
    <t>Maximum Y error</t>
  </si>
  <si>
    <t>Gazebo-based actual fine-alignment result</t>
  </si>
  <si>
    <t>ArUco-vs-Gazebo fine-alignment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</si>
</sst>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8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6"/>
      <color rgb="FFFFFFFF"/>
      <name val="Calibri"/>
      <family val="2"/>
    </font>
    <font>
      <i/>
      <sz val="11"/>
      <color rgb="FF374151"/>
      <name val="Calibri"/>
      <family val="2"/>
    </font>
    <font>
      <b/>
      <sz val="11"/>
      <color rgb="FF111827"/>
      <name val="Calibri"/>
      <family val="2"/>
    </font>
    <font>
      <b/>
      <sz val="11"/>
      <color theme="1"/>
      <name val="Calibri"/>
      <family val="2"/>
    </font>
    <font>
      <sz val="10"/>
      <color theme="1"/>
      <name val="Arial Unicode MS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2" fontId="0" fillId="0" borderId="0" xfId="0" applyNumberFormat="1" applyAlignment="1">
      <alignment wrapText="1"/>
    </xf>
    <xf numFmtId="164" fontId="5" fillId="0" borderId="0" xfId="0" applyNumberFormat="1" applyFont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164" fontId="0" fillId="0" borderId="0" xfId="0" applyNumberForma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164" fontId="1" fillId="0" borderId="0" xfId="0" applyNumberFormat="1" applyFont="1" applyAlignment="1">
      <alignment vertical="top" wrapText="1"/>
    </xf>
  </cellXfs>
  <cellStyles count="2">
    <cellStyle name="Prozent" xfId="1" xr:uid="{00000000-0005-0000-0000-000000000000}"/>
    <cellStyle name="Standard" xfId="0" builtinId="0"/>
  </cellStyles>
  <dxfs count="2">
    <dxf>
      <numFmt numFmtId="0" formatCode="General"/>
    </dxf>
    <dxf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061F3-59DD-4598-BBFE-8728F9C11DC7}" name="sim_a" displayName="sim_a" ref="A1:CC26" totalsRowShown="0" headerRowDxfId="1">
  <autoFilter ref="A1:CC26" xr:uid="{98C061F3-59DD-4598-BBFE-8728F9C11DC7}"/>
  <tableColumns count="81">
    <tableColumn id="1" xr3:uid="{8B5749F1-042B-4D43-B2F1-2A98CD11DC5D}" name="run"/>
    <tableColumn id="2" xr3:uid="{C4340D90-5B89-418D-AA6A-7343B73BBE9F}" name="success"/>
    <tableColumn id="3" xr3:uid="{21251FC4-BDC1-4352-8E47-A406BE515BA0}" name="failure_reason"/>
    <tableColumn id="4" xr3:uid="{455CA53F-99E4-4751-9A23-EA052E6DBAB2}" name="failure_detail"/>
    <tableColumn id="5" xr3:uid="{F9C7A4C9-C7DC-426F-81E1-94F7A98DAA04}" name="duration_sec"/>
    <tableColumn id="6" xr3:uid="{370CBFE5-C4B9-4F06-A8CF-AC12256FCC5C}" name="startup_duration_sec"/>
    <tableColumn id="7" xr3:uid="{CD03868C-7007-4687-BFB4-A22E48E0FE01}" name="command_to_success_sec"/>
    <tableColumn id="8" xr3:uid="{2F2B9C37-23FE-4852-A8B0-3F2371519843}" name="mission_started_sec"/>
    <tableColumn id="9" xr3:uid="{CC8F1CA0-5BB0-45A3-B812-5DC386609DAA}" name="attach_sec"/>
    <tableColumn id="10" xr3:uid="{23886727-8176-4475-BF12-B278B9612820}" name="detach_sec"/>
    <tableColumn id="11" xr3:uid="{9E516C85-4B01-4CD2-B383-E7FDD64FB965}" name="dropoff_detected_sec"/>
    <tableColumn id="12" xr3:uid="{7A6DC4D3-E607-4374-BD0F-A3C3F3E4EDC9}" name="charging_detected_sec"/>
    <tableColumn id="13" xr3:uid="{F68BDEDD-EE03-4815-9DA4-7AA2DDC48CB0}" name="last_trolley_x"/>
    <tableColumn id="14" xr3:uid="{A7ED88A6-887E-43FB-AFC3-B99521F93CAA}" name="last_trolley_y"/>
    <tableColumn id="15" xr3:uid="{C2CFBE09-5200-4A38-82C2-FE169EF73711}" name="last_trolley_yaw_deg"/>
    <tableColumn id="16" xr3:uid="{315F73FD-FC0F-4D25-8EDC-B365038981D1}" name="last_robot_x"/>
    <tableColumn id="17" xr3:uid="{F2B83052-3AE9-49B8-A177-A2EB437C00DC}" name="last_robot_y"/>
    <tableColumn id="18" xr3:uid="{3DD11446-8680-43DA-B137-D030ED102765}" name="last_robot_yaw_deg"/>
    <tableColumn id="19" xr3:uid="{D65ADCBB-8528-4B48-ABFB-19665C84C657}" name="final_trolley_dropoff_error_x"/>
    <tableColumn id="20" xr3:uid="{576F5150-BC9E-4DF1-92AB-46C231224FB2}" name="final_trolley_dropoff_error_y"/>
    <tableColumn id="21" xr3:uid="{F47F8745-8252-4EBE-9856-F19351FE94DA}" name="final_trolley_dropoff_error_dist"/>
    <tableColumn id="22" xr3:uid="{7C7DE311-6741-402D-BAFA-C29874484772}" name="final_robot_charging_error_x"/>
    <tableColumn id="23" xr3:uid="{1B8B7A72-933B-4EE6-9043-C223DF2724ED}" name="final_robot_charging_error_y"/>
    <tableColumn id="24" xr3:uid="{74C1ADFB-DFB3-4FFE-8880-CB4487274C1D}" name="final_robot_charging_error_dist"/>
    <tableColumn id="25" xr3:uid="{E5178E35-1800-4582-9356-4D081A88596B}" name="side_align_complete_sec"/>
    <tableColumn id="26" xr3:uid="{DC50F8D8-EC67-48F2-A9F6-996D3F7AF88E}" name="side_align_aruco_est_error_x"/>
    <tableColumn id="27" xr3:uid="{3642980F-FB0D-4BD3-B146-A00923E4B11B}" name="side_align_aruco_est_error_y"/>
    <tableColumn id="28" xr3:uid="{D9FA486F-E4D5-45F2-B402-ACEC82668693}" name="side_align_aruco_est_yaw_error_deg"/>
    <tableColumn id="29" xr3:uid="{661887EF-04F2-49B4-BF73-5394CC4705AB}" name="side_align_aruco_est_marker_count"/>
    <tableColumn id="30" xr3:uid="{7D05F83E-5587-433F-8AB7-103F85530753}" name="side_align_actual_trolley_base_x"/>
    <tableColumn id="31" xr3:uid="{E696A9D9-1F12-4940-A794-E9010EABDF53}" name="side_align_actual_trolley_base_y"/>
    <tableColumn id="32" xr3:uid="{5BB2AAEB-9810-4963-8882-78A0BA56FECC}" name="side_align_actual_trolley_yaw_error_deg"/>
    <tableColumn id="33" xr3:uid="{8BF8D606-2F30-4800-B2F5-6F562018DF89}" name="side_align_actual_aruco_error_x"/>
    <tableColumn id="34" xr3:uid="{EBFDC9EC-4BFD-4E24-BA53-08B0712803C7}" name="side_align_actual_aruco_error_y"/>
    <tableColumn id="35" xr3:uid="{AE38B6E0-C018-4E40-99DC-840931B3A7DD}" name="side_align_actual_aruco_error_dist"/>
    <tableColumn id="36" xr3:uid="{AE477F7A-9D4E-4494-BE0E-85120CAFE42C}" name="side_align_actual_aruco_yaw_error_deg"/>
    <tableColumn id="37" xr3:uid="{3EF2A185-DA48-422A-8017-07D57C5C7ACB}" name="side_align_aruco_vs_actual_error_x"/>
    <tableColumn id="38" xr3:uid="{CADC7DBD-BF68-4A2A-AB2E-D0F8AEB64C3A}" name="side_align_aruco_vs_actual_error_y"/>
    <tableColumn id="39" xr3:uid="{116BA90C-2299-4D38-98B9-ADDBEFF6E653}" name="side_align_aruco_vs_actual_yaw_error_deg"/>
    <tableColumn id="40" xr3:uid="{7721E212-F0E0-45EE-998C-B643CD16F3CF}" name="fine_align_complete_sec"/>
    <tableColumn id="41" xr3:uid="{44D8442C-4B2B-4C7B-92DE-8906FB5DBB1E}" name="fine_align_aruco_est_error_x"/>
    <tableColumn id="42" xr3:uid="{51462C7D-3B16-4BE8-8F3E-FD04B6FF082A}" name="fine_align_aruco_est_error_y"/>
    <tableColumn id="43" xr3:uid="{CDBCE7AC-8863-443D-B719-FC1A08900FEC}" name="fine_align_aruco_est_yaw_error_deg"/>
    <tableColumn id="44" xr3:uid="{F7239886-D225-4231-B346-DBF646B60A66}" name="fine_align_aruco_est_marker_count"/>
    <tableColumn id="45" xr3:uid="{D6783630-193F-4CBF-9342-21E77E95CB0F}" name="fine_align_actual_trolley_base_x"/>
    <tableColumn id="46" xr3:uid="{F2829B66-48CD-4919-845A-A647BE8D1E95}" name="fine_align_actual_trolley_base_y"/>
    <tableColumn id="47" xr3:uid="{D1EE085C-2229-447D-8983-68FC94ED5C39}" name="fine_align_actual_trolley_yaw_error_deg"/>
    <tableColumn id="48" xr3:uid="{38B6EA43-2173-4E0E-9E27-DA8F86F417C8}" name="fine_align_actual_aruco_error_x"/>
    <tableColumn id="49" xr3:uid="{01DE37B6-CAEF-46E6-B946-A682DE7B3622}" name="fine_align_actual_aruco_error_y"/>
    <tableColumn id="50" xr3:uid="{4AE6494E-8DA4-4D44-BC3D-3583F1E8B644}" name="fine_align_actual_aruco_error_dist"/>
    <tableColumn id="51" xr3:uid="{18D3CECE-AF54-407D-A1F5-F890F26799E6}" name="fine_align_actual_aruco_yaw_error_deg"/>
    <tableColumn id="52" xr3:uid="{5F66066E-C677-416F-AF99-4A480D4EA7DE}" name="fine_align_aruco_vs_actual_error_x"/>
    <tableColumn id="53" xr3:uid="{6634816D-EAA7-4D68-9445-18A40EB3289D}" name="fine_align_aruco_vs_actual_error_y"/>
    <tableColumn id="54" xr3:uid="{8CF98C7E-AF5C-4985-9758-232EF1394A94}" name="fine_align_aruco_vs_actual_yaw_error_deg"/>
    <tableColumn id="55" xr3:uid="{925CA52B-BB7B-4608-BE53-A8B7DDD7EF2A}" name="mission_param_overrides"/>
    <tableColumn id="56" xr3:uid="{2506B291-58B4-44D7-B1D4-0A67EDD0E3A8}" name="holonomic_param_overrides"/>
    <tableColumn id="57" xr3:uid="{7A94483B-6A53-4E30-95BD-00278FE1334B}" name="last_log_line"/>
    <tableColumn id="86" xr3:uid="{86A14D95-3F10-4F74-9000-38390BC94055}" name="abs_final_trolley_dropoff_x_mm">
      <calculatedColumnFormula>IF(sim_a[[#This Row],[final_trolley_dropoff_error_x]]="","",ABS(sim_a[[#This Row],[final_trolley_dropoff_error_x]])*1000)</calculatedColumnFormula>
    </tableColumn>
    <tableColumn id="87" xr3:uid="{F1120AFB-EE77-48C7-9ED3-39EEAE4454B8}" name="abs_final_trolley_dropoff_y_mm">
      <calculatedColumnFormula>IF(sim_a[[#This Row],[final_trolley_dropoff_error_y]]="","",ABS(sim_a[[#This Row],[final_trolley_dropoff_error_y]])*1000)</calculatedColumnFormula>
    </tableColumn>
    <tableColumn id="88" xr3:uid="{84F39696-B615-430E-AABD-847B07A9B913}" name="final_trolley_dropoff_dist_mm">
      <calculatedColumnFormula>IF(sim_a[[#This Row],[final_trolley_dropoff_error_dist]]="","",sim_a[[#This Row],[final_trolley_dropoff_error_dist]]*1000)</calculatedColumnFormula>
    </tableColumn>
    <tableColumn id="89" xr3:uid="{7DF9C52F-D9DD-42D5-AA95-FC049325D532}" name="abs_final_robot_charging_x_mm">
      <calculatedColumnFormula>IF(sim_a[[#This Row],[final_robot_charging_error_x]]="","",ABS(sim_a[[#This Row],[final_robot_charging_error_x]])*1000)</calculatedColumnFormula>
    </tableColumn>
    <tableColumn id="90" xr3:uid="{DD7A91DB-C107-4649-B269-CCC5C986EA47}" name="abs_final_robot_charging_y_mm">
      <calculatedColumnFormula>IF(sim_a[[#This Row],[final_robot_charging_error_y]]="","",ABS(sim_a[[#This Row],[final_robot_charging_error_y]])*1000)</calculatedColumnFormula>
    </tableColumn>
    <tableColumn id="91" xr3:uid="{E1BCAE55-D8F8-41E7-A552-907C2D1D020A}" name="final_robot_charging_dist_mm">
      <calculatedColumnFormula>IF(sim_a[[#This Row],[final_robot_charging_error_dist]]="","",sim_a[[#This Row],[final_robot_charging_error_dist]]*1000)</calculatedColumnFormula>
    </tableColumn>
    <tableColumn id="92" xr3:uid="{218A74F0-E519-4A40-9735-B0110C644D98}" name="abs_side_est_x_mm">
      <calculatedColumnFormula>IF(sim_a[[#This Row],[side_align_aruco_est_error_x]]="","",ABS(sim_a[[#This Row],[side_align_aruco_est_error_x]])*1000)</calculatedColumnFormula>
    </tableColumn>
    <tableColumn id="93" xr3:uid="{3C15EF56-8AFC-4CFE-BF40-7DE64B30D93D}" name="abs_side_est_y_mm">
      <calculatedColumnFormula>IF(sim_a[[#This Row],[side_align_aruco_est_error_y]]="","",ABS(sim_a[[#This Row],[side_align_aruco_est_error_y]])*1000)</calculatedColumnFormula>
    </tableColumn>
    <tableColumn id="94" xr3:uid="{2C291C4F-3DDE-46AC-BA6F-1324CBB9605E}" name="abs_side_est_yaw_deg">
      <calculatedColumnFormula>IF(sim_a[[#This Row],[side_align_aruco_est_yaw_error_deg]]="","",ABS(sim_a[[#This Row],[side_align_aruco_est_yaw_error_deg]]))</calculatedColumnFormula>
    </tableColumn>
    <tableColumn id="95" xr3:uid="{88EBB7A3-F998-48A5-9D22-C0F8F1EAE8BF}" name="abs_side_actual_x_mm">
      <calculatedColumnFormula>IF(sim_a[[#This Row],[side_align_actual_aruco_error_x]]="","",ABS(sim_a[[#This Row],[side_align_actual_aruco_error_x]])*1000)</calculatedColumnFormula>
    </tableColumn>
    <tableColumn id="96" xr3:uid="{D0768508-2B79-40C9-B1B1-F84CDEF2DC0E}" name="abs_side_actual_y_mm">
      <calculatedColumnFormula>IF(sim_a[[#This Row],[side_align_actual_aruco_error_y]]="","",ABS(sim_a[[#This Row],[side_align_actual_aruco_error_y]])*1000)</calculatedColumnFormula>
    </tableColumn>
    <tableColumn id="97" xr3:uid="{053CA1FA-9244-4164-92D5-A4EEC9ABF6BF}" name="abs_side_actual_yaw_deg">
      <calculatedColumnFormula>IF(sim_a[[#This Row],[side_align_actual_aruco_yaw_error_deg]]="","",ABS(sim_a[[#This Row],[side_align_actual_aruco_yaw_error_deg]]))</calculatedColumnFormula>
    </tableColumn>
    <tableColumn id="98" xr3:uid="{D524FC39-AAAC-4A3E-877F-7BC914BBD4A8}" name="abs_side_vs_actual_x_mm">
      <calculatedColumnFormula>IF(sim_a[[#This Row],[side_align_aruco_vs_actual_error_x]]="","",ABS(sim_a[[#This Row],[side_align_aruco_vs_actual_error_x]])*1000)</calculatedColumnFormula>
    </tableColumn>
    <tableColumn id="99" xr3:uid="{1E1DDDB7-32EC-45C3-8119-F6D2568E149A}" name="abs_side_vs_actual_y_mm">
      <calculatedColumnFormula>IF(sim_a[[#This Row],[side_align_aruco_vs_actual_error_y]]="","",ABS(sim_a[[#This Row],[side_align_aruco_vs_actual_error_y]])*1000)</calculatedColumnFormula>
    </tableColumn>
    <tableColumn id="100" xr3:uid="{465F350E-142A-4EBC-BECC-B09204E122E7}" name="abs_side_vs_actual_yaw_deg">
      <calculatedColumnFormula>IF(sim_a[[#This Row],[side_align_aruco_vs_actual_yaw_error_deg]]="","",ABS(sim_a[[#This Row],[side_align_aruco_vs_actual_yaw_error_deg]]))</calculatedColumnFormula>
    </tableColumn>
    <tableColumn id="101" xr3:uid="{09D15267-6C74-40FF-BA2C-966019E6D719}" name="abs_fine_est_x_mm">
      <calculatedColumnFormula>IF(sim_a[[#This Row],[fine_align_aruco_est_error_x]]="","",ABS(sim_a[[#This Row],[fine_align_aruco_est_error_x]])*1000)</calculatedColumnFormula>
    </tableColumn>
    <tableColumn id="102" xr3:uid="{0C1765FB-9E6F-4BAB-BC0A-CD89F487799F}" name="abs_fine_est_y_mm">
      <calculatedColumnFormula>IF(sim_a[[#This Row],[fine_align_aruco_est_error_y]]="","",ABS(sim_a[[#This Row],[fine_align_aruco_est_error_y]])*1000)</calculatedColumnFormula>
    </tableColumn>
    <tableColumn id="103" xr3:uid="{C46670C6-422D-44A0-9D19-E07A36807EBA}" name="abs_fine_est_yaw_deg">
      <calculatedColumnFormula>IF(sim_a[[#This Row],[fine_align_aruco_est_yaw_error_deg]]="","",ABS(sim_a[[#This Row],[fine_align_aruco_est_yaw_error_deg]]))</calculatedColumnFormula>
    </tableColumn>
    <tableColumn id="104" xr3:uid="{CCC3EC6A-6B81-4124-BB47-BF46336AD324}" name="abs_fine_actual_x_mm">
      <calculatedColumnFormula>IF(sim_a[[#This Row],[fine_align_actual_aruco_error_x]]="","",ABS(sim_a[[#This Row],[fine_align_actual_aruco_error_x]])*1000)</calculatedColumnFormula>
    </tableColumn>
    <tableColumn id="105" xr3:uid="{8BDDE078-489B-4120-A1DE-400447FC14E2}" name="abs_fine_actual_y_mm">
      <calculatedColumnFormula>IF(sim_a[[#This Row],[fine_align_actual_aruco_error_y]]="","",ABS(sim_a[[#This Row],[fine_align_actual_aruco_error_y]])*1000)</calculatedColumnFormula>
    </tableColumn>
    <tableColumn id="106" xr3:uid="{AE13771A-006C-47F4-9B9B-D309094E84BC}" name="abs_fine_actual_yaw_deg">
      <calculatedColumnFormula>IF(sim_a[[#This Row],[fine_align_actual_aruco_yaw_error_deg]]="","",ABS(sim_a[[#This Row],[fine_align_actual_aruco_yaw_error_deg]]))</calculatedColumnFormula>
    </tableColumn>
    <tableColumn id="107" xr3:uid="{471BC335-D5AA-4EE6-BDB2-5548041B9B4C}" name="abs_fine_vs_actual_x_mm">
      <calculatedColumnFormula>IF(sim_a[[#This Row],[fine_align_aruco_vs_actual_error_x]]="","",ABS(sim_a[[#This Row],[fine_align_aruco_vs_actual_error_x]])*1000)</calculatedColumnFormula>
    </tableColumn>
    <tableColumn id="108" xr3:uid="{CBC96C43-0579-4919-B2CD-B3492A428C12}" name="abs_fine_vs_actual_y_mm">
      <calculatedColumnFormula>IF(sim_a[[#This Row],[fine_align_aruco_vs_actual_error_y]]="","",ABS(sim_a[[#This Row],[fine_align_aruco_vs_actual_error_y]])*1000)</calculatedColumnFormula>
    </tableColumn>
    <tableColumn id="109" xr3:uid="{F37500F9-89A6-480C-B5B4-CB9C5AEFAB33}" name="abs_fine_vs_actual_yaw_deg" dataDxfId="0">
      <calculatedColumnFormula>IF(sim_a[[#This Row],[fine_align_aruco_vs_actual_yaw_error_deg]]="","",ABS(sim_a[[#This Row],[fine_align_aruco_vs_actual_yaw_error_deg]]))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00"/>
  <sheetViews>
    <sheetView tabSelected="1" workbookViewId="0">
      <selection activeCell="H3" sqref="H3:K9"/>
    </sheetView>
  </sheetViews>
  <sheetFormatPr baseColWidth="10" defaultRowHeight="15" x14ac:dyDescent="0.25"/>
  <cols>
    <col min="1" max="1" width="36" style="5" customWidth="1"/>
    <col min="2" max="6" width="16" style="5" customWidth="1"/>
    <col min="7" max="7" width="24" style="5" customWidth="1"/>
    <col min="8" max="8" width="22" style="5" customWidth="1"/>
    <col min="9" max="11" width="18" style="5" customWidth="1"/>
    <col min="12" max="16384" width="11.42578125" style="5"/>
  </cols>
  <sheetData>
    <row r="1" spans="1:52" ht="27.95" customHeight="1" x14ac:dyDescent="0.25">
      <c r="A1" s="14" t="s">
        <v>32</v>
      </c>
      <c r="B1" s="14"/>
      <c r="C1" s="14"/>
      <c r="D1" s="14"/>
      <c r="E1" s="14"/>
      <c r="F1" s="14"/>
      <c r="G1" s="14"/>
      <c r="H1" s="1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5">
      <c r="A2" s="15"/>
      <c r="B2" s="15"/>
      <c r="C2" s="15"/>
      <c r="D2" s="15"/>
      <c r="E2" s="15"/>
      <c r="F2" s="15"/>
      <c r="G2" s="15"/>
      <c r="H2" s="1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x14ac:dyDescent="0.25">
      <c r="A3" s="4" t="s">
        <v>33</v>
      </c>
      <c r="B3" s="4" t="s">
        <v>34</v>
      </c>
      <c r="C3" s="4" t="s">
        <v>35</v>
      </c>
      <c r="D3" s="4" t="s">
        <v>36</v>
      </c>
      <c r="E3" s="6"/>
      <c r="F3" s="6"/>
      <c r="G3" s="6"/>
      <c r="H3" s="4" t="s">
        <v>37</v>
      </c>
      <c r="I3" s="4" t="s">
        <v>38</v>
      </c>
      <c r="J3" s="4" t="s">
        <v>39</v>
      </c>
      <c r="K3" s="4" t="s">
        <v>36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ht="60" x14ac:dyDescent="0.25">
      <c r="A4" s="7" t="s">
        <v>40</v>
      </c>
      <c r="B4" s="7">
        <f>COUNTA('Combined Mission Data'!$C$2:$C$76)</f>
        <v>75</v>
      </c>
      <c r="C4" s="7">
        <f>B4</f>
        <v>75</v>
      </c>
      <c r="D4" s="7" t="s">
        <v>41</v>
      </c>
      <c r="E4" s="6"/>
      <c r="F4" s="6"/>
      <c r="G4" s="6"/>
      <c r="H4" s="8" t="s">
        <v>20</v>
      </c>
      <c r="I4" s="6">
        <f>COUNTIF('Combined Mission Data'!$E$2:$E$76,H4)</f>
        <v>13</v>
      </c>
      <c r="J4" s="6">
        <f>IFERROR(I4/$B$6,0)</f>
        <v>0.59090909090909094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x14ac:dyDescent="0.25">
      <c r="A5" s="6" t="s">
        <v>42</v>
      </c>
      <c r="B5" s="6">
        <f>COUNTIF('Combined Mission Data'!$D$2:$D$76,TRUE)</f>
        <v>53</v>
      </c>
      <c r="C5" s="6">
        <f>B4</f>
        <v>75</v>
      </c>
      <c r="D5" s="6" t="s">
        <v>43</v>
      </c>
      <c r="E5" s="6"/>
      <c r="F5" s="6"/>
      <c r="G5" s="6"/>
      <c r="H5" s="9" t="s">
        <v>21</v>
      </c>
      <c r="I5" s="6">
        <f>COUNTIF('Combined Mission Data'!$E$2:$E$76,H5)</f>
        <v>6</v>
      </c>
      <c r="J5" s="6">
        <f>IFERROR(I5/$B$6,0)</f>
        <v>0.27272727272727271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30" x14ac:dyDescent="0.25">
      <c r="A6" s="6" t="s">
        <v>44</v>
      </c>
      <c r="B6" s="6">
        <f>COUNTIF('Combined Mission Data'!$D$2:$D$76,FALSE)</f>
        <v>22</v>
      </c>
      <c r="C6" s="6">
        <f>B4</f>
        <v>75</v>
      </c>
      <c r="D6" s="6" t="s">
        <v>45</v>
      </c>
      <c r="E6" s="6"/>
      <c r="F6" s="6"/>
      <c r="G6" s="6"/>
      <c r="H6" s="9" t="s">
        <v>31</v>
      </c>
      <c r="I6" s="6">
        <f>COUNTIF('Combined Mission Data'!$E$2:$E$76,H6)</f>
        <v>1</v>
      </c>
      <c r="J6" s="6">
        <f>IFERROR(I6/$B$6,0)</f>
        <v>4.5454545454545456E-2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45" x14ac:dyDescent="0.25">
      <c r="A7" s="6" t="s">
        <v>46</v>
      </c>
      <c r="B7" s="6">
        <f>IFERROR(B5/B4,0)</f>
        <v>0.70666666666666667</v>
      </c>
      <c r="C7" s="6" t="str">
        <f>B5&amp;" / "&amp;B4</f>
        <v>53 / 75</v>
      </c>
      <c r="D7" s="6" t="s">
        <v>47</v>
      </c>
      <c r="E7" s="6"/>
      <c r="F7" s="6"/>
      <c r="G7" s="6"/>
      <c r="H7" s="18" t="s">
        <v>242</v>
      </c>
      <c r="I7" s="5">
        <f>COUNTIF('Combined Mission Data'!$E$2:$E$76,H7)</f>
        <v>1</v>
      </c>
      <c r="J7" s="6">
        <f>IFERROR(I7/$B$6,0)</f>
        <v>4.5454545454545456E-2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30" x14ac:dyDescent="0.25">
      <c r="A8" s="6" t="s">
        <v>48</v>
      </c>
      <c r="B8" s="6">
        <f ca="1">AVERAGEIF('Combined Mission Data'!D:D,TRUE,'Combined Mission Data'!G2:G76)</f>
        <v>275.42475471698117</v>
      </c>
      <c r="C8" s="6">
        <f>B$5</f>
        <v>53</v>
      </c>
      <c r="D8" s="6" t="s">
        <v>49</v>
      </c>
      <c r="E8" s="6"/>
      <c r="F8" s="6"/>
      <c r="G8" s="6"/>
      <c r="H8" s="19" t="s">
        <v>251</v>
      </c>
      <c r="I8" s="5">
        <f>COUNTIF('Combined Mission Data'!$E$2:$E$76,H8)</f>
        <v>1</v>
      </c>
      <c r="J8" s="6">
        <f>IFERROR(I8/$B$6,0)</f>
        <v>4.5454545454545456E-2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30" x14ac:dyDescent="0.25">
      <c r="A9" s="6" t="s">
        <v>51</v>
      </c>
      <c r="B9" s="6">
        <f>MEDIAN('Combined Mission Data'!D:D,TRUE,'Combined Mission Data'!G2:G76)</f>
        <v>276.86099999999999</v>
      </c>
      <c r="C9" s="6">
        <f t="shared" ref="C9:C11" si="0">B$5</f>
        <v>53</v>
      </c>
      <c r="D9" s="6" t="s">
        <v>49</v>
      </c>
      <c r="E9" s="6"/>
      <c r="F9" s="6"/>
      <c r="G9" s="6"/>
      <c r="H9" s="9" t="s">
        <v>52</v>
      </c>
      <c r="I9" s="6">
        <f>SUM(I4:I8)</f>
        <v>22</v>
      </c>
      <c r="J9" s="6">
        <f>SUM(J4:J8)</f>
        <v>0.99999999999999989</v>
      </c>
      <c r="K9" s="6" t="s">
        <v>53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30" x14ac:dyDescent="0.25">
      <c r="A10" s="6" t="s">
        <v>54</v>
      </c>
      <c r="B10" s="6">
        <f>_xlfn.MINIFS('Combined Mission Data'!G:G,'Combined Mission Data'!D:D,TRUE)</f>
        <v>253.126</v>
      </c>
      <c r="C10" s="6">
        <f t="shared" si="0"/>
        <v>53</v>
      </c>
      <c r="D10" s="6" t="s">
        <v>49</v>
      </c>
      <c r="E10" s="6"/>
      <c r="F10" s="6"/>
      <c r="G10" s="6"/>
      <c r="H10" s="9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30" x14ac:dyDescent="0.25">
      <c r="A11" s="6" t="s">
        <v>55</v>
      </c>
      <c r="B11" s="6">
        <f>_xlfn.MAXIFS('Combined Mission Data'!G:G,'Combined Mission Data'!D:D,TRUE)</f>
        <v>311.83800000000002</v>
      </c>
      <c r="C11" s="6">
        <f t="shared" si="0"/>
        <v>53</v>
      </c>
      <c r="D11" s="6" t="s">
        <v>49</v>
      </c>
      <c r="E11" s="6"/>
      <c r="F11" s="6"/>
      <c r="G11" s="6"/>
      <c r="H11" s="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x14ac:dyDescent="0.25">
      <c r="A12" s="6"/>
      <c r="B12" s="6"/>
      <c r="C12" s="6"/>
      <c r="D12" s="6"/>
      <c r="E12" s="6"/>
      <c r="F12" s="6"/>
      <c r="G12" s="6"/>
      <c r="H12" s="10" t="s">
        <v>56</v>
      </c>
      <c r="I12" s="4" t="s">
        <v>57</v>
      </c>
      <c r="J12" s="4" t="s">
        <v>50</v>
      </c>
      <c r="K12" s="4" t="s">
        <v>46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x14ac:dyDescent="0.25">
      <c r="A13" s="6"/>
      <c r="B13" s="6"/>
      <c r="C13" s="6"/>
      <c r="D13" s="6"/>
      <c r="E13" s="6"/>
      <c r="F13" s="6"/>
      <c r="G13" s="6"/>
      <c r="H13" s="9" t="s">
        <v>58</v>
      </c>
      <c r="I13" s="6">
        <f>COUNTIF('Combined Mission Data'!$A$2:$A$76,H13)</f>
        <v>50</v>
      </c>
      <c r="J13" s="6">
        <f>COUNTIFS('Combined Mission Data'!$A$2:$A$76,H13,'Combined Mission Data'!$D$2:$D$76,TRUE)</f>
        <v>37</v>
      </c>
      <c r="K13" s="6">
        <f>IFERROR(J13/I13,0)</f>
        <v>0.74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x14ac:dyDescent="0.25">
      <c r="A14" s="4" t="s">
        <v>193</v>
      </c>
      <c r="B14" s="4" t="s">
        <v>59</v>
      </c>
      <c r="C14" s="4" t="s">
        <v>60</v>
      </c>
      <c r="D14" s="4" t="s">
        <v>61</v>
      </c>
      <c r="E14" s="4" t="s">
        <v>62</v>
      </c>
      <c r="F14" s="10"/>
      <c r="G14" s="9"/>
      <c r="H14" s="9" t="s">
        <v>63</v>
      </c>
      <c r="I14" s="6">
        <f>COUNTIF('Combined Mission Data'!$A$2:$A$76,H14)</f>
        <v>25</v>
      </c>
      <c r="J14" s="6">
        <f>COUNTIFS('Combined Mission Data'!$A$2:$A$76,H14,'Combined Mission Data'!$D$2:$D$76,TRUE)</f>
        <v>16</v>
      </c>
      <c r="K14" s="6">
        <f>IFERROR(J14/I14,0)</f>
        <v>0.64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x14ac:dyDescent="0.25">
      <c r="A15" s="6" t="s">
        <v>64</v>
      </c>
      <c r="B15" s="6">
        <f>AVERAGEIF('Combined Mission Data'!D:D,TRUE,'Combined Mission Data'!H:H)</f>
        <v>9.5456603773584892</v>
      </c>
      <c r="C15" s="6" cm="1">
        <f t="array" ref="C15">MEDIAN(_xlfn._xlws.FILTER('Combined Mission Data'!H2:H76,'Combined Mission Data'!$D2:$D76=TRUE))</f>
        <v>9.4870000000000001</v>
      </c>
      <c r="D15" s="5">
        <f>_xlfn.MINIFS('Combined Mission Data'!H2:H76,'Combined Mission Data'!$D2:$D76,TRUE)</f>
        <v>9.1809999999999992</v>
      </c>
      <c r="E15" s="5">
        <f>_xlfn.MAXIFS('Combined Mission Data'!H2:H76,'Combined Mission Data'!$D2:$D76,TRUE)</f>
        <v>10.193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x14ac:dyDescent="0.25">
      <c r="A16" s="6" t="s">
        <v>65</v>
      </c>
      <c r="B16" s="6">
        <f>AVERAGEIF('Combined Mission Data'!$D:$D,TRUE,'Combined Mission Data'!J:J)</f>
        <v>13.363169811320754</v>
      </c>
      <c r="C16" s="6" cm="1">
        <f t="array" ref="C16">MEDIAN(_xlfn._xlws.FILTER('Combined Mission Data'!J2:J76,'Combined Mission Data'!$D2:$D76=TRUE))</f>
        <v>12.603</v>
      </c>
      <c r="D16" s="5">
        <f>_xlfn.MINIFS('Combined Mission Data'!J2:J76,'Combined Mission Data'!$D2:$D76,TRUE)</f>
        <v>11.598000000000001</v>
      </c>
      <c r="E16" s="5">
        <f>_xlfn.MAXIFS('Combined Mission Data'!J2:J76,'Combined Mission Data'!$D2:$D76,TRUE)</f>
        <v>17.405000000000001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x14ac:dyDescent="0.25">
      <c r="A17" s="6" t="s">
        <v>66</v>
      </c>
      <c r="B17" s="6">
        <f>AVERAGEIF('Combined Mission Data'!$D:$D,TRUE,'Combined Mission Data'!K:K)</f>
        <v>119.07984905660379</v>
      </c>
      <c r="C17" s="6" cm="1">
        <f t="array" ref="C17">MEDIAN(_xlfn._xlws.FILTER('Combined Mission Data'!K2:K76,'Combined Mission Data'!$D2:$D76=TRUE))</f>
        <v>117.687</v>
      </c>
      <c r="D17" s="5">
        <f>_xlfn.MINIFS('Combined Mission Data'!K2:K76,'Combined Mission Data'!$D2:$D76,TRUE)</f>
        <v>107.392</v>
      </c>
      <c r="E17" s="5">
        <f>_xlfn.MAXIFS('Combined Mission Data'!K2:K76,'Combined Mission Data'!$D2:$D76,TRUE)</f>
        <v>139.53800000000001</v>
      </c>
      <c r="G17" s="6"/>
      <c r="H17" s="4"/>
      <c r="I17" s="4"/>
      <c r="J17" s="4"/>
      <c r="K17" s="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x14ac:dyDescent="0.25">
      <c r="A18" s="6" t="s">
        <v>68</v>
      </c>
      <c r="B18" s="6">
        <f>AVERAGEIF('Combined Mission Data'!$D:$D,TRUE,'Combined Mission Data'!L:L)</f>
        <v>211.37237735849061</v>
      </c>
      <c r="C18" s="6" cm="1">
        <f t="array" ref="C18">MEDIAN(_xlfn._xlws.FILTER('Combined Mission Data'!L2:L76,'Combined Mission Data'!$D2:$D76=TRUE))</f>
        <v>211.928</v>
      </c>
      <c r="D18" s="5">
        <f>_xlfn.MINIFS('Combined Mission Data'!L2:L76,'Combined Mission Data'!$D2:$D76,TRUE)</f>
        <v>186.053</v>
      </c>
      <c r="E18" s="5">
        <f>_xlfn.MAXIFS('Combined Mission Data'!L2:L76,'Combined Mission Data'!$D2:$D76,TRUE)</f>
        <v>244.05099999999999</v>
      </c>
      <c r="H18" s="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x14ac:dyDescent="0.25">
      <c r="A19" s="6" t="s">
        <v>69</v>
      </c>
      <c r="B19" s="6">
        <f>AVERAGEIF('Combined Mission Data'!$D:$D,TRUE,'Combined Mission Data'!M:M)</f>
        <v>183.02222641509431</v>
      </c>
      <c r="C19" s="6" cm="1">
        <f t="array" ref="C19">MEDIAN(_xlfn._xlws.FILTER('Combined Mission Data'!M2:M76,'Combined Mission Data'!$D2:$D76=TRUE))</f>
        <v>184.49700000000001</v>
      </c>
      <c r="D19" s="5">
        <f>_xlfn.MINIFS('Combined Mission Data'!M2:M76,'Combined Mission Data'!$D2:$D76,TRUE)</f>
        <v>159.96199999999999</v>
      </c>
      <c r="E19" s="5">
        <f>_xlfn.MAXIFS('Combined Mission Data'!M2:M76,'Combined Mission Data'!$D2:$D76,TRUE)</f>
        <v>208.24299999999999</v>
      </c>
      <c r="G19" s="9"/>
      <c r="H19" s="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x14ac:dyDescent="0.25">
      <c r="A20" s="6" t="s">
        <v>70</v>
      </c>
      <c r="B20" s="6">
        <f>AVERAGEIF('Combined Mission Data'!$D:$D,TRUE,'Combined Mission Data'!N:N)</f>
        <v>277.19490566037729</v>
      </c>
      <c r="C20" s="6" cm="1">
        <f t="array" ref="C20">MEDIAN(_xlfn._xlws.FILTER('Combined Mission Data'!N2:N76,'Combined Mission Data'!$D2:$D76=TRUE))</f>
        <v>278.053</v>
      </c>
      <c r="D20" s="5">
        <f>_xlfn.MINIFS('Combined Mission Data'!N2:N76,'Combined Mission Data'!$D2:$D76,TRUE)</f>
        <v>252.11600000000001</v>
      </c>
      <c r="E20" s="5">
        <f>_xlfn.MAXIFS('Combined Mission Data'!N2:N76,'Combined Mission Data'!$D2:$D76,TRUE)</f>
        <v>310.83100000000002</v>
      </c>
      <c r="G20" s="9"/>
      <c r="H20" s="9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x14ac:dyDescent="0.25">
      <c r="A21" s="6" t="s">
        <v>71</v>
      </c>
      <c r="B21" s="6">
        <f>AVERAGEIF('Combined Mission Data'!$D:$D,TRUE,'Combined Mission Data'!O:O)</f>
        <v>278.20107547169812</v>
      </c>
      <c r="C21" s="6" cm="1">
        <f t="array" ref="C21">MEDIAN(_xlfn._xlws.FILTER('Combined Mission Data'!O2:O76,'Combined Mission Data'!$D2:$D76=TRUE))</f>
        <v>279.05900000000003</v>
      </c>
      <c r="D21" s="5">
        <f>_xlfn.MINIFS('Combined Mission Data'!O2:O76,'Combined Mission Data'!$D2:$D76,TRUE)</f>
        <v>253.12299999999999</v>
      </c>
      <c r="E21" s="5">
        <f>_xlfn.MAXIFS('Combined Mission Data'!O2:O76,'Combined Mission Data'!$D2:$D76,TRUE)</f>
        <v>311.83699999999999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x14ac:dyDescent="0.25">
      <c r="A22" s="7" t="s">
        <v>72</v>
      </c>
      <c r="B22" s="7"/>
      <c r="C22" s="7"/>
      <c r="D22" s="7"/>
      <c r="E22" s="6"/>
      <c r="F22" s="9"/>
      <c r="G22" s="9"/>
      <c r="H22" s="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x14ac:dyDescent="0.25">
      <c r="A23" s="6"/>
      <c r="B23" s="6"/>
      <c r="C23" s="6"/>
      <c r="D23" s="6"/>
      <c r="E23" s="6"/>
      <c r="F23" s="9"/>
      <c r="G23" s="9"/>
      <c r="H23" s="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x14ac:dyDescent="0.25">
      <c r="A24" s="6"/>
      <c r="B24" s="6"/>
      <c r="C24" s="6"/>
      <c r="D24" s="6"/>
      <c r="E24" s="6"/>
      <c r="F24" s="9"/>
      <c r="G24" s="9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x14ac:dyDescent="0.25">
      <c r="A25" s="16" t="s">
        <v>283</v>
      </c>
      <c r="B25" s="16" t="s">
        <v>284</v>
      </c>
      <c r="C25" s="16"/>
      <c r="D25" s="4"/>
      <c r="E25" s="4"/>
      <c r="F25" s="10"/>
      <c r="G25" s="9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30" x14ac:dyDescent="0.25">
      <c r="A26" s="17" t="s">
        <v>285</v>
      </c>
      <c r="B26" s="17" t="s">
        <v>286</v>
      </c>
      <c r="C26" s="12">
        <f>COUNTA(sim_a[run])</f>
        <v>25</v>
      </c>
      <c r="E26" s="6"/>
      <c r="F26" s="9"/>
      <c r="G26" s="9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30" x14ac:dyDescent="0.25">
      <c r="A27" s="17" t="s">
        <v>285</v>
      </c>
      <c r="B27" s="17" t="s">
        <v>42</v>
      </c>
      <c r="C27" s="12">
        <f>COUNTIF(sim_a[success],TRUE)</f>
        <v>16</v>
      </c>
      <c r="D27" s="6"/>
      <c r="E27" s="6"/>
      <c r="F27" s="9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30" x14ac:dyDescent="0.25">
      <c r="A28" s="17" t="s">
        <v>285</v>
      </c>
      <c r="B28" s="17" t="s">
        <v>44</v>
      </c>
      <c r="C28" s="12">
        <f>COUNTIF(sim_a[success],FALSE)</f>
        <v>9</v>
      </c>
      <c r="D28" s="6"/>
      <c r="E28" s="6"/>
      <c r="F28" s="9"/>
      <c r="G28" s="11"/>
      <c r="H28" s="1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30" x14ac:dyDescent="0.25">
      <c r="A29" s="17" t="s">
        <v>285</v>
      </c>
      <c r="B29" s="17" t="s">
        <v>46</v>
      </c>
      <c r="C29" s="12">
        <f>COUNTIF(sim_a[success],TRUE)/COUNTA(sim_a[run])</f>
        <v>0.64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45" x14ac:dyDescent="0.25">
      <c r="A30" s="17" t="s">
        <v>285</v>
      </c>
      <c r="B30" s="17" t="s">
        <v>287</v>
      </c>
      <c r="C30" s="12">
        <f>AVERAGEIF(sim_a[success],TRUE,sim_a[duration_sec])</f>
        <v>263.05950000000001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45" x14ac:dyDescent="0.25">
      <c r="A31" s="17" t="s">
        <v>285</v>
      </c>
      <c r="B31" s="17" t="s">
        <v>288</v>
      </c>
      <c r="C31" s="12" cm="1">
        <f t="array" ref="C31">MEDIAN(_xlfn._xlws.FILTER(sim_a[duration_sec],sim_a[success]=TRUE))</f>
        <v>262.52499999999998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45" x14ac:dyDescent="0.25">
      <c r="A32" s="17" t="s">
        <v>285</v>
      </c>
      <c r="B32" s="17" t="s">
        <v>289</v>
      </c>
      <c r="C32" s="12" cm="1">
        <f t="array" ref="C32">MIN(_xlfn._xlws.FILTER(sim_a[duration_sec],sim_a[success]=TRUE))</f>
        <v>253.126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45" x14ac:dyDescent="0.25">
      <c r="A33" s="17" t="s">
        <v>285</v>
      </c>
      <c r="B33" s="17" t="s">
        <v>290</v>
      </c>
      <c r="C33" s="12" cm="1">
        <f t="array" ref="C33">MAX(_xlfn._xlws.FILTER(sim_a[duration_sec],sim_a[success]=TRUE))</f>
        <v>274.303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45" x14ac:dyDescent="0.25">
      <c r="A34" s="17" t="s">
        <v>285</v>
      </c>
      <c r="B34" s="17" t="s">
        <v>291</v>
      </c>
      <c r="C34" s="12">
        <f>AVERAGEIF(sim_a[success],TRUE,sim_a[command_to_success_sec])</f>
        <v>263.05712500000004</v>
      </c>
      <c r="D34" s="6"/>
      <c r="E34" s="6"/>
      <c r="F34" s="6"/>
      <c r="G34" s="11"/>
      <c r="H34" s="1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30" x14ac:dyDescent="0.25">
      <c r="A35" s="17" t="s">
        <v>292</v>
      </c>
      <c r="B35" s="17" t="s">
        <v>293</v>
      </c>
      <c r="C35" s="12">
        <f>COUNTIFS(sim_a[success],FALSE,sim_a[failure_reason],A2)</f>
        <v>0</v>
      </c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30" x14ac:dyDescent="0.25">
      <c r="A36" s="17" t="s">
        <v>292</v>
      </c>
      <c r="B36" s="17" t="s">
        <v>294</v>
      </c>
      <c r="C36" s="12">
        <f>B2/COUNTIF(sim_a[success],FALSE)</f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30" x14ac:dyDescent="0.25">
      <c r="A37" s="17" t="s">
        <v>295</v>
      </c>
      <c r="B37" s="17" t="s">
        <v>296</v>
      </c>
      <c r="C37" s="12">
        <f>AVERAGEIF(sim_a[success],TRUE,sim_a[abs_final_trolley_dropoff_x_mm])</f>
        <v>5.8187499999999996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54" customHeight="1" x14ac:dyDescent="0.25">
      <c r="A38" s="17" t="s">
        <v>295</v>
      </c>
      <c r="B38" s="17" t="s">
        <v>297</v>
      </c>
      <c r="C38" s="12">
        <f>AVERAGEIF(sim_a[success],TRUE,sim_a[abs_final_trolley_dropoff_y_mm])</f>
        <v>63.406250000000007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54" customHeight="1" x14ac:dyDescent="0.25">
      <c r="A39" s="17" t="s">
        <v>295</v>
      </c>
      <c r="B39" s="17" t="s">
        <v>298</v>
      </c>
      <c r="C39" s="12">
        <f>AVERAGEIF(sim_a[success],TRUE,sim_a[final_trolley_dropoff_dist_mm])</f>
        <v>64.025000000000006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30" x14ac:dyDescent="0.25">
      <c r="A40" s="17" t="s">
        <v>295</v>
      </c>
      <c r="B40" s="17" t="s">
        <v>299</v>
      </c>
      <c r="C40" s="12">
        <f>AVERAGEIF(sim_a[success],TRUE,sim_a[abs_final_robot_charging_x_mm])</f>
        <v>0.39374999999999999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30" x14ac:dyDescent="0.25">
      <c r="A41" s="17" t="s">
        <v>295</v>
      </c>
      <c r="B41" s="17" t="s">
        <v>300</v>
      </c>
      <c r="C41" s="12">
        <f>AVERAGEIF(sim_a[success],TRUE,sim_a[abs_final_robot_charging_y_mm])</f>
        <v>104.38749999999999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45" x14ac:dyDescent="0.25">
      <c r="A42" s="17" t="s">
        <v>295</v>
      </c>
      <c r="B42" s="17" t="s">
        <v>301</v>
      </c>
      <c r="C42" s="12">
        <f>AVERAGEIF(sim_a[success],TRUE,sim_a[final_robot_charging_dist_mm])</f>
        <v>104.38749999999999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ht="30" x14ac:dyDescent="0.25">
      <c r="A43" s="17" t="s">
        <v>302</v>
      </c>
      <c r="B43" s="17" t="s">
        <v>303</v>
      </c>
      <c r="C43" s="12">
        <f>COUNT(sim_a[side_align_complete_sec])</f>
        <v>24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ht="30" x14ac:dyDescent="0.25">
      <c r="A44" s="17" t="s">
        <v>302</v>
      </c>
      <c r="B44" s="17" t="s">
        <v>304</v>
      </c>
      <c r="C44" s="12">
        <f>COUNT(sim_a[side_align_complete_sec])/COUNTA(sim_a[run])</f>
        <v>0.96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ht="45" x14ac:dyDescent="0.25">
      <c r="A45" s="17" t="s">
        <v>302</v>
      </c>
      <c r="B45" s="17" t="s">
        <v>305</v>
      </c>
      <c r="C45" s="12">
        <f>AVERAGE(sim_a[side_align_complete_sec])</f>
        <v>78.868416666666675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ht="30" x14ac:dyDescent="0.25">
      <c r="A46" s="17" t="s">
        <v>302</v>
      </c>
      <c r="B46" s="17" t="s">
        <v>306</v>
      </c>
      <c r="C46" s="12">
        <f>AVERAGE(sim_a[side_align_aruco_est_marker_count])</f>
        <v>5.708333333333333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x14ac:dyDescent="0.25">
      <c r="A47" s="17" t="s">
        <v>307</v>
      </c>
      <c r="B47" s="17" t="s">
        <v>308</v>
      </c>
      <c r="C47" s="12">
        <f>AVERAGE(sim_a[abs_side_est_x_mm])</f>
        <v>4.208333333333333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x14ac:dyDescent="0.25">
      <c r="A48" s="17" t="s">
        <v>307</v>
      </c>
      <c r="B48" s="17" t="s">
        <v>309</v>
      </c>
      <c r="C48" s="12">
        <f>MEDIAN(sim_a[abs_side_est_x_mm])</f>
        <v>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x14ac:dyDescent="0.25">
      <c r="A49" s="17" t="s">
        <v>307</v>
      </c>
      <c r="B49" s="17" t="s">
        <v>310</v>
      </c>
      <c r="C49" s="12">
        <f>MIN(sim_a[abs_side_est_x_mm])</f>
        <v>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30" x14ac:dyDescent="0.25">
      <c r="A50" s="17" t="s">
        <v>307</v>
      </c>
      <c r="B50" s="17" t="s">
        <v>311</v>
      </c>
      <c r="C50" s="12">
        <f>MAX(sim_a[abs_side_est_x_mm])</f>
        <v>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30" x14ac:dyDescent="0.25">
      <c r="A51" s="17" t="s">
        <v>307</v>
      </c>
      <c r="B51" s="17" t="s">
        <v>312</v>
      </c>
      <c r="C51" s="12">
        <f>AVERAGE(sim_a[abs_side_est_y_mm])</f>
        <v>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30" x14ac:dyDescent="0.25">
      <c r="A52" s="17" t="s">
        <v>307</v>
      </c>
      <c r="B52" s="17" t="s">
        <v>313</v>
      </c>
      <c r="C52" s="12">
        <f>MEDIAN(sim_a[abs_side_est_y_mm])</f>
        <v>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30" x14ac:dyDescent="0.25">
      <c r="A53" s="17" t="s">
        <v>307</v>
      </c>
      <c r="B53" s="17" t="s">
        <v>314</v>
      </c>
      <c r="C53" s="12">
        <f>MIN(sim_a[abs_side_est_y_mm])</f>
        <v>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30" x14ac:dyDescent="0.25">
      <c r="A54" s="17" t="s">
        <v>307</v>
      </c>
      <c r="B54" s="17" t="s">
        <v>315</v>
      </c>
      <c r="C54" s="12">
        <f>MAX(sim_a[abs_side_est_y_mm])</f>
        <v>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30" x14ac:dyDescent="0.25">
      <c r="A55" s="17" t="s">
        <v>307</v>
      </c>
      <c r="B55" s="17" t="s">
        <v>316</v>
      </c>
      <c r="C55" s="12">
        <f>AVERAGE(sim_a[abs_side_est_yaw_deg])</f>
        <v>0.48083333333333345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30" x14ac:dyDescent="0.25">
      <c r="A56" s="17" t="s">
        <v>307</v>
      </c>
      <c r="B56" s="17" t="s">
        <v>317</v>
      </c>
      <c r="C56" s="12">
        <f>MEDIAN(sim_a[abs_side_est_yaw_deg])</f>
        <v>0.47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30" x14ac:dyDescent="0.25">
      <c r="A57" s="17" t="s">
        <v>307</v>
      </c>
      <c r="B57" s="17" t="s">
        <v>318</v>
      </c>
      <c r="C57" s="12">
        <f>MIN(sim_a[abs_side_est_yaw_deg])</f>
        <v>0.03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30" x14ac:dyDescent="0.25">
      <c r="A58" s="17" t="s">
        <v>307</v>
      </c>
      <c r="B58" s="17" t="s">
        <v>319</v>
      </c>
      <c r="C58" s="12">
        <f>MAX(sim_a[abs_side_est_yaw_deg])</f>
        <v>0.96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30" x14ac:dyDescent="0.25">
      <c r="A59" s="17" t="s">
        <v>320</v>
      </c>
      <c r="B59" s="17" t="s">
        <v>308</v>
      </c>
      <c r="C59" s="12">
        <f>AVERAGE(sim_a[abs_side_actual_x_mm])</f>
        <v>3.5041666666666678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30" x14ac:dyDescent="0.25">
      <c r="A60" s="17" t="s">
        <v>320</v>
      </c>
      <c r="B60" s="17" t="s">
        <v>309</v>
      </c>
      <c r="C60" s="12">
        <f>MEDIAN(sim_a[abs_side_actual_x_mm])</f>
        <v>3.45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30" x14ac:dyDescent="0.25">
      <c r="A61" s="17" t="s">
        <v>320</v>
      </c>
      <c r="B61" s="17" t="s">
        <v>310</v>
      </c>
      <c r="C61" s="12">
        <f>MIN(sim_a[abs_side_actual_x_mm])</f>
        <v>0.3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30" x14ac:dyDescent="0.25">
      <c r="A62" s="17" t="s">
        <v>320</v>
      </c>
      <c r="B62" s="17" t="s">
        <v>311</v>
      </c>
      <c r="C62" s="12">
        <f>MAX(sim_a[abs_side_actual_x_mm])</f>
        <v>9.6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30" x14ac:dyDescent="0.25">
      <c r="A63" s="17" t="s">
        <v>320</v>
      </c>
      <c r="B63" s="17" t="s">
        <v>312</v>
      </c>
      <c r="C63" s="12">
        <f>AVERAGE(sim_a[abs_side_actual_y_mm])</f>
        <v>1056.633333333333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30" x14ac:dyDescent="0.25">
      <c r="A64" s="17" t="s">
        <v>320</v>
      </c>
      <c r="B64" s="17" t="s">
        <v>313</v>
      </c>
      <c r="C64" s="12">
        <f>MEDIAN(sim_a[abs_side_actual_y_mm])</f>
        <v>1055.0999999999999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30" x14ac:dyDescent="0.25">
      <c r="A65" s="17" t="s">
        <v>320</v>
      </c>
      <c r="B65" s="17" t="s">
        <v>314</v>
      </c>
      <c r="C65" s="12">
        <f>MIN(sim_a[abs_side_actual_y_mm])</f>
        <v>1042.2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30" x14ac:dyDescent="0.25">
      <c r="A66" s="17" t="s">
        <v>320</v>
      </c>
      <c r="B66" s="17" t="s">
        <v>315</v>
      </c>
      <c r="C66" s="12">
        <f>MAX(sim_a[abs_side_actual_y_mm])</f>
        <v>1087.8000000000002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30" x14ac:dyDescent="0.25">
      <c r="A67" s="17" t="s">
        <v>320</v>
      </c>
      <c r="B67" s="17" t="s">
        <v>316</v>
      </c>
      <c r="C67" s="12">
        <f>AVERAGE(sim_a[abs_side_actual_yaw_deg])</f>
        <v>0.75116666666666665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30" x14ac:dyDescent="0.25">
      <c r="A68" s="17" t="s">
        <v>320</v>
      </c>
      <c r="B68" s="17" t="s">
        <v>317</v>
      </c>
      <c r="C68" s="12">
        <f>MEDIAN(sim_a[abs_side_actual_yaw_deg])</f>
        <v>0.58899999999999997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30" x14ac:dyDescent="0.25">
      <c r="A69" s="17" t="s">
        <v>320</v>
      </c>
      <c r="B69" s="17" t="s">
        <v>318</v>
      </c>
      <c r="C69" s="12">
        <f>MIN(sim_a[abs_side_actual_yaw_deg])</f>
        <v>1.9E-2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30" x14ac:dyDescent="0.25">
      <c r="A70" s="17" t="s">
        <v>320</v>
      </c>
      <c r="B70" s="17" t="s">
        <v>319</v>
      </c>
      <c r="C70" s="12">
        <f>MAX(sim_a[abs_side_actual_yaw_deg])</f>
        <v>2.3380000000000001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30" x14ac:dyDescent="0.25">
      <c r="A71" s="17" t="s">
        <v>321</v>
      </c>
      <c r="B71" s="17" t="s">
        <v>322</v>
      </c>
      <c r="C71" s="12">
        <f>AVERAGE(sim_a[abs_side_vs_actual_x_mm])</f>
        <v>3.3625000000000007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30" x14ac:dyDescent="0.25">
      <c r="A72" s="17" t="s">
        <v>321</v>
      </c>
      <c r="B72" s="17" t="s">
        <v>323</v>
      </c>
      <c r="C72" s="12">
        <f>MEDIAN(sim_a[abs_side_vs_actual_x_mm])</f>
        <v>3.1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30" x14ac:dyDescent="0.25">
      <c r="A73" s="17" t="s">
        <v>321</v>
      </c>
      <c r="B73" s="17" t="s">
        <v>324</v>
      </c>
      <c r="C73" s="12">
        <f>MIN(sim_a[abs_side_vs_actual_x_mm])</f>
        <v>0.4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30" x14ac:dyDescent="0.25">
      <c r="A74" s="17" t="s">
        <v>321</v>
      </c>
      <c r="B74" s="17" t="s">
        <v>325</v>
      </c>
      <c r="C74" s="12">
        <f>MAX(sim_a[abs_side_vs_actual_x_mm])</f>
        <v>10.5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30" x14ac:dyDescent="0.25">
      <c r="A75" s="17" t="s">
        <v>321</v>
      </c>
      <c r="B75" s="17" t="s">
        <v>326</v>
      </c>
      <c r="C75" s="12">
        <f>AVERAGE(sim_a[abs_side_vs_actual_y_mm])</f>
        <v>1056.633333333333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30" x14ac:dyDescent="0.25">
      <c r="A76" s="17" t="s">
        <v>321</v>
      </c>
      <c r="B76" s="17" t="s">
        <v>327</v>
      </c>
      <c r="C76" s="12">
        <f>MEDIAN(sim_a[abs_side_vs_actual_y_mm])</f>
        <v>1055.0999999999999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30" x14ac:dyDescent="0.25">
      <c r="A77" s="17" t="s">
        <v>321</v>
      </c>
      <c r="B77" s="17" t="s">
        <v>328</v>
      </c>
      <c r="C77" s="12">
        <f>MIN(sim_a[abs_side_vs_actual_y_mm])</f>
        <v>1042.2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30" x14ac:dyDescent="0.25">
      <c r="A78" s="17" t="s">
        <v>321</v>
      </c>
      <c r="B78" s="17" t="s">
        <v>329</v>
      </c>
      <c r="C78" s="12">
        <f>MAX(sim_a[abs_side_vs_actual_y_mm])</f>
        <v>1087.8000000000002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30" x14ac:dyDescent="0.25">
      <c r="A79" s="17" t="s">
        <v>321</v>
      </c>
      <c r="B79" s="17" t="s">
        <v>330</v>
      </c>
      <c r="C79" s="12">
        <f>AVERAGE(sim_a[abs_side_vs_actual_yaw_deg])</f>
        <v>0.76516666666666666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30" x14ac:dyDescent="0.25">
      <c r="A80" s="17" t="s">
        <v>321</v>
      </c>
      <c r="B80" s="17" t="s">
        <v>331</v>
      </c>
      <c r="C80" s="12">
        <f>MEDIAN(sim_a[abs_side_vs_actual_yaw_deg])</f>
        <v>0.70399999999999996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30" x14ac:dyDescent="0.25">
      <c r="A81" s="17" t="s">
        <v>321</v>
      </c>
      <c r="B81" s="17" t="s">
        <v>332</v>
      </c>
      <c r="C81" s="12">
        <f>MIN(sim_a[abs_side_vs_actual_yaw_deg])</f>
        <v>3.1E-2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30" x14ac:dyDescent="0.25">
      <c r="A82" s="17" t="s">
        <v>321</v>
      </c>
      <c r="B82" s="17" t="s">
        <v>333</v>
      </c>
      <c r="C82" s="12">
        <f>MAX(sim_a[abs_side_vs_actual_yaw_deg])</f>
        <v>2.0179999999999998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30" x14ac:dyDescent="0.25">
      <c r="A83" s="17" t="s">
        <v>334</v>
      </c>
      <c r="B83" s="17" t="s">
        <v>335</v>
      </c>
      <c r="C83" s="12">
        <f>COUNT(sim_a[fine_align_complete_sec])</f>
        <v>24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30" x14ac:dyDescent="0.25">
      <c r="A84" s="17" t="s">
        <v>334</v>
      </c>
      <c r="B84" s="17" t="s">
        <v>336</v>
      </c>
      <c r="C84" s="12">
        <f>COUNT(sim_a[fine_align_complete_sec])/COUNTA(sim_a[run])</f>
        <v>0.96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45" x14ac:dyDescent="0.25">
      <c r="A85" s="17" t="s">
        <v>334</v>
      </c>
      <c r="B85" s="17" t="s">
        <v>337</v>
      </c>
      <c r="C85" s="12">
        <f>AVERAGE(sim_a[fine_align_complete_sec])</f>
        <v>129.74370833333333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30" x14ac:dyDescent="0.25">
      <c r="A86" s="17" t="s">
        <v>334</v>
      </c>
      <c r="B86" s="17" t="s">
        <v>306</v>
      </c>
      <c r="C86" s="12">
        <f>AVERAGE(sim_a[fine_align_aruco_est_marker_count])</f>
        <v>10.666666666666666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x14ac:dyDescent="0.25">
      <c r="A87" s="17" t="s">
        <v>338</v>
      </c>
      <c r="B87" s="17" t="s">
        <v>308</v>
      </c>
      <c r="C87" s="12">
        <f>AVERAGE(sim_a[abs_fine_est_x_mm])</f>
        <v>6.041666666666667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x14ac:dyDescent="0.25">
      <c r="A88" s="17" t="s">
        <v>338</v>
      </c>
      <c r="B88" s="17" t="s">
        <v>309</v>
      </c>
      <c r="C88" s="12">
        <f>MEDIAN(sim_a[abs_fine_est_x_mm])</f>
        <v>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x14ac:dyDescent="0.25">
      <c r="A89" s="17" t="s">
        <v>338</v>
      </c>
      <c r="B89" s="17" t="s">
        <v>310</v>
      </c>
      <c r="C89" s="12">
        <f>MIN(sim_a[abs_fine_est_x_mm])</f>
        <v>2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30" x14ac:dyDescent="0.25">
      <c r="A90" s="17" t="s">
        <v>338</v>
      </c>
      <c r="B90" s="17" t="s">
        <v>311</v>
      </c>
      <c r="C90" s="12">
        <f>MAX(sim_a[abs_fine_est_x_mm])</f>
        <v>10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x14ac:dyDescent="0.25">
      <c r="A91" s="17" t="s">
        <v>338</v>
      </c>
      <c r="B91" s="17" t="s">
        <v>339</v>
      </c>
      <c r="C91" s="12">
        <f>AVERAGE(sim_a[abs_fine_est_y_mm])</f>
        <v>25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x14ac:dyDescent="0.25">
      <c r="A92" s="17" t="s">
        <v>338</v>
      </c>
      <c r="B92" s="17" t="s">
        <v>340</v>
      </c>
      <c r="C92" s="12">
        <f>MEDIAN(sim_a[abs_fine_est_y_mm])</f>
        <v>25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x14ac:dyDescent="0.25">
      <c r="A93" s="17" t="s">
        <v>338</v>
      </c>
      <c r="B93" s="17" t="s">
        <v>341</v>
      </c>
      <c r="C93" s="12">
        <f>MIN(sim_a[abs_fine_est_y_mm])</f>
        <v>25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30" x14ac:dyDescent="0.25">
      <c r="A94" s="17" t="s">
        <v>338</v>
      </c>
      <c r="B94" s="17" t="s">
        <v>342</v>
      </c>
      <c r="C94" s="12">
        <f>MAX(sim_a[abs_fine_est_y_mm])</f>
        <v>25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30" x14ac:dyDescent="0.25">
      <c r="A95" s="17" t="s">
        <v>338</v>
      </c>
      <c r="B95" s="17" t="s">
        <v>316</v>
      </c>
      <c r="C95" s="12">
        <f>AVERAGE(sim_a[abs_fine_est_yaw_deg])</f>
        <v>0.11833333333333333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30" x14ac:dyDescent="0.25">
      <c r="A96" s="17" t="s">
        <v>338</v>
      </c>
      <c r="B96" s="17" t="s">
        <v>317</v>
      </c>
      <c r="C96" s="12">
        <f>MEDIAN(sim_a[abs_fine_est_yaw_deg])</f>
        <v>5.5E-2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30" x14ac:dyDescent="0.25">
      <c r="A97" s="17" t="s">
        <v>338</v>
      </c>
      <c r="B97" s="17" t="s">
        <v>318</v>
      </c>
      <c r="C97" s="12">
        <f>MIN(sim_a[abs_fine_est_yaw_deg])</f>
        <v>0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30" x14ac:dyDescent="0.25">
      <c r="A98" s="17" t="s">
        <v>338</v>
      </c>
      <c r="B98" s="17" t="s">
        <v>319</v>
      </c>
      <c r="C98" s="12">
        <f>MAX(sim_a[abs_fine_est_yaw_deg])</f>
        <v>1.23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30" x14ac:dyDescent="0.25">
      <c r="A99" s="17" t="s">
        <v>343</v>
      </c>
      <c r="B99" s="17" t="s">
        <v>308</v>
      </c>
      <c r="C99" s="12">
        <f>AVERAGE(sim_a[abs_fine_actual_x_mm])</f>
        <v>5.8874999999999984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30" x14ac:dyDescent="0.25">
      <c r="A100" s="17" t="s">
        <v>343</v>
      </c>
      <c r="B100" s="17" t="s">
        <v>309</v>
      </c>
      <c r="C100" s="12">
        <f>MEDIAN(sim_a[abs_fine_actual_x_mm])</f>
        <v>6.15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30" x14ac:dyDescent="0.25">
      <c r="A101" s="17" t="s">
        <v>343</v>
      </c>
      <c r="B101" s="17" t="s">
        <v>310</v>
      </c>
      <c r="C101" s="12">
        <f>MIN(sim_a[abs_fine_actual_x_mm])</f>
        <v>1.7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30" x14ac:dyDescent="0.25">
      <c r="A102" s="17" t="s">
        <v>343</v>
      </c>
      <c r="B102" s="17" t="s">
        <v>311</v>
      </c>
      <c r="C102" s="12">
        <f>MAX(sim_a[abs_fine_actual_x_mm])</f>
        <v>10.7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30" x14ac:dyDescent="0.25">
      <c r="A103" s="17" t="s">
        <v>343</v>
      </c>
      <c r="B103" s="17" t="s">
        <v>339</v>
      </c>
      <c r="C103" s="12">
        <f>AVERAGE(sim_a[abs_fine_actual_y_mm])</f>
        <v>24.854166666666661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30" x14ac:dyDescent="0.25">
      <c r="A104" s="17" t="s">
        <v>343</v>
      </c>
      <c r="B104" s="17" t="s">
        <v>340</v>
      </c>
      <c r="C104" s="12">
        <f>MEDIAN(sim_a[abs_fine_actual_y_mm])</f>
        <v>24.9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30" x14ac:dyDescent="0.25">
      <c r="A105" s="17" t="s">
        <v>343</v>
      </c>
      <c r="B105" s="17" t="s">
        <v>341</v>
      </c>
      <c r="C105" s="12">
        <f>MIN(sim_a[abs_fine_actual_y_mm])</f>
        <v>24.299999999999997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30" x14ac:dyDescent="0.25">
      <c r="A106" s="17" t="s">
        <v>343</v>
      </c>
      <c r="B106" s="17" t="s">
        <v>342</v>
      </c>
      <c r="C106" s="12">
        <f>MAX(sim_a[abs_fine_actual_y_mm])</f>
        <v>25.2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30" x14ac:dyDescent="0.25">
      <c r="A107" s="17" t="s">
        <v>343</v>
      </c>
      <c r="B107" s="17" t="s">
        <v>316</v>
      </c>
      <c r="C107" s="12">
        <f>AVERAGE(sim_a[abs_fine_actual_yaw_deg])</f>
        <v>0.19333333333333333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30" x14ac:dyDescent="0.25">
      <c r="A108" s="17" t="s">
        <v>343</v>
      </c>
      <c r="B108" s="17" t="s">
        <v>317</v>
      </c>
      <c r="C108" s="12">
        <f>MEDIAN(sim_a[abs_fine_actual_yaw_deg])</f>
        <v>0.14249999999999999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30" x14ac:dyDescent="0.25">
      <c r="A109" s="17" t="s">
        <v>343</v>
      </c>
      <c r="B109" s="17" t="s">
        <v>318</v>
      </c>
      <c r="C109" s="12">
        <f>MIN(sim_a[abs_fine_actual_yaw_deg])</f>
        <v>4.3999999999999997E-2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30" x14ac:dyDescent="0.25">
      <c r="A110" s="17" t="s">
        <v>343</v>
      </c>
      <c r="B110" s="17" t="s">
        <v>319</v>
      </c>
      <c r="C110" s="12">
        <f>MAX(sim_a[abs_fine_actual_yaw_deg])</f>
        <v>1.1890000000000001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30" x14ac:dyDescent="0.25">
      <c r="A111" s="17" t="s">
        <v>344</v>
      </c>
      <c r="B111" s="17" t="s">
        <v>322</v>
      </c>
      <c r="C111" s="12">
        <f>AVERAGE(sim_a[abs_fine_vs_actual_x_mm])</f>
        <v>0.52083333333333326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30" x14ac:dyDescent="0.25">
      <c r="A112" s="17" t="s">
        <v>344</v>
      </c>
      <c r="B112" s="17" t="s">
        <v>323</v>
      </c>
      <c r="C112" s="12">
        <f>MEDIAN(sim_a[abs_fine_vs_actual_x_mm])</f>
        <v>0.5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30" x14ac:dyDescent="0.25">
      <c r="A113" s="17" t="s">
        <v>344</v>
      </c>
      <c r="B113" s="17" t="s">
        <v>324</v>
      </c>
      <c r="C113" s="12">
        <f>MIN(sim_a[abs_fine_vs_actual_x_mm])</f>
        <v>0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30" x14ac:dyDescent="0.25">
      <c r="A114" s="17" t="s">
        <v>344</v>
      </c>
      <c r="B114" s="17" t="s">
        <v>325</v>
      </c>
      <c r="C114" s="12">
        <f>MAX(sim_a[abs_fine_vs_actual_x_mm])</f>
        <v>1.4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30" x14ac:dyDescent="0.25">
      <c r="A115" s="17" t="s">
        <v>344</v>
      </c>
      <c r="B115" s="17" t="s">
        <v>326</v>
      </c>
      <c r="C115" s="12">
        <f>AVERAGE(sim_a[abs_fine_vs_actual_y_mm])</f>
        <v>0.22083333333333335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30" x14ac:dyDescent="0.25">
      <c r="A116" s="17" t="s">
        <v>344</v>
      </c>
      <c r="B116" s="17" t="s">
        <v>327</v>
      </c>
      <c r="C116" s="12">
        <f>MEDIAN(sim_a[abs_fine_vs_actual_y_mm])</f>
        <v>0.2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30" x14ac:dyDescent="0.25">
      <c r="A117" s="17" t="s">
        <v>344</v>
      </c>
      <c r="B117" s="17" t="s">
        <v>328</v>
      </c>
      <c r="C117" s="12">
        <f>MIN(sim_a[abs_fine_vs_actual_y_mm])</f>
        <v>0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30" x14ac:dyDescent="0.25">
      <c r="A118" s="17" t="s">
        <v>344</v>
      </c>
      <c r="B118" s="17" t="s">
        <v>329</v>
      </c>
      <c r="C118" s="12">
        <f>MAX(sim_a[abs_fine_vs_actual_y_mm])</f>
        <v>0.7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30" x14ac:dyDescent="0.25">
      <c r="A119" s="17" t="s">
        <v>344</v>
      </c>
      <c r="B119" s="17" t="s">
        <v>330</v>
      </c>
      <c r="C119" s="12">
        <f>AVERAGE(sim_a[abs_fine_vs_actual_yaw_deg])</f>
        <v>9.391666666666669E-2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30" x14ac:dyDescent="0.25">
      <c r="A120" s="17" t="s">
        <v>344</v>
      </c>
      <c r="B120" s="17" t="s">
        <v>331</v>
      </c>
      <c r="C120" s="12">
        <f>MEDIAN(sim_a[abs_fine_vs_actual_yaw_deg])</f>
        <v>9.35E-2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30" x14ac:dyDescent="0.25">
      <c r="A121" s="17" t="s">
        <v>344</v>
      </c>
      <c r="B121" s="17" t="s">
        <v>332</v>
      </c>
      <c r="C121" s="12">
        <f>MIN(sim_a[abs_fine_vs_actual_yaw_deg])</f>
        <v>4.1000000000000002E-2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30" x14ac:dyDescent="0.25">
      <c r="A122" s="17" t="s">
        <v>344</v>
      </c>
      <c r="B122" s="17" t="s">
        <v>333</v>
      </c>
      <c r="C122" s="12">
        <f>MAX(sim_a[abs_fine_vs_actual_yaw_deg])</f>
        <v>0.20399999999999999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workbookViewId="0">
      <selection activeCell="L7" sqref="L7"/>
    </sheetView>
  </sheetViews>
  <sheetFormatPr baseColWidth="10" defaultRowHeight="15" x14ac:dyDescent="0.25"/>
  <cols>
    <col min="5" max="5" width="20.42578125" customWidth="1"/>
    <col min="6" max="6" width="24.42578125" customWidth="1"/>
    <col min="7" max="7" width="31.28515625" customWidth="1"/>
    <col min="8" max="8" width="23.42578125" customWidth="1"/>
    <col min="10" max="10" width="18.28515625" customWidth="1"/>
    <col min="11" max="11" width="25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86</v>
      </c>
      <c r="B2" t="b">
        <v>1</v>
      </c>
      <c r="E2">
        <v>289.85399999999998</v>
      </c>
      <c r="F2">
        <v>9.2799999999999994</v>
      </c>
      <c r="G2">
        <v>289.85199999999998</v>
      </c>
      <c r="H2">
        <v>12.446</v>
      </c>
      <c r="I2">
        <v>120.994</v>
      </c>
      <c r="J2">
        <v>222.80500000000001</v>
      </c>
      <c r="K2">
        <v>195.203</v>
      </c>
      <c r="L2">
        <v>288.84500000000003</v>
      </c>
      <c r="M2">
        <v>5.2032999999999996</v>
      </c>
      <c r="N2">
        <v>-7.7799999999999994E-2</v>
      </c>
      <c r="O2">
        <v>2.0000000000000001E-4</v>
      </c>
      <c r="P2">
        <v>9.9400000000000002E-2</v>
      </c>
      <c r="S2" t="s">
        <v>135</v>
      </c>
    </row>
    <row r="3" spans="1:19" x14ac:dyDescent="0.25">
      <c r="A3" t="s">
        <v>87</v>
      </c>
      <c r="B3" t="b">
        <v>1</v>
      </c>
      <c r="E3">
        <v>291.98099999999999</v>
      </c>
      <c r="F3">
        <v>9.24</v>
      </c>
      <c r="G3">
        <v>291.98</v>
      </c>
      <c r="H3">
        <v>16.905000000000001</v>
      </c>
      <c r="I3">
        <v>125.127</v>
      </c>
      <c r="J3">
        <v>225.60300000000001</v>
      </c>
      <c r="K3">
        <v>197.946</v>
      </c>
      <c r="L3">
        <v>290.97500000000002</v>
      </c>
      <c r="M3">
        <v>5.2031000000000001</v>
      </c>
      <c r="N3">
        <v>-3.5099999999999999E-2</v>
      </c>
      <c r="O3">
        <v>-1.1000000000000001E-3</v>
      </c>
      <c r="P3">
        <v>9.2700000000000005E-2</v>
      </c>
      <c r="S3" t="s">
        <v>136</v>
      </c>
    </row>
    <row r="4" spans="1:19" x14ac:dyDescent="0.25">
      <c r="A4" t="s">
        <v>88</v>
      </c>
      <c r="B4" t="b">
        <v>1</v>
      </c>
      <c r="E4">
        <v>280.73200000000003</v>
      </c>
      <c r="F4">
        <v>9.5350000000000001</v>
      </c>
      <c r="G4">
        <v>280.73099999999999</v>
      </c>
      <c r="H4">
        <v>17.202999999999999</v>
      </c>
      <c r="I4">
        <v>113.714</v>
      </c>
      <c r="J4">
        <v>213.904</v>
      </c>
      <c r="K4">
        <v>185.68799999999999</v>
      </c>
      <c r="L4">
        <v>279.72500000000002</v>
      </c>
      <c r="M4">
        <v>5.2222999999999997</v>
      </c>
      <c r="N4">
        <v>-0.17319999999999999</v>
      </c>
      <c r="O4">
        <v>-2.0000000000000001E-4</v>
      </c>
      <c r="P4">
        <v>9.8199999999999996E-2</v>
      </c>
      <c r="S4" t="s">
        <v>137</v>
      </c>
    </row>
    <row r="5" spans="1:19" x14ac:dyDescent="0.25">
      <c r="A5" t="s">
        <v>89</v>
      </c>
      <c r="B5" t="b">
        <v>1</v>
      </c>
      <c r="E5">
        <v>282.65499999999997</v>
      </c>
      <c r="F5">
        <v>9.4350000000000005</v>
      </c>
      <c r="G5">
        <v>282.65300000000002</v>
      </c>
      <c r="H5">
        <v>13.601000000000001</v>
      </c>
      <c r="I5">
        <v>112.831</v>
      </c>
      <c r="J5">
        <v>215.97399999999999</v>
      </c>
      <c r="K5">
        <v>186.60300000000001</v>
      </c>
      <c r="L5">
        <v>281.64800000000002</v>
      </c>
      <c r="M5">
        <v>5.1863999999999999</v>
      </c>
      <c r="N5">
        <v>-1.8700000000000001E-2</v>
      </c>
      <c r="O5">
        <v>-1E-3</v>
      </c>
      <c r="P5">
        <v>0.10009999999999999</v>
      </c>
      <c r="S5" t="s">
        <v>138</v>
      </c>
    </row>
    <row r="6" spans="1:19" x14ac:dyDescent="0.25">
      <c r="A6" t="s">
        <v>90</v>
      </c>
      <c r="B6" t="b">
        <v>0</v>
      </c>
      <c r="C6" t="s">
        <v>20</v>
      </c>
      <c r="D6" t="s">
        <v>139</v>
      </c>
      <c r="E6">
        <v>247.577</v>
      </c>
      <c r="F6">
        <v>9.3369999999999997</v>
      </c>
      <c r="H6">
        <v>17.001999999999999</v>
      </c>
      <c r="I6">
        <v>139.453</v>
      </c>
      <c r="K6">
        <v>211.61199999999999</v>
      </c>
      <c r="M6">
        <v>5.1989999999999998</v>
      </c>
      <c r="N6">
        <v>1.29E-2</v>
      </c>
      <c r="O6">
        <v>5.2003000000000004</v>
      </c>
      <c r="P6">
        <v>2.9100000000000001E-2</v>
      </c>
      <c r="S6" t="s">
        <v>140</v>
      </c>
    </row>
    <row r="7" spans="1:19" x14ac:dyDescent="0.25">
      <c r="A7" t="s">
        <v>91</v>
      </c>
      <c r="B7" t="b">
        <v>1</v>
      </c>
      <c r="E7">
        <v>293.52699999999999</v>
      </c>
      <c r="F7">
        <v>9.2319999999999993</v>
      </c>
      <c r="G7">
        <v>293.52600000000001</v>
      </c>
      <c r="H7">
        <v>12.397</v>
      </c>
      <c r="I7">
        <v>118.964</v>
      </c>
      <c r="J7">
        <v>226.886</v>
      </c>
      <c r="K7">
        <v>196.45500000000001</v>
      </c>
      <c r="L7">
        <v>292.52</v>
      </c>
      <c r="M7">
        <v>5.1962000000000002</v>
      </c>
      <c r="N7">
        <v>-3.1099999999999999E-2</v>
      </c>
      <c r="O7">
        <v>2.9999999999999997E-4</v>
      </c>
      <c r="P7">
        <v>9.6799999999999997E-2</v>
      </c>
      <c r="S7" t="s">
        <v>141</v>
      </c>
    </row>
    <row r="8" spans="1:19" x14ac:dyDescent="0.25">
      <c r="A8" t="s">
        <v>92</v>
      </c>
      <c r="B8" t="b">
        <v>1</v>
      </c>
      <c r="E8">
        <v>311.83800000000002</v>
      </c>
      <c r="F8">
        <v>9.4429999999999996</v>
      </c>
      <c r="G8">
        <v>311.83699999999999</v>
      </c>
      <c r="H8">
        <v>14.11</v>
      </c>
      <c r="I8">
        <v>132.50800000000001</v>
      </c>
      <c r="J8">
        <v>244.05099999999999</v>
      </c>
      <c r="K8">
        <v>208.24299999999999</v>
      </c>
      <c r="L8">
        <v>310.83100000000002</v>
      </c>
      <c r="M8">
        <v>5.2131999999999996</v>
      </c>
      <c r="N8">
        <v>-0.16159999999999999</v>
      </c>
      <c r="O8">
        <v>8.9999999999999998E-4</v>
      </c>
      <c r="P8">
        <v>9.7199999999999995E-2</v>
      </c>
      <c r="S8" t="s">
        <v>142</v>
      </c>
    </row>
    <row r="9" spans="1:19" x14ac:dyDescent="0.25">
      <c r="A9" t="s">
        <v>93</v>
      </c>
      <c r="B9" t="b">
        <v>1</v>
      </c>
      <c r="E9">
        <v>281.63499999999999</v>
      </c>
      <c r="F9">
        <v>9.3330000000000002</v>
      </c>
      <c r="G9">
        <v>281.63299999999998</v>
      </c>
      <c r="H9">
        <v>13.093</v>
      </c>
      <c r="I9">
        <v>115.185</v>
      </c>
      <c r="J9">
        <v>215.36</v>
      </c>
      <c r="K9">
        <v>186.59</v>
      </c>
      <c r="L9">
        <v>280.62799999999999</v>
      </c>
      <c r="M9">
        <v>5.2207999999999997</v>
      </c>
      <c r="N9">
        <v>-4.41E-2</v>
      </c>
      <c r="O9">
        <v>5.9999999999999995E-4</v>
      </c>
      <c r="P9">
        <v>9.9400000000000002E-2</v>
      </c>
      <c r="S9" t="s">
        <v>143</v>
      </c>
    </row>
    <row r="10" spans="1:19" x14ac:dyDescent="0.25">
      <c r="A10" t="s">
        <v>94</v>
      </c>
      <c r="B10" t="b">
        <v>1</v>
      </c>
      <c r="E10">
        <v>280.59100000000001</v>
      </c>
      <c r="F10">
        <v>9.1809999999999992</v>
      </c>
      <c r="G10">
        <v>280.589</v>
      </c>
      <c r="H10">
        <v>12.348000000000001</v>
      </c>
      <c r="I10">
        <v>114.71</v>
      </c>
      <c r="J10">
        <v>212.95099999999999</v>
      </c>
      <c r="K10">
        <v>188.499</v>
      </c>
      <c r="L10">
        <v>279.58199999999999</v>
      </c>
      <c r="M10">
        <v>5.2084999999999999</v>
      </c>
      <c r="N10">
        <v>-3.1800000000000002E-2</v>
      </c>
      <c r="O10">
        <v>-8.9999999999999998E-4</v>
      </c>
      <c r="P10">
        <v>9.3899999999999997E-2</v>
      </c>
      <c r="S10" t="s">
        <v>144</v>
      </c>
    </row>
    <row r="11" spans="1:19" x14ac:dyDescent="0.25">
      <c r="A11" t="s">
        <v>95</v>
      </c>
      <c r="B11" t="b">
        <v>1</v>
      </c>
      <c r="E11">
        <v>282.18299999999999</v>
      </c>
      <c r="F11">
        <v>9.1829999999999998</v>
      </c>
      <c r="G11">
        <v>282.18200000000002</v>
      </c>
      <c r="H11">
        <v>12.632</v>
      </c>
      <c r="I11">
        <v>115.92700000000001</v>
      </c>
      <c r="J11">
        <v>215.54900000000001</v>
      </c>
      <c r="K11">
        <v>188.13499999999999</v>
      </c>
      <c r="L11">
        <v>281.17599999999999</v>
      </c>
      <c r="M11">
        <v>5.1912000000000003</v>
      </c>
      <c r="N11">
        <v>-2.1499999999999998E-2</v>
      </c>
      <c r="O11">
        <v>-1E-4</v>
      </c>
      <c r="P11">
        <v>0.104</v>
      </c>
      <c r="S11" t="s">
        <v>145</v>
      </c>
    </row>
    <row r="12" spans="1:19" x14ac:dyDescent="0.25">
      <c r="A12" t="s">
        <v>96</v>
      </c>
      <c r="B12" t="b">
        <v>1</v>
      </c>
      <c r="E12">
        <v>278.13099999999997</v>
      </c>
      <c r="F12">
        <v>9.4329999999999998</v>
      </c>
      <c r="G12">
        <v>278.12900000000002</v>
      </c>
      <c r="H12">
        <v>11.598000000000001</v>
      </c>
      <c r="I12">
        <v>109.611</v>
      </c>
      <c r="J12">
        <v>211.197</v>
      </c>
      <c r="K12">
        <v>185.59700000000001</v>
      </c>
      <c r="L12">
        <v>277.12400000000002</v>
      </c>
      <c r="M12">
        <v>5.1532999999999998</v>
      </c>
      <c r="N12">
        <v>-1.83E-2</v>
      </c>
      <c r="O12">
        <v>-2.9999999999999997E-4</v>
      </c>
      <c r="P12">
        <v>0.10539999999999999</v>
      </c>
      <c r="S12" t="s">
        <v>146</v>
      </c>
    </row>
    <row r="13" spans="1:19" x14ac:dyDescent="0.25">
      <c r="A13" t="s">
        <v>97</v>
      </c>
      <c r="B13" t="b">
        <v>0</v>
      </c>
      <c r="C13" t="s">
        <v>21</v>
      </c>
      <c r="D13" t="s">
        <v>85</v>
      </c>
      <c r="E13">
        <v>420.00400000000002</v>
      </c>
      <c r="F13">
        <v>9.5850000000000009</v>
      </c>
      <c r="H13">
        <v>11.749000000000001</v>
      </c>
      <c r="I13">
        <v>114.452</v>
      </c>
      <c r="J13">
        <v>215.89099999999999</v>
      </c>
      <c r="K13">
        <v>186.762</v>
      </c>
      <c r="L13">
        <v>281.82</v>
      </c>
      <c r="M13">
        <v>5.1687000000000003</v>
      </c>
      <c r="N13">
        <v>-0.59819999999999995</v>
      </c>
      <c r="O13">
        <v>1.1000000000000001E-3</v>
      </c>
      <c r="P13">
        <v>2.7E-2</v>
      </c>
      <c r="S13" t="s">
        <v>147</v>
      </c>
    </row>
    <row r="14" spans="1:19" x14ac:dyDescent="0.25">
      <c r="A14" t="s">
        <v>98</v>
      </c>
      <c r="B14" t="b">
        <v>0</v>
      </c>
      <c r="C14" t="s">
        <v>21</v>
      </c>
      <c r="D14" t="s">
        <v>85</v>
      </c>
      <c r="E14">
        <v>420.03699999999998</v>
      </c>
      <c r="F14">
        <v>9.5350000000000001</v>
      </c>
      <c r="H14">
        <v>14.452</v>
      </c>
      <c r="I14">
        <v>133.08799999999999</v>
      </c>
      <c r="J14">
        <v>236.64099999999999</v>
      </c>
      <c r="K14">
        <v>207.57400000000001</v>
      </c>
      <c r="L14">
        <v>303.11799999999999</v>
      </c>
      <c r="M14">
        <v>5.2290000000000001</v>
      </c>
      <c r="N14">
        <v>-0.7873</v>
      </c>
      <c r="O14">
        <v>8.9999999999999998E-4</v>
      </c>
      <c r="P14">
        <v>2.7400000000000001E-2</v>
      </c>
      <c r="S14" t="s">
        <v>148</v>
      </c>
    </row>
    <row r="15" spans="1:19" x14ac:dyDescent="0.25">
      <c r="A15" t="s">
        <v>99</v>
      </c>
      <c r="B15" t="b">
        <v>1</v>
      </c>
      <c r="E15">
        <v>291.77600000000001</v>
      </c>
      <c r="F15">
        <v>9.4849999999999994</v>
      </c>
      <c r="G15">
        <v>291.774</v>
      </c>
      <c r="H15">
        <v>11.65</v>
      </c>
      <c r="I15">
        <v>118.22</v>
      </c>
      <c r="J15">
        <v>224.642</v>
      </c>
      <c r="K15">
        <v>194.208</v>
      </c>
      <c r="L15">
        <v>290.76799999999997</v>
      </c>
      <c r="M15">
        <v>5.1974</v>
      </c>
      <c r="N15">
        <v>-3.0800000000000001E-2</v>
      </c>
      <c r="O15">
        <v>1E-3</v>
      </c>
      <c r="P15">
        <v>0.10150000000000001</v>
      </c>
      <c r="S15" t="s">
        <v>149</v>
      </c>
    </row>
    <row r="16" spans="1:19" x14ac:dyDescent="0.25">
      <c r="A16" t="s">
        <v>100</v>
      </c>
      <c r="B16" t="b">
        <v>1</v>
      </c>
      <c r="E16">
        <v>277.18299999999999</v>
      </c>
      <c r="F16">
        <v>9.4830000000000005</v>
      </c>
      <c r="G16">
        <v>277.18099999999998</v>
      </c>
      <c r="H16">
        <v>11.648</v>
      </c>
      <c r="I16">
        <v>112.288</v>
      </c>
      <c r="J16">
        <v>210.148</v>
      </c>
      <c r="K16">
        <v>185.65899999999999</v>
      </c>
      <c r="L16">
        <v>276.17500000000001</v>
      </c>
      <c r="M16">
        <v>5.2095000000000002</v>
      </c>
      <c r="N16">
        <v>-0.1142</v>
      </c>
      <c r="O16">
        <v>1E-3</v>
      </c>
      <c r="P16">
        <v>0.104</v>
      </c>
      <c r="S16" t="s">
        <v>150</v>
      </c>
    </row>
    <row r="17" spans="1:19" x14ac:dyDescent="0.25">
      <c r="A17" t="s">
        <v>101</v>
      </c>
      <c r="B17" t="b">
        <v>1</v>
      </c>
      <c r="E17">
        <v>291.78300000000002</v>
      </c>
      <c r="F17">
        <v>9.4870000000000001</v>
      </c>
      <c r="G17">
        <v>291.78199999999998</v>
      </c>
      <c r="H17">
        <v>11.657999999999999</v>
      </c>
      <c r="I17">
        <v>122.85599999999999</v>
      </c>
      <c r="J17">
        <v>224.59100000000001</v>
      </c>
      <c r="K17">
        <v>195.721</v>
      </c>
      <c r="L17">
        <v>290.77600000000001</v>
      </c>
      <c r="M17">
        <v>5.1807999999999996</v>
      </c>
      <c r="N17">
        <v>-0.1716</v>
      </c>
      <c r="O17">
        <v>-1E-4</v>
      </c>
      <c r="P17">
        <v>0.1072</v>
      </c>
      <c r="S17" t="s">
        <v>151</v>
      </c>
    </row>
    <row r="18" spans="1:19" x14ac:dyDescent="0.25">
      <c r="A18" t="s">
        <v>102</v>
      </c>
      <c r="B18" t="b">
        <v>1</v>
      </c>
      <c r="E18">
        <v>294.05900000000003</v>
      </c>
      <c r="F18">
        <v>9.484</v>
      </c>
      <c r="G18">
        <v>294.05700000000002</v>
      </c>
      <c r="H18">
        <v>12.429</v>
      </c>
      <c r="I18">
        <v>119.446</v>
      </c>
      <c r="J18">
        <v>226.77099999999999</v>
      </c>
      <c r="K18">
        <v>198.505</v>
      </c>
      <c r="L18">
        <v>293.05200000000002</v>
      </c>
      <c r="M18">
        <v>5.2008000000000001</v>
      </c>
      <c r="N18">
        <v>-3.5000000000000003E-2</v>
      </c>
      <c r="O18">
        <v>2.0000000000000001E-4</v>
      </c>
      <c r="P18">
        <v>0.1032</v>
      </c>
      <c r="S18" t="s">
        <v>152</v>
      </c>
    </row>
    <row r="19" spans="1:19" x14ac:dyDescent="0.25">
      <c r="A19" t="s">
        <v>103</v>
      </c>
      <c r="B19" t="b">
        <v>1</v>
      </c>
      <c r="E19">
        <v>275.95600000000002</v>
      </c>
      <c r="F19">
        <v>9.5310000000000006</v>
      </c>
      <c r="G19">
        <v>275.95499999999998</v>
      </c>
      <c r="H19">
        <v>12.446</v>
      </c>
      <c r="I19">
        <v>108.544</v>
      </c>
      <c r="J19">
        <v>208.828</v>
      </c>
      <c r="K19">
        <v>180.40799999999999</v>
      </c>
      <c r="L19">
        <v>274.94900000000001</v>
      </c>
      <c r="M19">
        <v>5.1904000000000003</v>
      </c>
      <c r="N19">
        <v>-2.63E-2</v>
      </c>
      <c r="O19">
        <v>0</v>
      </c>
      <c r="P19">
        <v>9.35E-2</v>
      </c>
      <c r="S19" t="s">
        <v>153</v>
      </c>
    </row>
    <row r="20" spans="1:19" x14ac:dyDescent="0.25">
      <c r="A20" t="s">
        <v>104</v>
      </c>
      <c r="B20" t="b">
        <v>1</v>
      </c>
      <c r="E20">
        <v>277.51100000000002</v>
      </c>
      <c r="F20">
        <v>9.532</v>
      </c>
      <c r="G20">
        <v>277.50900000000001</v>
      </c>
      <c r="H20">
        <v>13.997</v>
      </c>
      <c r="I20">
        <v>109.649</v>
      </c>
      <c r="J20">
        <v>210.179</v>
      </c>
      <c r="K20">
        <v>181.45</v>
      </c>
      <c r="L20">
        <v>276.50299999999999</v>
      </c>
      <c r="M20">
        <v>5.1993999999999998</v>
      </c>
      <c r="N20">
        <v>-2.4500000000000001E-2</v>
      </c>
      <c r="O20">
        <v>2.0000000000000001E-4</v>
      </c>
      <c r="P20">
        <v>9.5000000000000001E-2</v>
      </c>
      <c r="S20" t="s">
        <v>154</v>
      </c>
    </row>
    <row r="21" spans="1:19" x14ac:dyDescent="0.25">
      <c r="A21" t="s">
        <v>105</v>
      </c>
      <c r="B21" t="b">
        <v>1</v>
      </c>
      <c r="E21">
        <v>283.20499999999998</v>
      </c>
      <c r="F21">
        <v>9.39</v>
      </c>
      <c r="G21">
        <v>283.20299999999997</v>
      </c>
      <c r="H21">
        <v>11.64</v>
      </c>
      <c r="I21">
        <v>113.07599999999999</v>
      </c>
      <c r="J21">
        <v>215.869</v>
      </c>
      <c r="K21">
        <v>186.142</v>
      </c>
      <c r="L21">
        <v>282.197</v>
      </c>
      <c r="M21">
        <v>5.2069999999999999</v>
      </c>
      <c r="N21">
        <v>-2.3E-2</v>
      </c>
      <c r="O21">
        <v>-2.0000000000000001E-4</v>
      </c>
      <c r="P21">
        <v>9.3700000000000006E-2</v>
      </c>
      <c r="S21" t="s">
        <v>155</v>
      </c>
    </row>
    <row r="22" spans="1:19" x14ac:dyDescent="0.25">
      <c r="A22" t="s">
        <v>106</v>
      </c>
      <c r="B22" t="b">
        <v>0</v>
      </c>
      <c r="C22" t="s">
        <v>20</v>
      </c>
      <c r="D22" t="s">
        <v>156</v>
      </c>
      <c r="E22">
        <v>225.53299999999999</v>
      </c>
      <c r="F22">
        <v>9.4339999999999993</v>
      </c>
      <c r="H22">
        <v>12.606999999999999</v>
      </c>
      <c r="I22">
        <v>113.98699999999999</v>
      </c>
      <c r="K22">
        <v>189.125</v>
      </c>
      <c r="M22">
        <v>5.2007000000000003</v>
      </c>
      <c r="N22">
        <v>1.2E-2</v>
      </c>
      <c r="O22">
        <v>5.1981000000000002</v>
      </c>
      <c r="P22">
        <v>2.9899999999999999E-2</v>
      </c>
      <c r="S22" t="s">
        <v>157</v>
      </c>
    </row>
    <row r="23" spans="1:19" x14ac:dyDescent="0.25">
      <c r="A23" t="s">
        <v>107</v>
      </c>
      <c r="B23" t="b">
        <v>1</v>
      </c>
      <c r="E23">
        <v>278.68099999999998</v>
      </c>
      <c r="F23">
        <v>9.4890000000000008</v>
      </c>
      <c r="G23">
        <v>278.67899999999997</v>
      </c>
      <c r="H23">
        <v>11.654999999999999</v>
      </c>
      <c r="I23">
        <v>111.581</v>
      </c>
      <c r="J23">
        <v>211.89699999999999</v>
      </c>
      <c r="K23">
        <v>184.14099999999999</v>
      </c>
      <c r="L23">
        <v>277.67399999999998</v>
      </c>
      <c r="M23">
        <v>5.1886000000000001</v>
      </c>
      <c r="N23">
        <v>-2.2100000000000002E-2</v>
      </c>
      <c r="O23">
        <v>-1E-4</v>
      </c>
      <c r="P23">
        <v>0.1004</v>
      </c>
      <c r="S23" t="s">
        <v>158</v>
      </c>
    </row>
    <row r="24" spans="1:19" x14ac:dyDescent="0.25">
      <c r="A24" t="s">
        <v>108</v>
      </c>
      <c r="B24" t="b">
        <v>1</v>
      </c>
      <c r="E24">
        <v>290.33699999999999</v>
      </c>
      <c r="F24">
        <v>9.48</v>
      </c>
      <c r="G24">
        <v>290.33499999999998</v>
      </c>
      <c r="H24">
        <v>13.228999999999999</v>
      </c>
      <c r="I24">
        <v>115.623</v>
      </c>
      <c r="J24">
        <v>224.40600000000001</v>
      </c>
      <c r="K24">
        <v>192.76499999999999</v>
      </c>
      <c r="L24">
        <v>289.33</v>
      </c>
      <c r="M24">
        <v>5.1455000000000002</v>
      </c>
      <c r="N24">
        <v>-0.15909999999999999</v>
      </c>
      <c r="O24">
        <v>-2.9999999999999997E-4</v>
      </c>
      <c r="P24">
        <v>9.3299999999999994E-2</v>
      </c>
      <c r="S24" t="s">
        <v>159</v>
      </c>
    </row>
    <row r="25" spans="1:19" x14ac:dyDescent="0.25">
      <c r="A25" t="s">
        <v>109</v>
      </c>
      <c r="B25" t="b">
        <v>1</v>
      </c>
      <c r="E25">
        <v>280.47000000000003</v>
      </c>
      <c r="F25">
        <v>9.4870000000000001</v>
      </c>
      <c r="G25">
        <v>280.46800000000002</v>
      </c>
      <c r="H25">
        <v>13.422000000000001</v>
      </c>
      <c r="I25">
        <v>112.041</v>
      </c>
      <c r="J25">
        <v>214.17599999999999</v>
      </c>
      <c r="K25">
        <v>184.40600000000001</v>
      </c>
      <c r="L25">
        <v>279.46300000000002</v>
      </c>
      <c r="M25">
        <v>5.1928999999999998</v>
      </c>
      <c r="N25">
        <v>-0.13239999999999999</v>
      </c>
      <c r="O25">
        <v>-2.0000000000000001E-4</v>
      </c>
      <c r="P25">
        <v>0.10680000000000001</v>
      </c>
      <c r="S25" t="s">
        <v>160</v>
      </c>
    </row>
    <row r="26" spans="1:19" x14ac:dyDescent="0.25">
      <c r="A26" t="s">
        <v>110</v>
      </c>
      <c r="B26" t="b">
        <v>0</v>
      </c>
      <c r="C26" t="s">
        <v>20</v>
      </c>
      <c r="D26" t="s">
        <v>161</v>
      </c>
      <c r="E26">
        <v>222.77500000000001</v>
      </c>
      <c r="F26">
        <v>9.4870000000000001</v>
      </c>
      <c r="H26">
        <v>11.651</v>
      </c>
      <c r="I26">
        <v>112.786</v>
      </c>
      <c r="K26">
        <v>186.16499999999999</v>
      </c>
      <c r="M26">
        <v>5.2037000000000004</v>
      </c>
      <c r="N26">
        <v>1.41E-2</v>
      </c>
      <c r="O26">
        <v>5.2026000000000003</v>
      </c>
      <c r="P26">
        <v>3.0700000000000002E-2</v>
      </c>
      <c r="S26" t="s">
        <v>162</v>
      </c>
    </row>
    <row r="27" spans="1:19" x14ac:dyDescent="0.25">
      <c r="A27" t="s">
        <v>111</v>
      </c>
      <c r="B27" t="b">
        <v>1</v>
      </c>
      <c r="E27">
        <v>275.22000000000003</v>
      </c>
      <c r="F27">
        <v>9.4329999999999998</v>
      </c>
      <c r="G27">
        <v>275.21800000000002</v>
      </c>
      <c r="H27">
        <v>12.715999999999999</v>
      </c>
      <c r="I27">
        <v>109.121</v>
      </c>
      <c r="J27">
        <v>208.137</v>
      </c>
      <c r="K27">
        <v>180.178</v>
      </c>
      <c r="L27">
        <v>274.21300000000002</v>
      </c>
      <c r="M27">
        <v>5.1919000000000004</v>
      </c>
      <c r="N27">
        <v>-2.2499999999999999E-2</v>
      </c>
      <c r="O27">
        <v>2.0000000000000001E-4</v>
      </c>
      <c r="P27">
        <v>0.1075</v>
      </c>
      <c r="S27" t="s">
        <v>163</v>
      </c>
    </row>
    <row r="28" spans="1:19" x14ac:dyDescent="0.25">
      <c r="A28" t="s">
        <v>112</v>
      </c>
      <c r="B28" t="b">
        <v>0</v>
      </c>
      <c r="C28" t="s">
        <v>20</v>
      </c>
      <c r="D28" t="s">
        <v>164</v>
      </c>
      <c r="E28">
        <v>167.26300000000001</v>
      </c>
      <c r="F28">
        <v>9.3840000000000003</v>
      </c>
      <c r="H28">
        <v>17.050999999999998</v>
      </c>
      <c r="I28">
        <v>122.11</v>
      </c>
      <c r="M28">
        <v>2.512</v>
      </c>
      <c r="N28">
        <v>1.3087</v>
      </c>
      <c r="O28">
        <v>2.5154999999999998</v>
      </c>
      <c r="P28">
        <v>1.3249</v>
      </c>
      <c r="S28" t="s">
        <v>165</v>
      </c>
    </row>
    <row r="29" spans="1:19" x14ac:dyDescent="0.25">
      <c r="A29" t="s">
        <v>113</v>
      </c>
      <c r="B29" t="b">
        <v>0</v>
      </c>
      <c r="C29" t="s">
        <v>20</v>
      </c>
      <c r="D29" t="s">
        <v>166</v>
      </c>
      <c r="E29">
        <v>217.18799999999999</v>
      </c>
      <c r="F29">
        <v>9.3859999999999992</v>
      </c>
      <c r="H29">
        <v>11.551</v>
      </c>
      <c r="I29">
        <v>109.672</v>
      </c>
      <c r="K29">
        <v>180.52500000000001</v>
      </c>
      <c r="M29">
        <v>5.2035999999999998</v>
      </c>
      <c r="N29">
        <v>1.26E-2</v>
      </c>
      <c r="O29">
        <v>5.2026000000000003</v>
      </c>
      <c r="P29">
        <v>3.0700000000000002E-2</v>
      </c>
      <c r="S29" t="s">
        <v>167</v>
      </c>
    </row>
    <row r="30" spans="1:19" x14ac:dyDescent="0.25">
      <c r="A30" t="s">
        <v>114</v>
      </c>
      <c r="B30" t="b">
        <v>1</v>
      </c>
      <c r="E30">
        <v>291.26100000000002</v>
      </c>
      <c r="F30">
        <v>9.4860000000000007</v>
      </c>
      <c r="G30">
        <v>291.26</v>
      </c>
      <c r="H30">
        <v>14.153</v>
      </c>
      <c r="I30">
        <v>121.532</v>
      </c>
      <c r="J30">
        <v>224.42599999999999</v>
      </c>
      <c r="K30">
        <v>199.73699999999999</v>
      </c>
      <c r="L30">
        <v>290.25400000000002</v>
      </c>
      <c r="M30">
        <v>5.2104999999999997</v>
      </c>
      <c r="N30">
        <v>-0.1022</v>
      </c>
      <c r="O30">
        <v>-1E-4</v>
      </c>
      <c r="P30">
        <v>0.1053</v>
      </c>
      <c r="S30" t="s">
        <v>168</v>
      </c>
    </row>
    <row r="31" spans="1:19" x14ac:dyDescent="0.25">
      <c r="A31" t="s">
        <v>115</v>
      </c>
      <c r="B31" t="b">
        <v>1</v>
      </c>
      <c r="E31">
        <v>292.79599999999999</v>
      </c>
      <c r="F31">
        <v>9.5380000000000003</v>
      </c>
      <c r="G31">
        <v>292.79399999999998</v>
      </c>
      <c r="H31">
        <v>17.204000000000001</v>
      </c>
      <c r="I31">
        <v>117.687</v>
      </c>
      <c r="J31">
        <v>225.96199999999999</v>
      </c>
      <c r="K31">
        <v>194.22399999999999</v>
      </c>
      <c r="L31">
        <v>291.78899999999999</v>
      </c>
      <c r="M31">
        <v>5.1947999999999999</v>
      </c>
      <c r="N31">
        <v>-2.4299999999999999E-2</v>
      </c>
      <c r="O31">
        <v>2.0000000000000001E-4</v>
      </c>
      <c r="P31">
        <v>9.2399999999999996E-2</v>
      </c>
      <c r="S31" t="s">
        <v>169</v>
      </c>
    </row>
    <row r="32" spans="1:19" x14ac:dyDescent="0.25">
      <c r="A32" t="s">
        <v>116</v>
      </c>
      <c r="B32" t="b">
        <v>0</v>
      </c>
      <c r="C32" t="s">
        <v>20</v>
      </c>
      <c r="D32" t="s">
        <v>170</v>
      </c>
      <c r="E32">
        <v>221.04300000000001</v>
      </c>
      <c r="F32">
        <v>9.484</v>
      </c>
      <c r="H32">
        <v>13.779</v>
      </c>
      <c r="I32">
        <v>112.658</v>
      </c>
      <c r="K32">
        <v>184.77799999999999</v>
      </c>
      <c r="M32">
        <v>5.2037000000000004</v>
      </c>
      <c r="N32">
        <v>9.1999999999999998E-3</v>
      </c>
      <c r="O32">
        <v>5.1981000000000002</v>
      </c>
      <c r="P32">
        <v>2.52E-2</v>
      </c>
      <c r="S32" t="s">
        <v>171</v>
      </c>
    </row>
    <row r="33" spans="1:19" x14ac:dyDescent="0.25">
      <c r="A33" t="s">
        <v>117</v>
      </c>
      <c r="B33" t="b">
        <v>1</v>
      </c>
      <c r="E33">
        <v>276.53899999999999</v>
      </c>
      <c r="F33">
        <v>9.532</v>
      </c>
      <c r="G33">
        <v>276.53699999999998</v>
      </c>
      <c r="H33">
        <v>14.012</v>
      </c>
      <c r="I33">
        <v>109.511</v>
      </c>
      <c r="J33">
        <v>209.298</v>
      </c>
      <c r="K33">
        <v>184.49700000000001</v>
      </c>
      <c r="L33">
        <v>275.53199999999998</v>
      </c>
      <c r="M33">
        <v>5.2035999999999998</v>
      </c>
      <c r="N33">
        <v>-7.4700000000000003E-2</v>
      </c>
      <c r="O33">
        <v>-1E-4</v>
      </c>
      <c r="P33">
        <v>9.4299999999999995E-2</v>
      </c>
      <c r="S33" t="s">
        <v>172</v>
      </c>
    </row>
    <row r="34" spans="1:19" x14ac:dyDescent="0.25">
      <c r="A34" t="s">
        <v>118</v>
      </c>
      <c r="B34" t="b">
        <v>1</v>
      </c>
      <c r="E34">
        <v>279.06099999999998</v>
      </c>
      <c r="F34">
        <v>9.3829999999999991</v>
      </c>
      <c r="G34">
        <v>279.05900000000003</v>
      </c>
      <c r="H34">
        <v>17.05</v>
      </c>
      <c r="I34">
        <v>114.009</v>
      </c>
      <c r="J34">
        <v>211.928</v>
      </c>
      <c r="K34">
        <v>188.03299999999999</v>
      </c>
      <c r="L34">
        <v>278.053</v>
      </c>
      <c r="M34">
        <v>5.2069999999999999</v>
      </c>
      <c r="N34">
        <v>-2.7699999999999999E-2</v>
      </c>
      <c r="O34">
        <v>-1E-4</v>
      </c>
      <c r="P34">
        <v>9.7299999999999998E-2</v>
      </c>
      <c r="S34" t="s">
        <v>173</v>
      </c>
    </row>
    <row r="35" spans="1:19" x14ac:dyDescent="0.25">
      <c r="A35" t="s">
        <v>119</v>
      </c>
      <c r="B35" t="b">
        <v>1</v>
      </c>
      <c r="E35">
        <v>272.62</v>
      </c>
      <c r="F35">
        <v>9.4380000000000006</v>
      </c>
      <c r="G35">
        <v>272.61799999999999</v>
      </c>
      <c r="H35">
        <v>12.603</v>
      </c>
      <c r="I35">
        <v>108.52</v>
      </c>
      <c r="J35">
        <v>206.53899999999999</v>
      </c>
      <c r="K35">
        <v>179.584</v>
      </c>
      <c r="L35">
        <v>271.61099999999999</v>
      </c>
      <c r="M35">
        <v>5.2013999999999996</v>
      </c>
      <c r="N35">
        <v>-2.9399999999999999E-2</v>
      </c>
      <c r="O35">
        <v>-5.0000000000000001E-4</v>
      </c>
      <c r="P35">
        <v>9.6199999999999994E-2</v>
      </c>
      <c r="S35" t="s">
        <v>174</v>
      </c>
    </row>
    <row r="36" spans="1:19" x14ac:dyDescent="0.25">
      <c r="A36" t="s">
        <v>120</v>
      </c>
      <c r="B36" t="b">
        <v>1</v>
      </c>
      <c r="E36">
        <v>280.24200000000002</v>
      </c>
      <c r="F36">
        <v>9.516</v>
      </c>
      <c r="G36">
        <v>280.24</v>
      </c>
      <c r="H36">
        <v>11.682</v>
      </c>
      <c r="I36">
        <v>109.452</v>
      </c>
      <c r="J36">
        <v>213.256</v>
      </c>
      <c r="K36">
        <v>183.179</v>
      </c>
      <c r="L36">
        <v>279.23399999999998</v>
      </c>
      <c r="M36">
        <v>5.1909000000000001</v>
      </c>
      <c r="N36">
        <v>-2.1100000000000001E-2</v>
      </c>
      <c r="O36">
        <v>-8.0000000000000004E-4</v>
      </c>
      <c r="P36">
        <v>9.2700000000000005E-2</v>
      </c>
      <c r="S36" t="s">
        <v>175</v>
      </c>
    </row>
    <row r="37" spans="1:19" x14ac:dyDescent="0.25">
      <c r="A37" t="s">
        <v>121</v>
      </c>
      <c r="B37" t="b">
        <v>1</v>
      </c>
      <c r="E37">
        <v>302.20499999999998</v>
      </c>
      <c r="F37">
        <v>9.3870000000000005</v>
      </c>
      <c r="G37">
        <v>302.20299999999997</v>
      </c>
      <c r="H37">
        <v>17.053999999999998</v>
      </c>
      <c r="I37">
        <v>126.14100000000001</v>
      </c>
      <c r="J37">
        <v>234.97</v>
      </c>
      <c r="K37">
        <v>202.63200000000001</v>
      </c>
      <c r="L37">
        <v>301.19799999999998</v>
      </c>
      <c r="M37">
        <v>5.1951999999999998</v>
      </c>
      <c r="N37">
        <v>-2.2599999999999999E-2</v>
      </c>
      <c r="O37">
        <v>2.0000000000000001E-4</v>
      </c>
      <c r="P37">
        <v>9.5399999999999999E-2</v>
      </c>
      <c r="S37" t="s">
        <v>176</v>
      </c>
    </row>
    <row r="38" spans="1:19" x14ac:dyDescent="0.25">
      <c r="A38" t="s">
        <v>122</v>
      </c>
      <c r="B38" t="b">
        <v>1</v>
      </c>
      <c r="E38">
        <v>281.58699999999999</v>
      </c>
      <c r="F38">
        <v>9.3879999999999999</v>
      </c>
      <c r="G38">
        <v>281.58600000000001</v>
      </c>
      <c r="H38">
        <v>17.053999999999998</v>
      </c>
      <c r="I38">
        <v>114.46599999999999</v>
      </c>
      <c r="J38">
        <v>214.501</v>
      </c>
      <c r="K38">
        <v>186.029</v>
      </c>
      <c r="L38">
        <v>280.58</v>
      </c>
      <c r="M38">
        <v>5.2081</v>
      </c>
      <c r="N38">
        <v>-3.5799999999999998E-2</v>
      </c>
      <c r="O38">
        <v>-2.9999999999999997E-4</v>
      </c>
      <c r="P38">
        <v>9.69E-2</v>
      </c>
      <c r="S38" t="s">
        <v>177</v>
      </c>
    </row>
    <row r="39" spans="1:19" x14ac:dyDescent="0.25">
      <c r="A39" t="s">
        <v>123</v>
      </c>
      <c r="B39" t="b">
        <v>1</v>
      </c>
      <c r="E39">
        <v>281.72699999999998</v>
      </c>
      <c r="F39">
        <v>9.4909999999999997</v>
      </c>
      <c r="G39">
        <v>281.72500000000002</v>
      </c>
      <c r="H39">
        <v>11.654999999999999</v>
      </c>
      <c r="I39">
        <v>114.51600000000001</v>
      </c>
      <c r="J39">
        <v>215.244</v>
      </c>
      <c r="K39">
        <v>186.678</v>
      </c>
      <c r="L39">
        <v>280.71899999999999</v>
      </c>
      <c r="M39">
        <v>5.1878000000000002</v>
      </c>
      <c r="N39">
        <v>-1.9E-2</v>
      </c>
      <c r="O39">
        <v>5.0000000000000001E-4</v>
      </c>
      <c r="P39">
        <v>0.113</v>
      </c>
      <c r="S39" t="s">
        <v>178</v>
      </c>
    </row>
    <row r="40" spans="1:19" x14ac:dyDescent="0.25">
      <c r="A40" t="s">
        <v>124</v>
      </c>
      <c r="B40" t="b">
        <v>0</v>
      </c>
      <c r="C40" t="s">
        <v>21</v>
      </c>
      <c r="D40" t="s">
        <v>85</v>
      </c>
      <c r="E40">
        <v>420.00099999999998</v>
      </c>
      <c r="F40">
        <v>9.5879999999999992</v>
      </c>
      <c r="H40">
        <v>11.752000000000001</v>
      </c>
      <c r="I40">
        <v>112.593</v>
      </c>
      <c r="J40">
        <v>214.227</v>
      </c>
      <c r="K40">
        <v>185.255</v>
      </c>
      <c r="L40">
        <v>280.81</v>
      </c>
      <c r="M40">
        <v>5.1315999999999997</v>
      </c>
      <c r="N40">
        <v>-0.84260000000000002</v>
      </c>
      <c r="O40">
        <v>1.2999999999999999E-3</v>
      </c>
      <c r="P40">
        <v>2.7400000000000001E-2</v>
      </c>
      <c r="S40" t="s">
        <v>179</v>
      </c>
    </row>
    <row r="41" spans="1:19" x14ac:dyDescent="0.25">
      <c r="A41" t="s">
        <v>125</v>
      </c>
      <c r="B41" t="b">
        <v>1</v>
      </c>
      <c r="E41">
        <v>297.78100000000001</v>
      </c>
      <c r="F41">
        <v>9.4830000000000005</v>
      </c>
      <c r="G41">
        <v>297.779</v>
      </c>
      <c r="H41">
        <v>17.149999999999999</v>
      </c>
      <c r="I41">
        <v>128.54300000000001</v>
      </c>
      <c r="J41">
        <v>230.49100000000001</v>
      </c>
      <c r="K41">
        <v>205.74299999999999</v>
      </c>
      <c r="L41">
        <v>296.774</v>
      </c>
      <c r="M41">
        <v>5.1973000000000003</v>
      </c>
      <c r="N41">
        <v>-0.1081</v>
      </c>
      <c r="O41">
        <v>8.9999999999999998E-4</v>
      </c>
      <c r="P41">
        <v>9.2200000000000004E-2</v>
      </c>
      <c r="S41" t="s">
        <v>180</v>
      </c>
    </row>
    <row r="42" spans="1:19" x14ac:dyDescent="0.25">
      <c r="A42" t="s">
        <v>19</v>
      </c>
      <c r="B42" t="b">
        <v>0</v>
      </c>
      <c r="C42" t="s">
        <v>20</v>
      </c>
      <c r="D42" t="s">
        <v>181</v>
      </c>
      <c r="E42">
        <v>226.42699999999999</v>
      </c>
      <c r="F42">
        <v>9.2309999999999999</v>
      </c>
      <c r="H42">
        <v>12.189</v>
      </c>
      <c r="I42">
        <v>113.723</v>
      </c>
      <c r="K42">
        <v>190.21199999999999</v>
      </c>
      <c r="M42">
        <v>5.2023000000000001</v>
      </c>
      <c r="N42">
        <v>9.5999999999999992E-3</v>
      </c>
      <c r="O42">
        <v>5.2027000000000001</v>
      </c>
      <c r="P42">
        <v>2.7699999999999999E-2</v>
      </c>
      <c r="S42" t="s">
        <v>182</v>
      </c>
    </row>
    <row r="43" spans="1:19" x14ac:dyDescent="0.25">
      <c r="A43" t="s">
        <v>126</v>
      </c>
      <c r="B43" t="b">
        <v>1</v>
      </c>
      <c r="E43">
        <v>278.38600000000002</v>
      </c>
      <c r="F43">
        <v>9.4320000000000004</v>
      </c>
      <c r="G43">
        <v>278.38499999999999</v>
      </c>
      <c r="H43">
        <v>13.349</v>
      </c>
      <c r="I43">
        <v>111.31699999999999</v>
      </c>
      <c r="J43">
        <v>211.39699999999999</v>
      </c>
      <c r="K43">
        <v>182.82400000000001</v>
      </c>
      <c r="L43">
        <v>277.37900000000002</v>
      </c>
      <c r="M43">
        <v>5.1363000000000003</v>
      </c>
      <c r="N43">
        <v>-9.01E-2</v>
      </c>
      <c r="O43">
        <v>2.9999999999999997E-4</v>
      </c>
      <c r="P43">
        <v>0.1043</v>
      </c>
      <c r="S43" t="s">
        <v>183</v>
      </c>
    </row>
    <row r="44" spans="1:19" x14ac:dyDescent="0.25">
      <c r="A44" t="s">
        <v>127</v>
      </c>
      <c r="B44" t="b">
        <v>1</v>
      </c>
      <c r="E44">
        <v>280.57600000000002</v>
      </c>
      <c r="F44">
        <v>9.3849999999999998</v>
      </c>
      <c r="G44">
        <v>280.57400000000001</v>
      </c>
      <c r="H44">
        <v>13.553000000000001</v>
      </c>
      <c r="I44">
        <v>112.72199999999999</v>
      </c>
      <c r="J44">
        <v>213.745</v>
      </c>
      <c r="K44">
        <v>185.02799999999999</v>
      </c>
      <c r="L44">
        <v>279.56900000000002</v>
      </c>
      <c r="M44">
        <v>5.2130999999999998</v>
      </c>
      <c r="N44">
        <v>-2.2499999999999999E-2</v>
      </c>
      <c r="O44">
        <v>-4.0000000000000002E-4</v>
      </c>
      <c r="P44">
        <v>0.108</v>
      </c>
      <c r="S44" t="s">
        <v>184</v>
      </c>
    </row>
    <row r="45" spans="1:19" x14ac:dyDescent="0.25">
      <c r="A45" t="s">
        <v>128</v>
      </c>
      <c r="B45" t="b">
        <v>0</v>
      </c>
      <c r="C45" t="s">
        <v>21</v>
      </c>
      <c r="D45" t="s">
        <v>85</v>
      </c>
      <c r="E45">
        <v>420.01900000000001</v>
      </c>
      <c r="F45">
        <v>9.5350000000000001</v>
      </c>
      <c r="H45">
        <v>11.7</v>
      </c>
      <c r="I45">
        <v>107.051</v>
      </c>
      <c r="J45">
        <v>209.64699999999999</v>
      </c>
      <c r="K45">
        <v>180.173</v>
      </c>
      <c r="L45">
        <v>275.221</v>
      </c>
      <c r="M45">
        <v>5.2163000000000004</v>
      </c>
      <c r="N45">
        <v>-0.73150000000000004</v>
      </c>
      <c r="O45">
        <v>1.2999999999999999E-3</v>
      </c>
      <c r="P45">
        <v>2.6599999999999999E-2</v>
      </c>
      <c r="S45" t="s">
        <v>185</v>
      </c>
    </row>
    <row r="46" spans="1:19" x14ac:dyDescent="0.25">
      <c r="A46" t="s">
        <v>129</v>
      </c>
      <c r="B46" t="b">
        <v>1</v>
      </c>
      <c r="E46">
        <v>275.76799999999997</v>
      </c>
      <c r="F46">
        <v>9.2810000000000006</v>
      </c>
      <c r="G46">
        <v>275.76600000000002</v>
      </c>
      <c r="H46">
        <v>12.231</v>
      </c>
      <c r="I46">
        <v>109.703</v>
      </c>
      <c r="J46">
        <v>209.03100000000001</v>
      </c>
      <c r="K46">
        <v>181.72200000000001</v>
      </c>
      <c r="L46">
        <v>274.76</v>
      </c>
      <c r="M46">
        <v>5.1898999999999997</v>
      </c>
      <c r="N46">
        <v>-2.3099999999999999E-2</v>
      </c>
      <c r="O46">
        <v>5.0000000000000001E-4</v>
      </c>
      <c r="P46">
        <v>0.1079</v>
      </c>
      <c r="S46" t="s">
        <v>186</v>
      </c>
    </row>
    <row r="47" spans="1:19" x14ac:dyDescent="0.25">
      <c r="A47" t="s">
        <v>130</v>
      </c>
      <c r="B47" t="b">
        <v>1</v>
      </c>
      <c r="E47">
        <v>290.41000000000003</v>
      </c>
      <c r="F47">
        <v>9.3819999999999997</v>
      </c>
      <c r="G47">
        <v>290.40800000000002</v>
      </c>
      <c r="H47">
        <v>12.3</v>
      </c>
      <c r="I47">
        <v>116.9</v>
      </c>
      <c r="J47">
        <v>224.321</v>
      </c>
      <c r="K47">
        <v>193.84100000000001</v>
      </c>
      <c r="L47">
        <v>289.40300000000002</v>
      </c>
      <c r="M47">
        <v>5.1980000000000004</v>
      </c>
      <c r="N47">
        <v>-1.9900000000000001E-2</v>
      </c>
      <c r="O47">
        <v>-2.9999999999999997E-4</v>
      </c>
      <c r="P47">
        <v>0.1037</v>
      </c>
      <c r="S47" t="s">
        <v>187</v>
      </c>
    </row>
    <row r="48" spans="1:19" x14ac:dyDescent="0.25">
      <c r="A48" t="s">
        <v>131</v>
      </c>
      <c r="B48" t="b">
        <v>1</v>
      </c>
      <c r="E48">
        <v>280.512</v>
      </c>
      <c r="F48">
        <v>9.4359999999999999</v>
      </c>
      <c r="G48">
        <v>280.51</v>
      </c>
      <c r="H48">
        <v>12.459</v>
      </c>
      <c r="I48">
        <v>111.285</v>
      </c>
      <c r="J48">
        <v>213.27099999999999</v>
      </c>
      <c r="K48">
        <v>184.45</v>
      </c>
      <c r="L48">
        <v>279.50400000000002</v>
      </c>
      <c r="M48">
        <v>5.2081</v>
      </c>
      <c r="N48">
        <v>-2.5600000000000001E-2</v>
      </c>
      <c r="O48">
        <v>1E-4</v>
      </c>
      <c r="P48">
        <v>9.2499999999999999E-2</v>
      </c>
      <c r="S48" t="s">
        <v>188</v>
      </c>
    </row>
    <row r="49" spans="1:19" x14ac:dyDescent="0.25">
      <c r="A49" t="s">
        <v>132</v>
      </c>
      <c r="B49" t="b">
        <v>0</v>
      </c>
      <c r="C49" t="s">
        <v>20</v>
      </c>
      <c r="D49" t="s">
        <v>189</v>
      </c>
      <c r="E49">
        <v>165.852</v>
      </c>
      <c r="F49">
        <v>9.5380000000000003</v>
      </c>
      <c r="H49">
        <v>11.704000000000001</v>
      </c>
      <c r="I49">
        <v>120.696</v>
      </c>
      <c r="M49">
        <v>2.5146000000000002</v>
      </c>
      <c r="N49">
        <v>1.3058000000000001</v>
      </c>
      <c r="O49">
        <v>2.5148000000000001</v>
      </c>
      <c r="P49">
        <v>1.3238000000000001</v>
      </c>
      <c r="S49" t="s">
        <v>190</v>
      </c>
    </row>
    <row r="50" spans="1:19" x14ac:dyDescent="0.25">
      <c r="A50" t="s">
        <v>133</v>
      </c>
      <c r="B50" t="b">
        <v>1</v>
      </c>
      <c r="E50">
        <v>285.02699999999999</v>
      </c>
      <c r="F50">
        <v>9.5340000000000007</v>
      </c>
      <c r="G50">
        <v>285.02600000000001</v>
      </c>
      <c r="H50">
        <v>12.449</v>
      </c>
      <c r="I50">
        <v>107.392</v>
      </c>
      <c r="J50">
        <v>218.48500000000001</v>
      </c>
      <c r="K50">
        <v>188.458</v>
      </c>
      <c r="L50">
        <v>284.01799999999997</v>
      </c>
      <c r="M50">
        <v>5.1896000000000004</v>
      </c>
      <c r="N50">
        <v>-1.6500000000000001E-2</v>
      </c>
      <c r="O50">
        <v>-1E-4</v>
      </c>
      <c r="P50">
        <v>0.109</v>
      </c>
      <c r="S50" t="s">
        <v>191</v>
      </c>
    </row>
    <row r="51" spans="1:19" x14ac:dyDescent="0.25">
      <c r="A51" t="s">
        <v>134</v>
      </c>
      <c r="B51" t="b">
        <v>0</v>
      </c>
      <c r="C51" t="s">
        <v>21</v>
      </c>
      <c r="D51" t="s">
        <v>85</v>
      </c>
      <c r="E51">
        <v>420.036</v>
      </c>
      <c r="F51">
        <v>9.4339999999999993</v>
      </c>
      <c r="H51">
        <v>13.169</v>
      </c>
      <c r="I51">
        <v>113.447</v>
      </c>
      <c r="J51">
        <v>217.792</v>
      </c>
      <c r="K51">
        <v>188.67699999999999</v>
      </c>
      <c r="L51">
        <v>282.71300000000002</v>
      </c>
      <c r="M51">
        <v>5.1108000000000002</v>
      </c>
      <c r="N51">
        <v>-0.3271</v>
      </c>
      <c r="O51">
        <v>1.1000000000000001E-3</v>
      </c>
      <c r="P51">
        <v>2.6599999999999999E-2</v>
      </c>
      <c r="S51" t="s">
        <v>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26"/>
  <sheetViews>
    <sheetView topLeftCell="BH1" workbookViewId="0">
      <selection activeCell="BV2" sqref="BV2"/>
    </sheetView>
  </sheetViews>
  <sheetFormatPr baseColWidth="10" defaultRowHeight="15" x14ac:dyDescent="0.25"/>
  <cols>
    <col min="3" max="3" width="16" customWidth="1"/>
    <col min="4" max="4" width="15.140625" customWidth="1"/>
    <col min="5" max="5" width="14.5703125" customWidth="1"/>
    <col min="6" max="6" width="21.85546875" customWidth="1"/>
    <col min="7" max="7" width="26.140625" customWidth="1"/>
    <col min="8" max="8" width="21.140625" customWidth="1"/>
    <col min="9" max="9" width="12.42578125" customWidth="1"/>
    <col min="10" max="10" width="13" customWidth="1"/>
    <col min="11" max="11" width="22.7109375" customWidth="1"/>
    <col min="12" max="12" width="23.42578125" customWidth="1"/>
    <col min="13" max="14" width="20.7109375" customWidth="1"/>
    <col min="15" max="15" width="22" customWidth="1"/>
    <col min="16" max="17" width="20.7109375" customWidth="1"/>
    <col min="18" max="18" width="21" customWidth="1"/>
    <col min="19" max="19" width="29.140625" customWidth="1"/>
    <col min="20" max="20" width="34.85546875" customWidth="1"/>
    <col min="21" max="21" width="31.42578125" customWidth="1"/>
    <col min="22" max="23" width="28.85546875" customWidth="1"/>
    <col min="24" max="24" width="31.140625" customWidth="1"/>
    <col min="25" max="25" width="25.42578125" customWidth="1"/>
    <col min="26" max="26" width="30.28515625" customWidth="1"/>
    <col min="27" max="27" width="29.140625" customWidth="1"/>
    <col min="28" max="28" width="36" customWidth="1"/>
    <col min="29" max="29" width="35" customWidth="1"/>
    <col min="30" max="31" width="32.42578125" customWidth="1"/>
    <col min="32" max="32" width="39.5703125" customWidth="1"/>
    <col min="33" max="34" width="31.7109375" customWidth="1"/>
    <col min="35" max="35" width="34" customWidth="1"/>
    <col min="36" max="36" width="38.5703125" customWidth="1"/>
    <col min="37" max="38" width="34.5703125" customWidth="1"/>
    <col min="39" max="39" width="41.42578125" customWidth="1"/>
    <col min="40" max="40" width="25.28515625" customWidth="1"/>
    <col min="41" max="42" width="29" customWidth="1"/>
    <col min="43" max="43" width="35.85546875" customWidth="1"/>
    <col min="44" max="44" width="34.85546875" customWidth="1"/>
    <col min="45" max="46" width="32.28515625" customWidth="1"/>
    <col min="47" max="47" width="39.42578125" customWidth="1"/>
    <col min="48" max="49" width="31.5703125" customWidth="1"/>
    <col min="50" max="50" width="33.85546875" customWidth="1"/>
    <col min="51" max="51" width="38.42578125" customWidth="1"/>
    <col min="52" max="53" width="34.42578125" customWidth="1"/>
    <col min="54" max="54" width="41.28515625" customWidth="1"/>
    <col min="55" max="55" width="6.28515625" customWidth="1"/>
    <col min="56" max="56" width="7.7109375" customWidth="1"/>
    <col min="57" max="57" width="14.42578125" hidden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23</v>
      </c>
      <c r="P1" t="s">
        <v>14</v>
      </c>
      <c r="Q1" t="s">
        <v>15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195</v>
      </c>
      <c r="Z1" t="s">
        <v>196</v>
      </c>
      <c r="AA1" t="s">
        <v>197</v>
      </c>
      <c r="AB1" t="s">
        <v>198</v>
      </c>
      <c r="AC1" t="s">
        <v>199</v>
      </c>
      <c r="AD1" t="s">
        <v>200</v>
      </c>
      <c r="AE1" t="s">
        <v>201</v>
      </c>
      <c r="AF1" t="s">
        <v>202</v>
      </c>
      <c r="AG1" t="s">
        <v>203</v>
      </c>
      <c r="AH1" t="s">
        <v>204</v>
      </c>
      <c r="AI1" t="s">
        <v>205</v>
      </c>
      <c r="AJ1" t="s">
        <v>206</v>
      </c>
      <c r="AK1" t="s">
        <v>207</v>
      </c>
      <c r="AL1" t="s">
        <v>208</v>
      </c>
      <c r="AM1" t="s">
        <v>209</v>
      </c>
      <c r="AN1" t="s">
        <v>210</v>
      </c>
      <c r="AO1" t="s">
        <v>211</v>
      </c>
      <c r="AP1" t="s">
        <v>212</v>
      </c>
      <c r="AQ1" t="s">
        <v>213</v>
      </c>
      <c r="AR1" t="s">
        <v>214</v>
      </c>
      <c r="AS1" t="s">
        <v>215</v>
      </c>
      <c r="AT1" t="s">
        <v>216</v>
      </c>
      <c r="AU1" t="s">
        <v>217</v>
      </c>
      <c r="AV1" t="s">
        <v>218</v>
      </c>
      <c r="AW1" t="s">
        <v>219</v>
      </c>
      <c r="AX1" t="s">
        <v>220</v>
      </c>
      <c r="AY1" t="s">
        <v>221</v>
      </c>
      <c r="AZ1" t="s">
        <v>222</v>
      </c>
      <c r="BA1" t="s">
        <v>223</v>
      </c>
      <c r="BB1" t="s">
        <v>224</v>
      </c>
      <c r="BC1" t="s">
        <v>16</v>
      </c>
      <c r="BD1" t="s">
        <v>17</v>
      </c>
      <c r="BE1" t="s">
        <v>18</v>
      </c>
      <c r="BF1" s="13" t="s">
        <v>259</v>
      </c>
      <c r="BG1" s="13" t="s">
        <v>260</v>
      </c>
      <c r="BH1" s="13" t="s">
        <v>261</v>
      </c>
      <c r="BI1" s="13" t="s">
        <v>262</v>
      </c>
      <c r="BJ1" s="13" t="s">
        <v>263</v>
      </c>
      <c r="BK1" s="13" t="s">
        <v>264</v>
      </c>
      <c r="BL1" s="13" t="s">
        <v>265</v>
      </c>
      <c r="BM1" s="13" t="s">
        <v>266</v>
      </c>
      <c r="BN1" s="13" t="s">
        <v>267</v>
      </c>
      <c r="BO1" s="13" t="s">
        <v>268</v>
      </c>
      <c r="BP1" s="13" t="s">
        <v>269</v>
      </c>
      <c r="BQ1" s="13" t="s">
        <v>270</v>
      </c>
      <c r="BR1" s="13" t="s">
        <v>271</v>
      </c>
      <c r="BS1" s="13" t="s">
        <v>272</v>
      </c>
      <c r="BT1" s="13" t="s">
        <v>273</v>
      </c>
      <c r="BU1" s="13" t="s">
        <v>274</v>
      </c>
      <c r="BV1" s="13" t="s">
        <v>275</v>
      </c>
      <c r="BW1" s="13" t="s">
        <v>276</v>
      </c>
      <c r="BX1" s="13" t="s">
        <v>277</v>
      </c>
      <c r="BY1" s="13" t="s">
        <v>278</v>
      </c>
      <c r="BZ1" s="13" t="s">
        <v>279</v>
      </c>
      <c r="CA1" s="13" t="s">
        <v>280</v>
      </c>
      <c r="CB1" s="13" t="s">
        <v>281</v>
      </c>
      <c r="CC1" s="13" t="s">
        <v>282</v>
      </c>
    </row>
    <row r="2" spans="1:81" x14ac:dyDescent="0.25">
      <c r="A2" t="s">
        <v>86</v>
      </c>
      <c r="B2" t="b">
        <v>1</v>
      </c>
      <c r="E2">
        <v>266.31299999999999</v>
      </c>
      <c r="F2">
        <v>9.8330000000000002</v>
      </c>
      <c r="G2">
        <v>266.30900000000003</v>
      </c>
      <c r="H2">
        <v>12.000999999999999</v>
      </c>
      <c r="I2">
        <v>128.27799999999999</v>
      </c>
      <c r="J2">
        <v>199.24700000000001</v>
      </c>
      <c r="K2">
        <v>169.131</v>
      </c>
      <c r="L2">
        <v>265.3</v>
      </c>
      <c r="M2">
        <v>5.2019000000000002</v>
      </c>
      <c r="N2">
        <v>-4.0099999999999997E-2</v>
      </c>
      <c r="O2">
        <v>-0.77</v>
      </c>
      <c r="P2">
        <v>-1E-4</v>
      </c>
      <c r="Q2">
        <v>0.1066</v>
      </c>
      <c r="R2">
        <v>8.1000000000000003E-2</v>
      </c>
      <c r="S2">
        <v>1.9E-3</v>
      </c>
      <c r="T2">
        <v>-4.0099999999999997E-2</v>
      </c>
      <c r="U2">
        <v>4.0099999999999997E-2</v>
      </c>
      <c r="V2">
        <v>-1E-4</v>
      </c>
      <c r="W2">
        <v>0.1066</v>
      </c>
      <c r="X2">
        <v>0.1066</v>
      </c>
      <c r="Y2">
        <v>76.597999999999999</v>
      </c>
      <c r="Z2">
        <v>4.0000000000000001E-3</v>
      </c>
      <c r="AA2">
        <v>0</v>
      </c>
      <c r="AB2">
        <v>-0.7</v>
      </c>
      <c r="AC2">
        <v>5</v>
      </c>
      <c r="AD2">
        <v>1.78E-2</v>
      </c>
      <c r="AE2">
        <v>-1.0569999999999999</v>
      </c>
      <c r="AF2">
        <v>-0.60699999999999998</v>
      </c>
      <c r="AG2">
        <v>2.8E-3</v>
      </c>
      <c r="AH2">
        <v>-1.0569999999999999</v>
      </c>
      <c r="AI2">
        <v>1.0569999999999999</v>
      </c>
      <c r="AJ2">
        <v>-0.60699999999999998</v>
      </c>
      <c r="AK2">
        <v>1.1999999999999999E-3</v>
      </c>
      <c r="AL2">
        <v>1.0569999999999999</v>
      </c>
      <c r="AM2">
        <v>-9.2999999999999999E-2</v>
      </c>
      <c r="AN2">
        <v>128.27500000000001</v>
      </c>
      <c r="AO2">
        <v>8.0000000000000002E-3</v>
      </c>
      <c r="AP2">
        <v>-2.5000000000000001E-2</v>
      </c>
      <c r="AQ2">
        <v>-0.05</v>
      </c>
      <c r="AR2">
        <v>11</v>
      </c>
      <c r="AS2">
        <v>7.9000000000000008E-3</v>
      </c>
      <c r="AT2">
        <v>-2.5100000000000001E-2</v>
      </c>
      <c r="AU2">
        <v>-9.4E-2</v>
      </c>
      <c r="AV2">
        <v>7.9000000000000008E-3</v>
      </c>
      <c r="AW2">
        <v>-2.5100000000000001E-2</v>
      </c>
      <c r="AX2">
        <v>2.63E-2</v>
      </c>
      <c r="AY2">
        <v>-9.4E-2</v>
      </c>
      <c r="AZ2">
        <v>1E-4</v>
      </c>
      <c r="BA2">
        <v>1E-4</v>
      </c>
      <c r="BB2">
        <v>4.3999999999999997E-2</v>
      </c>
      <c r="BE2" t="s">
        <v>225</v>
      </c>
      <c r="BF2" s="12">
        <f>IF(sim_a[[#This Row],[final_trolley_dropoff_error_x]]="","",ABS(sim_a[[#This Row],[final_trolley_dropoff_error_x]])*1000)</f>
        <v>1.9</v>
      </c>
      <c r="BG2" s="12">
        <f>IF(sim_a[[#This Row],[final_trolley_dropoff_error_y]]="","",ABS(sim_a[[#This Row],[final_trolley_dropoff_error_y]])*1000)</f>
        <v>40.099999999999994</v>
      </c>
      <c r="BH2" s="12">
        <f>IF(sim_a[[#This Row],[final_trolley_dropoff_error_dist]]="","",sim_a[[#This Row],[final_trolley_dropoff_error_dist]]*1000)</f>
        <v>40.099999999999994</v>
      </c>
      <c r="BI2" s="12">
        <f>IF(sim_a[[#This Row],[final_robot_charging_error_x]]="","",ABS(sim_a[[#This Row],[final_robot_charging_error_x]])*1000)</f>
        <v>0.1</v>
      </c>
      <c r="BJ2" s="12">
        <f>IF(sim_a[[#This Row],[final_robot_charging_error_y]]="","",ABS(sim_a[[#This Row],[final_robot_charging_error_y]])*1000)</f>
        <v>106.6</v>
      </c>
      <c r="BK2" s="12">
        <f>IF(sim_a[[#This Row],[final_robot_charging_error_dist]]="","",sim_a[[#This Row],[final_robot_charging_error_dist]]*1000)</f>
        <v>106.6</v>
      </c>
      <c r="BL2" s="12">
        <f>IF(sim_a[[#This Row],[side_align_aruco_est_error_x]]="","",ABS(sim_a[[#This Row],[side_align_aruco_est_error_x]])*1000)</f>
        <v>4</v>
      </c>
      <c r="BM2" s="12">
        <f>IF(sim_a[[#This Row],[side_align_aruco_est_error_y]]="","",ABS(sim_a[[#This Row],[side_align_aruco_est_error_y]])*1000)</f>
        <v>0</v>
      </c>
      <c r="BN2" s="12">
        <f>IF(sim_a[[#This Row],[side_align_aruco_est_yaw_error_deg]]="","",ABS(sim_a[[#This Row],[side_align_aruco_est_yaw_error_deg]]))</f>
        <v>0.7</v>
      </c>
      <c r="BO2" s="12">
        <f>IF(sim_a[[#This Row],[side_align_actual_aruco_error_x]]="","",ABS(sim_a[[#This Row],[side_align_actual_aruco_error_x]])*1000)</f>
        <v>2.8</v>
      </c>
      <c r="BP2" s="12">
        <f>IF(sim_a[[#This Row],[side_align_actual_aruco_error_y]]="","",ABS(sim_a[[#This Row],[side_align_actual_aruco_error_y]])*1000)</f>
        <v>1057</v>
      </c>
      <c r="BQ2" s="12">
        <f>IF(sim_a[[#This Row],[side_align_actual_aruco_yaw_error_deg]]="","",ABS(sim_a[[#This Row],[side_align_actual_aruco_yaw_error_deg]]))</f>
        <v>0.60699999999999998</v>
      </c>
      <c r="BR2" s="12">
        <f>IF(sim_a[[#This Row],[side_align_aruco_vs_actual_error_x]]="","",ABS(sim_a[[#This Row],[side_align_aruco_vs_actual_error_x]])*1000)</f>
        <v>1.2</v>
      </c>
      <c r="BS2" s="12">
        <f>IF(sim_a[[#This Row],[side_align_aruco_vs_actual_error_y]]="","",ABS(sim_a[[#This Row],[side_align_aruco_vs_actual_error_y]])*1000)</f>
        <v>1057</v>
      </c>
      <c r="BT2" s="12">
        <f>IF(sim_a[[#This Row],[side_align_aruco_vs_actual_yaw_error_deg]]="","",ABS(sim_a[[#This Row],[side_align_aruco_vs_actual_yaw_error_deg]]))</f>
        <v>9.2999999999999999E-2</v>
      </c>
      <c r="BU2" s="12">
        <f>IF(sim_a[[#This Row],[fine_align_aruco_est_error_x]]="","",ABS(sim_a[[#This Row],[fine_align_aruco_est_error_x]])*1000)</f>
        <v>8</v>
      </c>
      <c r="BV2" s="12">
        <f>IF(sim_a[[#This Row],[fine_align_aruco_est_error_y]]="","",ABS(sim_a[[#This Row],[fine_align_aruco_est_error_y]])*1000)</f>
        <v>25</v>
      </c>
      <c r="BW2" s="12">
        <f>IF(sim_a[[#This Row],[fine_align_aruco_est_yaw_error_deg]]="","",ABS(sim_a[[#This Row],[fine_align_aruco_est_yaw_error_deg]]))</f>
        <v>0.05</v>
      </c>
      <c r="BX2" s="12">
        <f>IF(sim_a[[#This Row],[fine_align_actual_aruco_error_x]]="","",ABS(sim_a[[#This Row],[fine_align_actual_aruco_error_x]])*1000)</f>
        <v>7.9</v>
      </c>
      <c r="BY2" s="12">
        <f>IF(sim_a[[#This Row],[fine_align_actual_aruco_error_y]]="","",ABS(sim_a[[#This Row],[fine_align_actual_aruco_error_y]])*1000)</f>
        <v>25.1</v>
      </c>
      <c r="BZ2" s="12">
        <f>IF(sim_a[[#This Row],[fine_align_actual_aruco_yaw_error_deg]]="","",ABS(sim_a[[#This Row],[fine_align_actual_aruco_yaw_error_deg]]))</f>
        <v>9.4E-2</v>
      </c>
      <c r="CA2" s="12">
        <f>IF(sim_a[[#This Row],[fine_align_aruco_vs_actual_error_x]]="","",ABS(sim_a[[#This Row],[fine_align_aruco_vs_actual_error_x]])*1000)</f>
        <v>0.1</v>
      </c>
      <c r="CB2" s="12">
        <f>IF(sim_a[[#This Row],[fine_align_aruco_vs_actual_error_y]]="","",ABS(sim_a[[#This Row],[fine_align_aruco_vs_actual_error_y]])*1000)</f>
        <v>0.1</v>
      </c>
      <c r="CC2" s="12">
        <f>IF(sim_a[[#This Row],[fine_align_aruco_vs_actual_yaw_error_deg]]="","",ABS(sim_a[[#This Row],[fine_align_aruco_vs_actual_yaw_error_deg]]))</f>
        <v>4.3999999999999997E-2</v>
      </c>
    </row>
    <row r="3" spans="1:81" x14ac:dyDescent="0.25">
      <c r="A3" t="s">
        <v>87</v>
      </c>
      <c r="B3" t="b">
        <v>1</v>
      </c>
      <c r="E3">
        <v>261.53800000000001</v>
      </c>
      <c r="F3">
        <v>9.7850000000000001</v>
      </c>
      <c r="G3">
        <v>261.53500000000003</v>
      </c>
      <c r="H3">
        <v>14.757999999999999</v>
      </c>
      <c r="I3">
        <v>127.565</v>
      </c>
      <c r="J3">
        <v>194.59899999999999</v>
      </c>
      <c r="K3">
        <v>168.358</v>
      </c>
      <c r="L3">
        <v>260.52800000000002</v>
      </c>
      <c r="M3">
        <v>5.2042000000000002</v>
      </c>
      <c r="N3">
        <v>-3.7600000000000001E-2</v>
      </c>
      <c r="O3">
        <v>0.34100000000000003</v>
      </c>
      <c r="P3">
        <v>0</v>
      </c>
      <c r="Q3">
        <v>0.10920000000000001</v>
      </c>
      <c r="R3">
        <v>-2.5999999999999999E-2</v>
      </c>
      <c r="S3">
        <v>4.1999999999999997E-3</v>
      </c>
      <c r="T3">
        <v>-3.7600000000000001E-2</v>
      </c>
      <c r="U3">
        <v>3.78E-2</v>
      </c>
      <c r="V3">
        <v>0</v>
      </c>
      <c r="W3">
        <v>0.10920000000000001</v>
      </c>
      <c r="X3">
        <v>0.10920000000000001</v>
      </c>
      <c r="Y3">
        <v>75.39</v>
      </c>
      <c r="Z3">
        <v>-2E-3</v>
      </c>
      <c r="AA3">
        <v>0</v>
      </c>
      <c r="AB3">
        <v>0.48</v>
      </c>
      <c r="AC3">
        <v>5</v>
      </c>
      <c r="AD3">
        <v>1.0200000000000001E-2</v>
      </c>
      <c r="AE3">
        <v>-1.0452999999999999</v>
      </c>
      <c r="AF3">
        <v>1.9E-2</v>
      </c>
      <c r="AG3">
        <v>-4.7999999999999996E-3</v>
      </c>
      <c r="AH3">
        <v>-1.0452999999999999</v>
      </c>
      <c r="AI3">
        <v>1.0452999999999999</v>
      </c>
      <c r="AJ3">
        <v>1.9E-2</v>
      </c>
      <c r="AK3">
        <v>2.8E-3</v>
      </c>
      <c r="AL3">
        <v>1.0452999999999999</v>
      </c>
      <c r="AM3">
        <v>0.46100000000000002</v>
      </c>
      <c r="AN3">
        <v>127.563</v>
      </c>
      <c r="AO3">
        <v>7.0000000000000001E-3</v>
      </c>
      <c r="AP3">
        <v>-2.5000000000000001E-2</v>
      </c>
      <c r="AQ3">
        <v>-0.18</v>
      </c>
      <c r="AR3">
        <v>10</v>
      </c>
      <c r="AS3">
        <v>6.7999999999999996E-3</v>
      </c>
      <c r="AT3">
        <v>-2.5100000000000001E-2</v>
      </c>
      <c r="AU3">
        <v>-0.26100000000000001</v>
      </c>
      <c r="AV3">
        <v>6.7999999999999996E-3</v>
      </c>
      <c r="AW3">
        <v>-2.5100000000000001E-2</v>
      </c>
      <c r="AX3">
        <v>2.5999999999999999E-2</v>
      </c>
      <c r="AY3">
        <v>-0.26100000000000001</v>
      </c>
      <c r="AZ3">
        <v>2.0000000000000001E-4</v>
      </c>
      <c r="BA3">
        <v>1E-4</v>
      </c>
      <c r="BB3">
        <v>8.1000000000000003E-2</v>
      </c>
      <c r="BE3" t="s">
        <v>226</v>
      </c>
      <c r="BF3" s="12">
        <f>IF(sim_a[[#This Row],[final_trolley_dropoff_error_x]]="","",ABS(sim_a[[#This Row],[final_trolley_dropoff_error_x]])*1000)</f>
        <v>4.2</v>
      </c>
      <c r="BG3" s="12">
        <f>IF(sim_a[[#This Row],[final_trolley_dropoff_error_y]]="","",ABS(sim_a[[#This Row],[final_trolley_dropoff_error_y]])*1000)</f>
        <v>37.6</v>
      </c>
      <c r="BH3" s="12">
        <f>IF(sim_a[[#This Row],[final_trolley_dropoff_error_dist]]="","",sim_a[[#This Row],[final_trolley_dropoff_error_dist]]*1000)</f>
        <v>37.799999999999997</v>
      </c>
      <c r="BI3" s="12">
        <f>IF(sim_a[[#This Row],[final_robot_charging_error_x]]="","",ABS(sim_a[[#This Row],[final_robot_charging_error_x]])*1000)</f>
        <v>0</v>
      </c>
      <c r="BJ3" s="12">
        <f>IF(sim_a[[#This Row],[final_robot_charging_error_y]]="","",ABS(sim_a[[#This Row],[final_robot_charging_error_y]])*1000)</f>
        <v>109.2</v>
      </c>
      <c r="BK3" s="12">
        <f>IF(sim_a[[#This Row],[final_robot_charging_error_dist]]="","",sim_a[[#This Row],[final_robot_charging_error_dist]]*1000)</f>
        <v>109.2</v>
      </c>
      <c r="BL3" s="12">
        <f>IF(sim_a[[#This Row],[side_align_aruco_est_error_x]]="","",ABS(sim_a[[#This Row],[side_align_aruco_est_error_x]])*1000)</f>
        <v>2</v>
      </c>
      <c r="BM3" s="12">
        <f>IF(sim_a[[#This Row],[side_align_aruco_est_error_y]]="","",ABS(sim_a[[#This Row],[side_align_aruco_est_error_y]])*1000)</f>
        <v>0</v>
      </c>
      <c r="BN3" s="12">
        <f>IF(sim_a[[#This Row],[side_align_aruco_est_yaw_error_deg]]="","",ABS(sim_a[[#This Row],[side_align_aruco_est_yaw_error_deg]]))</f>
        <v>0.48</v>
      </c>
      <c r="BO3" s="12">
        <f>IF(sim_a[[#This Row],[side_align_actual_aruco_error_x]]="","",ABS(sim_a[[#This Row],[side_align_actual_aruco_error_x]])*1000)</f>
        <v>4.8</v>
      </c>
      <c r="BP3" s="12">
        <f>IF(sim_a[[#This Row],[side_align_actual_aruco_error_y]]="","",ABS(sim_a[[#This Row],[side_align_actual_aruco_error_y]])*1000)</f>
        <v>1045.3</v>
      </c>
      <c r="BQ3" s="12">
        <f>IF(sim_a[[#This Row],[side_align_actual_aruco_yaw_error_deg]]="","",ABS(sim_a[[#This Row],[side_align_actual_aruco_yaw_error_deg]]))</f>
        <v>1.9E-2</v>
      </c>
      <c r="BR3" s="12">
        <f>IF(sim_a[[#This Row],[side_align_aruco_vs_actual_error_x]]="","",ABS(sim_a[[#This Row],[side_align_aruco_vs_actual_error_x]])*1000)</f>
        <v>2.8</v>
      </c>
      <c r="BS3" s="12">
        <f>IF(sim_a[[#This Row],[side_align_aruco_vs_actual_error_y]]="","",ABS(sim_a[[#This Row],[side_align_aruco_vs_actual_error_y]])*1000)</f>
        <v>1045.3</v>
      </c>
      <c r="BT3" s="12">
        <f>IF(sim_a[[#This Row],[side_align_aruco_vs_actual_yaw_error_deg]]="","",ABS(sim_a[[#This Row],[side_align_aruco_vs_actual_yaw_error_deg]]))</f>
        <v>0.46100000000000002</v>
      </c>
      <c r="BU3" s="12">
        <f>IF(sim_a[[#This Row],[fine_align_aruco_est_error_x]]="","",ABS(sim_a[[#This Row],[fine_align_aruco_est_error_x]])*1000)</f>
        <v>7</v>
      </c>
      <c r="BV3" s="12">
        <f>IF(sim_a[[#This Row],[fine_align_aruco_est_error_y]]="","",ABS(sim_a[[#This Row],[fine_align_aruco_est_error_y]])*1000)</f>
        <v>25</v>
      </c>
      <c r="BW3" s="12">
        <f>IF(sim_a[[#This Row],[fine_align_aruco_est_yaw_error_deg]]="","",ABS(sim_a[[#This Row],[fine_align_aruco_est_yaw_error_deg]]))</f>
        <v>0.18</v>
      </c>
      <c r="BX3" s="12">
        <f>IF(sim_a[[#This Row],[fine_align_actual_aruco_error_x]]="","",ABS(sim_a[[#This Row],[fine_align_actual_aruco_error_x]])*1000)</f>
        <v>6.8</v>
      </c>
      <c r="BY3" s="12">
        <f>IF(sim_a[[#This Row],[fine_align_actual_aruco_error_y]]="","",ABS(sim_a[[#This Row],[fine_align_actual_aruco_error_y]])*1000)</f>
        <v>25.1</v>
      </c>
      <c r="BZ3" s="12">
        <f>IF(sim_a[[#This Row],[fine_align_actual_aruco_yaw_error_deg]]="","",ABS(sim_a[[#This Row],[fine_align_actual_aruco_yaw_error_deg]]))</f>
        <v>0.26100000000000001</v>
      </c>
      <c r="CA3" s="12">
        <f>IF(sim_a[[#This Row],[fine_align_aruco_vs_actual_error_x]]="","",ABS(sim_a[[#This Row],[fine_align_aruco_vs_actual_error_x]])*1000)</f>
        <v>0.2</v>
      </c>
      <c r="CB3" s="12">
        <f>IF(sim_a[[#This Row],[fine_align_aruco_vs_actual_error_y]]="","",ABS(sim_a[[#This Row],[fine_align_aruco_vs_actual_error_y]])*1000)</f>
        <v>0.1</v>
      </c>
      <c r="CC3" s="12">
        <f>IF(sim_a[[#This Row],[fine_align_aruco_vs_actual_yaw_error_deg]]="","",ABS(sim_a[[#This Row],[fine_align_aruco_vs_actual_yaw_error_deg]]))</f>
        <v>8.1000000000000003E-2</v>
      </c>
    </row>
    <row r="4" spans="1:81" x14ac:dyDescent="0.25">
      <c r="A4" t="s">
        <v>88</v>
      </c>
      <c r="B4" t="b">
        <v>1</v>
      </c>
      <c r="E4">
        <v>265.00099999999998</v>
      </c>
      <c r="F4">
        <v>9.7349999999999994</v>
      </c>
      <c r="G4">
        <v>264.99900000000002</v>
      </c>
      <c r="H4">
        <v>12.156000000000001</v>
      </c>
      <c r="I4">
        <v>127.807</v>
      </c>
      <c r="J4">
        <v>198.572</v>
      </c>
      <c r="K4">
        <v>168.80199999999999</v>
      </c>
      <c r="L4">
        <v>263.99099999999999</v>
      </c>
      <c r="M4">
        <v>5.1867000000000001</v>
      </c>
      <c r="N4">
        <v>-2.98E-2</v>
      </c>
      <c r="O4">
        <v>-2.9929999999999999</v>
      </c>
      <c r="P4">
        <v>1E-3</v>
      </c>
      <c r="Q4">
        <v>0.1072</v>
      </c>
      <c r="R4">
        <v>-0.23499999999999999</v>
      </c>
      <c r="S4">
        <v>-1.3299999999999999E-2</v>
      </c>
      <c r="T4">
        <v>-2.98E-2</v>
      </c>
      <c r="U4">
        <v>3.27E-2</v>
      </c>
      <c r="V4">
        <v>1E-3</v>
      </c>
      <c r="W4">
        <v>0.1072</v>
      </c>
      <c r="X4">
        <v>0.1072</v>
      </c>
      <c r="Y4">
        <v>75.209000000000003</v>
      </c>
      <c r="Z4">
        <v>-1E-3</v>
      </c>
      <c r="AA4">
        <v>0</v>
      </c>
      <c r="AB4">
        <v>-0.12</v>
      </c>
      <c r="AC4">
        <v>6</v>
      </c>
      <c r="AD4">
        <v>8.5000000000000006E-3</v>
      </c>
      <c r="AE4">
        <v>-1.0552999999999999</v>
      </c>
      <c r="AF4">
        <v>0.51200000000000001</v>
      </c>
      <c r="AG4">
        <v>-6.4999999999999997E-3</v>
      </c>
      <c r="AH4">
        <v>-1.0552999999999999</v>
      </c>
      <c r="AI4">
        <v>1.0552999999999999</v>
      </c>
      <c r="AJ4">
        <v>0.51200000000000001</v>
      </c>
      <c r="AK4">
        <v>5.4999999999999997E-3</v>
      </c>
      <c r="AL4">
        <v>1.0552999999999999</v>
      </c>
      <c r="AM4">
        <v>-0.63200000000000001</v>
      </c>
      <c r="AN4">
        <v>127.754</v>
      </c>
      <c r="AO4">
        <v>-7.0000000000000001E-3</v>
      </c>
      <c r="AP4">
        <v>-2.5000000000000001E-2</v>
      </c>
      <c r="AQ4">
        <v>0</v>
      </c>
      <c r="AR4">
        <v>11</v>
      </c>
      <c r="AS4">
        <v>-6.4999999999999997E-3</v>
      </c>
      <c r="AT4">
        <v>-2.52E-2</v>
      </c>
      <c r="AU4">
        <v>-9.8000000000000004E-2</v>
      </c>
      <c r="AV4">
        <v>-6.4999999999999997E-3</v>
      </c>
      <c r="AW4">
        <v>-2.52E-2</v>
      </c>
      <c r="AX4">
        <v>2.6100000000000002E-2</v>
      </c>
      <c r="AY4">
        <v>-9.8000000000000004E-2</v>
      </c>
      <c r="AZ4">
        <v>-5.0000000000000001E-4</v>
      </c>
      <c r="BA4">
        <v>2.0000000000000001E-4</v>
      </c>
      <c r="BB4">
        <v>9.8000000000000004E-2</v>
      </c>
      <c r="BE4" t="s">
        <v>227</v>
      </c>
      <c r="BF4" s="12">
        <f>IF(sim_a[[#This Row],[final_trolley_dropoff_error_x]]="","",ABS(sim_a[[#This Row],[final_trolley_dropoff_error_x]])*1000)</f>
        <v>13.299999999999999</v>
      </c>
      <c r="BG4" s="12">
        <f>IF(sim_a[[#This Row],[final_trolley_dropoff_error_y]]="","",ABS(sim_a[[#This Row],[final_trolley_dropoff_error_y]])*1000)</f>
        <v>29.8</v>
      </c>
      <c r="BH4" s="12">
        <f>IF(sim_a[[#This Row],[final_trolley_dropoff_error_dist]]="","",sim_a[[#This Row],[final_trolley_dropoff_error_dist]]*1000)</f>
        <v>32.700000000000003</v>
      </c>
      <c r="BI4" s="12">
        <f>IF(sim_a[[#This Row],[final_robot_charging_error_x]]="","",ABS(sim_a[[#This Row],[final_robot_charging_error_x]])*1000)</f>
        <v>1</v>
      </c>
      <c r="BJ4" s="12">
        <f>IF(sim_a[[#This Row],[final_robot_charging_error_y]]="","",ABS(sim_a[[#This Row],[final_robot_charging_error_y]])*1000)</f>
        <v>107.2</v>
      </c>
      <c r="BK4" s="12">
        <f>IF(sim_a[[#This Row],[final_robot_charging_error_dist]]="","",sim_a[[#This Row],[final_robot_charging_error_dist]]*1000)</f>
        <v>107.2</v>
      </c>
      <c r="BL4" s="12">
        <f>IF(sim_a[[#This Row],[side_align_aruco_est_error_x]]="","",ABS(sim_a[[#This Row],[side_align_aruco_est_error_x]])*1000)</f>
        <v>1</v>
      </c>
      <c r="BM4" s="12">
        <f>IF(sim_a[[#This Row],[side_align_aruco_est_error_y]]="","",ABS(sim_a[[#This Row],[side_align_aruco_est_error_y]])*1000)</f>
        <v>0</v>
      </c>
      <c r="BN4" s="12">
        <f>IF(sim_a[[#This Row],[side_align_aruco_est_yaw_error_deg]]="","",ABS(sim_a[[#This Row],[side_align_aruco_est_yaw_error_deg]]))</f>
        <v>0.12</v>
      </c>
      <c r="BO4" s="12">
        <f>IF(sim_a[[#This Row],[side_align_actual_aruco_error_x]]="","",ABS(sim_a[[#This Row],[side_align_actual_aruco_error_x]])*1000)</f>
        <v>6.5</v>
      </c>
      <c r="BP4" s="12">
        <f>IF(sim_a[[#This Row],[side_align_actual_aruco_error_y]]="","",ABS(sim_a[[#This Row],[side_align_actual_aruco_error_y]])*1000)</f>
        <v>1055.3</v>
      </c>
      <c r="BQ4" s="12">
        <f>IF(sim_a[[#This Row],[side_align_actual_aruco_yaw_error_deg]]="","",ABS(sim_a[[#This Row],[side_align_actual_aruco_yaw_error_deg]]))</f>
        <v>0.51200000000000001</v>
      </c>
      <c r="BR4" s="12">
        <f>IF(sim_a[[#This Row],[side_align_aruco_vs_actual_error_x]]="","",ABS(sim_a[[#This Row],[side_align_aruco_vs_actual_error_x]])*1000)</f>
        <v>5.5</v>
      </c>
      <c r="BS4" s="12">
        <f>IF(sim_a[[#This Row],[side_align_aruco_vs_actual_error_y]]="","",ABS(sim_a[[#This Row],[side_align_aruco_vs_actual_error_y]])*1000)</f>
        <v>1055.3</v>
      </c>
      <c r="BT4" s="12">
        <f>IF(sim_a[[#This Row],[side_align_aruco_vs_actual_yaw_error_deg]]="","",ABS(sim_a[[#This Row],[side_align_aruco_vs_actual_yaw_error_deg]]))</f>
        <v>0.63200000000000001</v>
      </c>
      <c r="BU4" s="12">
        <f>IF(sim_a[[#This Row],[fine_align_aruco_est_error_x]]="","",ABS(sim_a[[#This Row],[fine_align_aruco_est_error_x]])*1000)</f>
        <v>7</v>
      </c>
      <c r="BV4" s="12">
        <f>IF(sim_a[[#This Row],[fine_align_aruco_est_error_y]]="","",ABS(sim_a[[#This Row],[fine_align_aruco_est_error_y]])*1000)</f>
        <v>25</v>
      </c>
      <c r="BW4" s="12">
        <f>IF(sim_a[[#This Row],[fine_align_aruco_est_yaw_error_deg]]="","",ABS(sim_a[[#This Row],[fine_align_aruco_est_yaw_error_deg]]))</f>
        <v>0</v>
      </c>
      <c r="BX4" s="12">
        <f>IF(sim_a[[#This Row],[fine_align_actual_aruco_error_x]]="","",ABS(sim_a[[#This Row],[fine_align_actual_aruco_error_x]])*1000)</f>
        <v>6.5</v>
      </c>
      <c r="BY4" s="12">
        <f>IF(sim_a[[#This Row],[fine_align_actual_aruco_error_y]]="","",ABS(sim_a[[#This Row],[fine_align_actual_aruco_error_y]])*1000)</f>
        <v>25.2</v>
      </c>
      <c r="BZ4" s="12">
        <f>IF(sim_a[[#This Row],[fine_align_actual_aruco_yaw_error_deg]]="","",ABS(sim_a[[#This Row],[fine_align_actual_aruco_yaw_error_deg]]))</f>
        <v>9.8000000000000004E-2</v>
      </c>
      <c r="CA4" s="12">
        <f>IF(sim_a[[#This Row],[fine_align_aruco_vs_actual_error_x]]="","",ABS(sim_a[[#This Row],[fine_align_aruco_vs_actual_error_x]])*1000)</f>
        <v>0.5</v>
      </c>
      <c r="CB4" s="12">
        <f>IF(sim_a[[#This Row],[fine_align_aruco_vs_actual_error_y]]="","",ABS(sim_a[[#This Row],[fine_align_aruco_vs_actual_error_y]])*1000)</f>
        <v>0.2</v>
      </c>
      <c r="CC4" s="12">
        <f>IF(sim_a[[#This Row],[fine_align_aruco_vs_actual_yaw_error_deg]]="","",ABS(sim_a[[#This Row],[fine_align_aruco_vs_actual_yaw_error_deg]]))</f>
        <v>9.8000000000000004E-2</v>
      </c>
    </row>
    <row r="5" spans="1:81" x14ac:dyDescent="0.25">
      <c r="A5" t="s">
        <v>89</v>
      </c>
      <c r="B5" t="b">
        <v>0</v>
      </c>
      <c r="C5" t="s">
        <v>20</v>
      </c>
      <c r="D5" t="s">
        <v>228</v>
      </c>
      <c r="E5">
        <v>215.21299999999999</v>
      </c>
      <c r="F5">
        <v>9.7889999999999997</v>
      </c>
      <c r="H5">
        <v>17.462</v>
      </c>
      <c r="I5">
        <v>131.30600000000001</v>
      </c>
      <c r="K5">
        <v>175.62</v>
      </c>
      <c r="M5">
        <v>5.1943000000000001</v>
      </c>
      <c r="N5">
        <v>4.7999999999999996E-3</v>
      </c>
      <c r="O5">
        <v>-5.484</v>
      </c>
      <c r="P5">
        <v>5.2026000000000003</v>
      </c>
      <c r="Q5">
        <v>2.9100000000000001E-2</v>
      </c>
      <c r="R5">
        <v>-5.2649999999999997</v>
      </c>
      <c r="S5">
        <v>-5.7000000000000002E-3</v>
      </c>
      <c r="T5">
        <v>4.7999999999999996E-3</v>
      </c>
      <c r="U5">
        <v>7.4000000000000003E-3</v>
      </c>
      <c r="V5">
        <v>5.2026000000000003</v>
      </c>
      <c r="W5">
        <v>2.9100000000000001E-2</v>
      </c>
      <c r="X5">
        <v>5.2027000000000001</v>
      </c>
      <c r="Y5">
        <v>79.209000000000003</v>
      </c>
      <c r="Z5">
        <v>0</v>
      </c>
      <c r="AA5">
        <v>0</v>
      </c>
      <c r="AB5">
        <v>-0.8</v>
      </c>
      <c r="AC5">
        <v>6</v>
      </c>
      <c r="AD5">
        <v>1.44E-2</v>
      </c>
      <c r="AE5">
        <v>-1.0524</v>
      </c>
      <c r="AF5">
        <v>0.81699999999999995</v>
      </c>
      <c r="AG5">
        <v>-5.9999999999999995E-4</v>
      </c>
      <c r="AH5">
        <v>-1.0524</v>
      </c>
      <c r="AI5">
        <v>1.0524</v>
      </c>
      <c r="AJ5">
        <v>0.81699999999999995</v>
      </c>
      <c r="AK5">
        <v>5.9999999999999995E-4</v>
      </c>
      <c r="AL5">
        <v>1.0524</v>
      </c>
      <c r="AM5">
        <v>-1.617</v>
      </c>
      <c r="AN5">
        <v>131.25399999999999</v>
      </c>
      <c r="AO5">
        <v>-6.0000000000000001E-3</v>
      </c>
      <c r="AP5">
        <v>-2.5000000000000001E-2</v>
      </c>
      <c r="AQ5">
        <v>-0.1</v>
      </c>
      <c r="AR5">
        <v>11</v>
      </c>
      <c r="AS5">
        <v>-6.0000000000000001E-3</v>
      </c>
      <c r="AT5">
        <v>-2.5000000000000001E-2</v>
      </c>
      <c r="AU5">
        <v>-0.219</v>
      </c>
      <c r="AV5">
        <v>-6.0000000000000001E-3</v>
      </c>
      <c r="AW5">
        <v>-2.5000000000000001E-2</v>
      </c>
      <c r="AX5">
        <v>2.5700000000000001E-2</v>
      </c>
      <c r="AY5">
        <v>-0.219</v>
      </c>
      <c r="AZ5">
        <v>0</v>
      </c>
      <c r="BA5">
        <v>0</v>
      </c>
      <c r="BB5">
        <v>0.11899999999999999</v>
      </c>
      <c r="BE5" t="s">
        <v>229</v>
      </c>
      <c r="BF5" s="12">
        <f>IF(sim_a[[#This Row],[final_trolley_dropoff_error_x]]="","",ABS(sim_a[[#This Row],[final_trolley_dropoff_error_x]])*1000)</f>
        <v>5.7</v>
      </c>
      <c r="BG5" s="12">
        <f>IF(sim_a[[#This Row],[final_trolley_dropoff_error_y]]="","",ABS(sim_a[[#This Row],[final_trolley_dropoff_error_y]])*1000)</f>
        <v>4.8</v>
      </c>
      <c r="BH5" s="12">
        <f>IF(sim_a[[#This Row],[final_trolley_dropoff_error_dist]]="","",sim_a[[#This Row],[final_trolley_dropoff_error_dist]]*1000)</f>
        <v>7.4</v>
      </c>
      <c r="BI5" s="12">
        <f>IF(sim_a[[#This Row],[final_robot_charging_error_x]]="","",ABS(sim_a[[#This Row],[final_robot_charging_error_x]])*1000)</f>
        <v>5202.6000000000004</v>
      </c>
      <c r="BJ5" s="12">
        <f>IF(sim_a[[#This Row],[final_robot_charging_error_y]]="","",ABS(sim_a[[#This Row],[final_robot_charging_error_y]])*1000)</f>
        <v>29.1</v>
      </c>
      <c r="BK5" s="12">
        <f>IF(sim_a[[#This Row],[final_robot_charging_error_dist]]="","",sim_a[[#This Row],[final_robot_charging_error_dist]]*1000)</f>
        <v>5202.7</v>
      </c>
      <c r="BL5" s="12">
        <f>IF(sim_a[[#This Row],[side_align_aruco_est_error_x]]="","",ABS(sim_a[[#This Row],[side_align_aruco_est_error_x]])*1000)</f>
        <v>0</v>
      </c>
      <c r="BM5" s="12">
        <f>IF(sim_a[[#This Row],[side_align_aruco_est_error_y]]="","",ABS(sim_a[[#This Row],[side_align_aruco_est_error_y]])*1000)</f>
        <v>0</v>
      </c>
      <c r="BN5" s="12">
        <f>IF(sim_a[[#This Row],[side_align_aruco_est_yaw_error_deg]]="","",ABS(sim_a[[#This Row],[side_align_aruco_est_yaw_error_deg]]))</f>
        <v>0.8</v>
      </c>
      <c r="BO5" s="12">
        <f>IF(sim_a[[#This Row],[side_align_actual_aruco_error_x]]="","",ABS(sim_a[[#This Row],[side_align_actual_aruco_error_x]])*1000)</f>
        <v>0.6</v>
      </c>
      <c r="BP5" s="12">
        <f>IF(sim_a[[#This Row],[side_align_actual_aruco_error_y]]="","",ABS(sim_a[[#This Row],[side_align_actual_aruco_error_y]])*1000)</f>
        <v>1052.4000000000001</v>
      </c>
      <c r="BQ5" s="12">
        <f>IF(sim_a[[#This Row],[side_align_actual_aruco_yaw_error_deg]]="","",ABS(sim_a[[#This Row],[side_align_actual_aruco_yaw_error_deg]]))</f>
        <v>0.81699999999999995</v>
      </c>
      <c r="BR5" s="12">
        <f>IF(sim_a[[#This Row],[side_align_aruco_vs_actual_error_x]]="","",ABS(sim_a[[#This Row],[side_align_aruco_vs_actual_error_x]])*1000)</f>
        <v>0.6</v>
      </c>
      <c r="BS5" s="12">
        <f>IF(sim_a[[#This Row],[side_align_aruco_vs_actual_error_y]]="","",ABS(sim_a[[#This Row],[side_align_aruco_vs_actual_error_y]])*1000)</f>
        <v>1052.4000000000001</v>
      </c>
      <c r="BT5" s="12">
        <f>IF(sim_a[[#This Row],[side_align_aruco_vs_actual_yaw_error_deg]]="","",ABS(sim_a[[#This Row],[side_align_aruco_vs_actual_yaw_error_deg]]))</f>
        <v>1.617</v>
      </c>
      <c r="BU5" s="12">
        <f>IF(sim_a[[#This Row],[fine_align_aruco_est_error_x]]="","",ABS(sim_a[[#This Row],[fine_align_aruco_est_error_x]])*1000)</f>
        <v>6</v>
      </c>
      <c r="BV5" s="12">
        <f>IF(sim_a[[#This Row],[fine_align_aruco_est_error_y]]="","",ABS(sim_a[[#This Row],[fine_align_aruco_est_error_y]])*1000)</f>
        <v>25</v>
      </c>
      <c r="BW5" s="12">
        <f>IF(sim_a[[#This Row],[fine_align_aruco_est_yaw_error_deg]]="","",ABS(sim_a[[#This Row],[fine_align_aruco_est_yaw_error_deg]]))</f>
        <v>0.1</v>
      </c>
      <c r="BX5" s="12">
        <f>IF(sim_a[[#This Row],[fine_align_actual_aruco_error_x]]="","",ABS(sim_a[[#This Row],[fine_align_actual_aruco_error_x]])*1000)</f>
        <v>6</v>
      </c>
      <c r="BY5" s="12">
        <f>IF(sim_a[[#This Row],[fine_align_actual_aruco_error_y]]="","",ABS(sim_a[[#This Row],[fine_align_actual_aruco_error_y]])*1000)</f>
        <v>25</v>
      </c>
      <c r="BZ5" s="12">
        <f>IF(sim_a[[#This Row],[fine_align_actual_aruco_yaw_error_deg]]="","",ABS(sim_a[[#This Row],[fine_align_actual_aruco_yaw_error_deg]]))</f>
        <v>0.219</v>
      </c>
      <c r="CA5" s="12">
        <f>IF(sim_a[[#This Row],[fine_align_aruco_vs_actual_error_x]]="","",ABS(sim_a[[#This Row],[fine_align_aruco_vs_actual_error_x]])*1000)</f>
        <v>0</v>
      </c>
      <c r="CB5" s="12">
        <f>IF(sim_a[[#This Row],[fine_align_aruco_vs_actual_error_y]]="","",ABS(sim_a[[#This Row],[fine_align_aruco_vs_actual_error_y]])*1000)</f>
        <v>0</v>
      </c>
      <c r="CC5" s="12">
        <f>IF(sim_a[[#This Row],[fine_align_aruco_vs_actual_yaw_error_deg]]="","",ABS(sim_a[[#This Row],[fine_align_aruco_vs_actual_yaw_error_deg]]))</f>
        <v>0.11899999999999999</v>
      </c>
    </row>
    <row r="6" spans="1:81" x14ac:dyDescent="0.25">
      <c r="A6" t="s">
        <v>90</v>
      </c>
      <c r="B6" t="b">
        <v>0</v>
      </c>
      <c r="C6" t="s">
        <v>20</v>
      </c>
      <c r="D6" t="s">
        <v>230</v>
      </c>
      <c r="E6">
        <v>205.101</v>
      </c>
      <c r="F6">
        <v>9.8840000000000003</v>
      </c>
      <c r="H6">
        <v>12.05</v>
      </c>
      <c r="I6">
        <v>125.726</v>
      </c>
      <c r="K6">
        <v>165.66200000000001</v>
      </c>
      <c r="M6">
        <v>5.1948999999999996</v>
      </c>
      <c r="N6">
        <v>2.5999999999999999E-3</v>
      </c>
      <c r="O6">
        <v>-1.9870000000000001</v>
      </c>
      <c r="P6">
        <v>5.2008999999999999</v>
      </c>
      <c r="Q6">
        <v>2.76E-2</v>
      </c>
      <c r="R6">
        <v>-1.859</v>
      </c>
      <c r="S6">
        <v>-5.1000000000000004E-3</v>
      </c>
      <c r="T6">
        <v>2.5999999999999999E-3</v>
      </c>
      <c r="U6">
        <v>5.7000000000000002E-3</v>
      </c>
      <c r="V6">
        <v>5.2008999999999999</v>
      </c>
      <c r="W6">
        <v>2.76E-2</v>
      </c>
      <c r="X6">
        <v>5.2009999999999996</v>
      </c>
      <c r="Y6">
        <v>74.643000000000001</v>
      </c>
      <c r="Z6">
        <v>-1E-3</v>
      </c>
      <c r="AA6">
        <v>0</v>
      </c>
      <c r="AB6">
        <v>-0.96</v>
      </c>
      <c r="AC6">
        <v>6</v>
      </c>
      <c r="AD6">
        <v>1.47E-2</v>
      </c>
      <c r="AE6">
        <v>-1.0558000000000001</v>
      </c>
      <c r="AF6">
        <v>0.191</v>
      </c>
      <c r="AG6">
        <v>-2.9999999999999997E-4</v>
      </c>
      <c r="AH6">
        <v>-1.0558000000000001</v>
      </c>
      <c r="AI6">
        <v>1.0558000000000001</v>
      </c>
      <c r="AJ6">
        <v>0.191</v>
      </c>
      <c r="AK6">
        <v>-6.9999999999999999E-4</v>
      </c>
      <c r="AL6">
        <v>1.0558000000000001</v>
      </c>
      <c r="AM6">
        <v>-1.151</v>
      </c>
      <c r="AN6">
        <v>125.724</v>
      </c>
      <c r="AO6">
        <v>-5.0000000000000001E-3</v>
      </c>
      <c r="AP6">
        <v>-2.5000000000000001E-2</v>
      </c>
      <c r="AQ6">
        <v>-0.03</v>
      </c>
      <c r="AR6">
        <v>11</v>
      </c>
      <c r="AS6">
        <v>-5.1999999999999998E-3</v>
      </c>
      <c r="AT6">
        <v>-2.5100000000000001E-2</v>
      </c>
      <c r="AU6">
        <v>-0.128</v>
      </c>
      <c r="AV6">
        <v>-5.1999999999999998E-3</v>
      </c>
      <c r="AW6">
        <v>-2.5100000000000001E-2</v>
      </c>
      <c r="AX6">
        <v>2.5600000000000001E-2</v>
      </c>
      <c r="AY6">
        <v>-0.128</v>
      </c>
      <c r="AZ6">
        <v>2.0000000000000001E-4</v>
      </c>
      <c r="BA6">
        <v>1E-4</v>
      </c>
      <c r="BB6">
        <v>9.8000000000000004E-2</v>
      </c>
      <c r="BE6" t="s">
        <v>231</v>
      </c>
      <c r="BF6" s="12">
        <f>IF(sim_a[[#This Row],[final_trolley_dropoff_error_x]]="","",ABS(sim_a[[#This Row],[final_trolley_dropoff_error_x]])*1000)</f>
        <v>5.1000000000000005</v>
      </c>
      <c r="BG6" s="12">
        <f>IF(sim_a[[#This Row],[final_trolley_dropoff_error_y]]="","",ABS(sim_a[[#This Row],[final_trolley_dropoff_error_y]])*1000)</f>
        <v>2.6</v>
      </c>
      <c r="BH6" s="12">
        <f>IF(sim_a[[#This Row],[final_trolley_dropoff_error_dist]]="","",sim_a[[#This Row],[final_trolley_dropoff_error_dist]]*1000)</f>
        <v>5.7</v>
      </c>
      <c r="BI6" s="12">
        <f>IF(sim_a[[#This Row],[final_robot_charging_error_x]]="","",ABS(sim_a[[#This Row],[final_robot_charging_error_x]])*1000)</f>
        <v>5200.8999999999996</v>
      </c>
      <c r="BJ6" s="12">
        <f>IF(sim_a[[#This Row],[final_robot_charging_error_y]]="","",ABS(sim_a[[#This Row],[final_robot_charging_error_y]])*1000)</f>
        <v>27.599999999999998</v>
      </c>
      <c r="BK6" s="12">
        <f>IF(sim_a[[#This Row],[final_robot_charging_error_dist]]="","",sim_a[[#This Row],[final_robot_charging_error_dist]]*1000)</f>
        <v>5201</v>
      </c>
      <c r="BL6" s="12">
        <f>IF(sim_a[[#This Row],[side_align_aruco_est_error_x]]="","",ABS(sim_a[[#This Row],[side_align_aruco_est_error_x]])*1000)</f>
        <v>1</v>
      </c>
      <c r="BM6" s="12">
        <f>IF(sim_a[[#This Row],[side_align_aruco_est_error_y]]="","",ABS(sim_a[[#This Row],[side_align_aruco_est_error_y]])*1000)</f>
        <v>0</v>
      </c>
      <c r="BN6" s="12">
        <f>IF(sim_a[[#This Row],[side_align_aruco_est_yaw_error_deg]]="","",ABS(sim_a[[#This Row],[side_align_aruco_est_yaw_error_deg]]))</f>
        <v>0.96</v>
      </c>
      <c r="BO6" s="12">
        <f>IF(sim_a[[#This Row],[side_align_actual_aruco_error_x]]="","",ABS(sim_a[[#This Row],[side_align_actual_aruco_error_x]])*1000)</f>
        <v>0.3</v>
      </c>
      <c r="BP6" s="12">
        <f>IF(sim_a[[#This Row],[side_align_actual_aruco_error_y]]="","",ABS(sim_a[[#This Row],[side_align_actual_aruco_error_y]])*1000)</f>
        <v>1055.8000000000002</v>
      </c>
      <c r="BQ6" s="12">
        <f>IF(sim_a[[#This Row],[side_align_actual_aruco_yaw_error_deg]]="","",ABS(sim_a[[#This Row],[side_align_actual_aruco_yaw_error_deg]]))</f>
        <v>0.191</v>
      </c>
      <c r="BR6" s="12">
        <f>IF(sim_a[[#This Row],[side_align_aruco_vs_actual_error_x]]="","",ABS(sim_a[[#This Row],[side_align_aruco_vs_actual_error_x]])*1000)</f>
        <v>0.7</v>
      </c>
      <c r="BS6" s="12">
        <f>IF(sim_a[[#This Row],[side_align_aruco_vs_actual_error_y]]="","",ABS(sim_a[[#This Row],[side_align_aruco_vs_actual_error_y]])*1000)</f>
        <v>1055.8000000000002</v>
      </c>
      <c r="BT6" s="12">
        <f>IF(sim_a[[#This Row],[side_align_aruco_vs_actual_yaw_error_deg]]="","",ABS(sim_a[[#This Row],[side_align_aruco_vs_actual_yaw_error_deg]]))</f>
        <v>1.151</v>
      </c>
      <c r="BU6" s="12">
        <f>IF(sim_a[[#This Row],[fine_align_aruco_est_error_x]]="","",ABS(sim_a[[#This Row],[fine_align_aruco_est_error_x]])*1000)</f>
        <v>5</v>
      </c>
      <c r="BV6" s="12">
        <f>IF(sim_a[[#This Row],[fine_align_aruco_est_error_y]]="","",ABS(sim_a[[#This Row],[fine_align_aruco_est_error_y]])*1000)</f>
        <v>25</v>
      </c>
      <c r="BW6" s="12">
        <f>IF(sim_a[[#This Row],[fine_align_aruco_est_yaw_error_deg]]="","",ABS(sim_a[[#This Row],[fine_align_aruco_est_yaw_error_deg]]))</f>
        <v>0.03</v>
      </c>
      <c r="BX6" s="12">
        <f>IF(sim_a[[#This Row],[fine_align_actual_aruco_error_x]]="","",ABS(sim_a[[#This Row],[fine_align_actual_aruco_error_x]])*1000)</f>
        <v>5.2</v>
      </c>
      <c r="BY6" s="12">
        <f>IF(sim_a[[#This Row],[fine_align_actual_aruco_error_y]]="","",ABS(sim_a[[#This Row],[fine_align_actual_aruco_error_y]])*1000)</f>
        <v>25.1</v>
      </c>
      <c r="BZ6" s="12">
        <f>IF(sim_a[[#This Row],[fine_align_actual_aruco_yaw_error_deg]]="","",ABS(sim_a[[#This Row],[fine_align_actual_aruco_yaw_error_deg]]))</f>
        <v>0.128</v>
      </c>
      <c r="CA6" s="12">
        <f>IF(sim_a[[#This Row],[fine_align_aruco_vs_actual_error_x]]="","",ABS(sim_a[[#This Row],[fine_align_aruco_vs_actual_error_x]])*1000)</f>
        <v>0.2</v>
      </c>
      <c r="CB6" s="12">
        <f>IF(sim_a[[#This Row],[fine_align_aruco_vs_actual_error_y]]="","",ABS(sim_a[[#This Row],[fine_align_aruco_vs_actual_error_y]])*1000)</f>
        <v>0.1</v>
      </c>
      <c r="CC6" s="12">
        <f>IF(sim_a[[#This Row],[fine_align_aruco_vs_actual_yaw_error_deg]]="","",ABS(sim_a[[#This Row],[fine_align_aruco_vs_actual_yaw_error_deg]]))</f>
        <v>9.8000000000000004E-2</v>
      </c>
    </row>
    <row r="7" spans="1:81" x14ac:dyDescent="0.25">
      <c r="A7" t="s">
        <v>91</v>
      </c>
      <c r="B7" t="b">
        <v>1</v>
      </c>
      <c r="E7">
        <v>258.70999999999998</v>
      </c>
      <c r="F7">
        <v>9.8849999999999998</v>
      </c>
      <c r="G7">
        <v>258.70800000000003</v>
      </c>
      <c r="H7">
        <v>14.411</v>
      </c>
      <c r="I7">
        <v>125.08199999999999</v>
      </c>
      <c r="J7">
        <v>191.971</v>
      </c>
      <c r="K7">
        <v>165.023</v>
      </c>
      <c r="L7">
        <v>257.70100000000002</v>
      </c>
      <c r="M7">
        <v>5.2089999999999996</v>
      </c>
      <c r="N7">
        <v>-7.4999999999999997E-2</v>
      </c>
      <c r="O7">
        <v>6.74</v>
      </c>
      <c r="P7">
        <v>-1E-4</v>
      </c>
      <c r="Q7">
        <v>0.10630000000000001</v>
      </c>
      <c r="R7">
        <v>0.01</v>
      </c>
      <c r="S7">
        <v>8.9999999999999993E-3</v>
      </c>
      <c r="T7">
        <v>-7.4999999999999997E-2</v>
      </c>
      <c r="U7">
        <v>7.5600000000000001E-2</v>
      </c>
      <c r="V7">
        <v>-1E-4</v>
      </c>
      <c r="W7">
        <v>0.10630000000000001</v>
      </c>
      <c r="X7">
        <v>0.10630000000000001</v>
      </c>
      <c r="Y7">
        <v>74.188999999999993</v>
      </c>
      <c r="Z7">
        <v>8.0000000000000002E-3</v>
      </c>
      <c r="AA7">
        <v>0</v>
      </c>
      <c r="AB7">
        <v>0.17</v>
      </c>
      <c r="AC7">
        <v>6</v>
      </c>
      <c r="AD7">
        <v>1.2500000000000001E-2</v>
      </c>
      <c r="AE7">
        <v>-1.0523</v>
      </c>
      <c r="AF7">
        <v>-0.157</v>
      </c>
      <c r="AG7">
        <v>-2.5000000000000001E-3</v>
      </c>
      <c r="AH7">
        <v>-1.0523</v>
      </c>
      <c r="AI7">
        <v>1.0523</v>
      </c>
      <c r="AJ7">
        <v>-0.157</v>
      </c>
      <c r="AK7">
        <v>1.0500000000000001E-2</v>
      </c>
      <c r="AL7">
        <v>1.0523</v>
      </c>
      <c r="AM7">
        <v>0.32700000000000001</v>
      </c>
      <c r="AN7">
        <v>125.029</v>
      </c>
      <c r="AO7">
        <v>7.0000000000000001E-3</v>
      </c>
      <c r="AP7">
        <v>-2.5000000000000001E-2</v>
      </c>
      <c r="AQ7">
        <v>-0.1</v>
      </c>
      <c r="AR7">
        <v>10</v>
      </c>
      <c r="AS7">
        <v>6.3E-3</v>
      </c>
      <c r="AT7">
        <v>-2.5100000000000001E-2</v>
      </c>
      <c r="AU7">
        <v>-0.16800000000000001</v>
      </c>
      <c r="AV7">
        <v>6.3E-3</v>
      </c>
      <c r="AW7">
        <v>-2.5100000000000001E-2</v>
      </c>
      <c r="AX7">
        <v>2.58E-2</v>
      </c>
      <c r="AY7">
        <v>-0.16800000000000001</v>
      </c>
      <c r="AZ7">
        <v>6.9999999999999999E-4</v>
      </c>
      <c r="BA7">
        <v>1E-4</v>
      </c>
      <c r="BB7">
        <v>6.8000000000000005E-2</v>
      </c>
      <c r="BE7" t="s">
        <v>232</v>
      </c>
      <c r="BF7" s="12">
        <f>IF(sim_a[[#This Row],[final_trolley_dropoff_error_x]]="","",ABS(sim_a[[#This Row],[final_trolley_dropoff_error_x]])*1000)</f>
        <v>9</v>
      </c>
      <c r="BG7" s="12">
        <f>IF(sim_a[[#This Row],[final_trolley_dropoff_error_y]]="","",ABS(sim_a[[#This Row],[final_trolley_dropoff_error_y]])*1000)</f>
        <v>75</v>
      </c>
      <c r="BH7" s="12">
        <f>IF(sim_a[[#This Row],[final_trolley_dropoff_error_dist]]="","",sim_a[[#This Row],[final_trolley_dropoff_error_dist]]*1000)</f>
        <v>75.599999999999994</v>
      </c>
      <c r="BI7" s="12">
        <f>IF(sim_a[[#This Row],[final_robot_charging_error_x]]="","",ABS(sim_a[[#This Row],[final_robot_charging_error_x]])*1000)</f>
        <v>0.1</v>
      </c>
      <c r="BJ7" s="12">
        <f>IF(sim_a[[#This Row],[final_robot_charging_error_y]]="","",ABS(sim_a[[#This Row],[final_robot_charging_error_y]])*1000)</f>
        <v>106.30000000000001</v>
      </c>
      <c r="BK7" s="12">
        <f>IF(sim_a[[#This Row],[final_robot_charging_error_dist]]="","",sim_a[[#This Row],[final_robot_charging_error_dist]]*1000)</f>
        <v>106.30000000000001</v>
      </c>
      <c r="BL7" s="12">
        <f>IF(sim_a[[#This Row],[side_align_aruco_est_error_x]]="","",ABS(sim_a[[#This Row],[side_align_aruco_est_error_x]])*1000)</f>
        <v>8</v>
      </c>
      <c r="BM7" s="12">
        <f>IF(sim_a[[#This Row],[side_align_aruco_est_error_y]]="","",ABS(sim_a[[#This Row],[side_align_aruco_est_error_y]])*1000)</f>
        <v>0</v>
      </c>
      <c r="BN7" s="12">
        <f>IF(sim_a[[#This Row],[side_align_aruco_est_yaw_error_deg]]="","",ABS(sim_a[[#This Row],[side_align_aruco_est_yaw_error_deg]]))</f>
        <v>0.17</v>
      </c>
      <c r="BO7" s="12">
        <f>IF(sim_a[[#This Row],[side_align_actual_aruco_error_x]]="","",ABS(sim_a[[#This Row],[side_align_actual_aruco_error_x]])*1000)</f>
        <v>2.5</v>
      </c>
      <c r="BP7" s="12">
        <f>IF(sim_a[[#This Row],[side_align_actual_aruco_error_y]]="","",ABS(sim_a[[#This Row],[side_align_actual_aruco_error_y]])*1000)</f>
        <v>1052.3</v>
      </c>
      <c r="BQ7" s="12">
        <f>IF(sim_a[[#This Row],[side_align_actual_aruco_yaw_error_deg]]="","",ABS(sim_a[[#This Row],[side_align_actual_aruco_yaw_error_deg]]))</f>
        <v>0.157</v>
      </c>
      <c r="BR7" s="12">
        <f>IF(sim_a[[#This Row],[side_align_aruco_vs_actual_error_x]]="","",ABS(sim_a[[#This Row],[side_align_aruco_vs_actual_error_x]])*1000)</f>
        <v>10.5</v>
      </c>
      <c r="BS7" s="12">
        <f>IF(sim_a[[#This Row],[side_align_aruco_vs_actual_error_y]]="","",ABS(sim_a[[#This Row],[side_align_aruco_vs_actual_error_y]])*1000)</f>
        <v>1052.3</v>
      </c>
      <c r="BT7" s="12">
        <f>IF(sim_a[[#This Row],[side_align_aruco_vs_actual_yaw_error_deg]]="","",ABS(sim_a[[#This Row],[side_align_aruco_vs_actual_yaw_error_deg]]))</f>
        <v>0.32700000000000001</v>
      </c>
      <c r="BU7" s="12">
        <f>IF(sim_a[[#This Row],[fine_align_aruco_est_error_x]]="","",ABS(sim_a[[#This Row],[fine_align_aruco_est_error_x]])*1000)</f>
        <v>7</v>
      </c>
      <c r="BV7" s="12">
        <f>IF(sim_a[[#This Row],[fine_align_aruco_est_error_y]]="","",ABS(sim_a[[#This Row],[fine_align_aruco_est_error_y]])*1000)</f>
        <v>25</v>
      </c>
      <c r="BW7" s="12">
        <f>IF(sim_a[[#This Row],[fine_align_aruco_est_yaw_error_deg]]="","",ABS(sim_a[[#This Row],[fine_align_aruco_est_yaw_error_deg]]))</f>
        <v>0.1</v>
      </c>
      <c r="BX7" s="12">
        <f>IF(sim_a[[#This Row],[fine_align_actual_aruco_error_x]]="","",ABS(sim_a[[#This Row],[fine_align_actual_aruco_error_x]])*1000)</f>
        <v>6.3</v>
      </c>
      <c r="BY7" s="12">
        <f>IF(sim_a[[#This Row],[fine_align_actual_aruco_error_y]]="","",ABS(sim_a[[#This Row],[fine_align_actual_aruco_error_y]])*1000)</f>
        <v>25.1</v>
      </c>
      <c r="BZ7" s="12">
        <f>IF(sim_a[[#This Row],[fine_align_actual_aruco_yaw_error_deg]]="","",ABS(sim_a[[#This Row],[fine_align_actual_aruco_yaw_error_deg]]))</f>
        <v>0.16800000000000001</v>
      </c>
      <c r="CA7" s="12">
        <f>IF(sim_a[[#This Row],[fine_align_aruco_vs_actual_error_x]]="","",ABS(sim_a[[#This Row],[fine_align_aruco_vs_actual_error_x]])*1000)</f>
        <v>0.7</v>
      </c>
      <c r="CB7" s="12">
        <f>IF(sim_a[[#This Row],[fine_align_aruco_vs_actual_error_y]]="","",ABS(sim_a[[#This Row],[fine_align_aruco_vs_actual_error_y]])*1000)</f>
        <v>0.1</v>
      </c>
      <c r="CC7" s="12">
        <f>IF(sim_a[[#This Row],[fine_align_aruco_vs_actual_yaw_error_deg]]="","",ABS(sim_a[[#This Row],[fine_align_aruco_vs_actual_yaw_error_deg]]))</f>
        <v>6.8000000000000005E-2</v>
      </c>
    </row>
    <row r="8" spans="1:81" x14ac:dyDescent="0.25">
      <c r="A8" t="s">
        <v>92</v>
      </c>
      <c r="B8" t="b">
        <v>1</v>
      </c>
      <c r="E8">
        <v>266.34899999999999</v>
      </c>
      <c r="F8">
        <v>9.84</v>
      </c>
      <c r="G8">
        <v>266.346</v>
      </c>
      <c r="H8">
        <v>12.006</v>
      </c>
      <c r="I8">
        <v>128.33199999999999</v>
      </c>
      <c r="J8">
        <v>199.37</v>
      </c>
      <c r="K8">
        <v>169.13300000000001</v>
      </c>
      <c r="L8">
        <v>265.33800000000002</v>
      </c>
      <c r="M8">
        <v>5.1966000000000001</v>
      </c>
      <c r="N8">
        <v>-3.2199999999999999E-2</v>
      </c>
      <c r="O8">
        <v>-1.472</v>
      </c>
      <c r="P8">
        <v>8.9999999999999998E-4</v>
      </c>
      <c r="Q8">
        <v>0.11</v>
      </c>
      <c r="R8">
        <v>-0.28000000000000003</v>
      </c>
      <c r="S8">
        <v>-3.3999999999999998E-3</v>
      </c>
      <c r="T8">
        <v>-3.2199999999999999E-2</v>
      </c>
      <c r="U8">
        <v>3.2399999999999998E-2</v>
      </c>
      <c r="V8">
        <v>8.9999999999999998E-4</v>
      </c>
      <c r="W8">
        <v>0.11</v>
      </c>
      <c r="X8">
        <v>0.11</v>
      </c>
      <c r="Y8">
        <v>74.641999999999996</v>
      </c>
      <c r="Z8">
        <v>6.0000000000000001E-3</v>
      </c>
      <c r="AA8">
        <v>0</v>
      </c>
      <c r="AB8">
        <v>-0.45</v>
      </c>
      <c r="AC8">
        <v>6</v>
      </c>
      <c r="AD8">
        <v>1.6899999999999998E-2</v>
      </c>
      <c r="AE8">
        <v>-1.0531999999999999</v>
      </c>
      <c r="AF8">
        <v>-5.7000000000000002E-2</v>
      </c>
      <c r="AG8">
        <v>1.9E-3</v>
      </c>
      <c r="AH8">
        <v>-1.0531999999999999</v>
      </c>
      <c r="AI8">
        <v>1.0531999999999999</v>
      </c>
      <c r="AJ8">
        <v>-5.7000000000000002E-2</v>
      </c>
      <c r="AK8">
        <v>4.1000000000000003E-3</v>
      </c>
      <c r="AL8">
        <v>1.0531999999999999</v>
      </c>
      <c r="AM8">
        <v>-0.39300000000000002</v>
      </c>
      <c r="AN8">
        <v>128.33000000000001</v>
      </c>
      <c r="AO8">
        <v>5.0000000000000001E-3</v>
      </c>
      <c r="AP8">
        <v>-2.5000000000000001E-2</v>
      </c>
      <c r="AQ8">
        <v>-0.06</v>
      </c>
      <c r="AR8">
        <v>10</v>
      </c>
      <c r="AS8">
        <v>5.3E-3</v>
      </c>
      <c r="AT8">
        <v>-2.4899999999999999E-2</v>
      </c>
      <c r="AU8">
        <v>-0.16400000000000001</v>
      </c>
      <c r="AV8">
        <v>5.3E-3</v>
      </c>
      <c r="AW8">
        <v>-2.4899999999999999E-2</v>
      </c>
      <c r="AX8">
        <v>2.5499999999999998E-2</v>
      </c>
      <c r="AY8">
        <v>-0.16400000000000001</v>
      </c>
      <c r="AZ8">
        <v>-2.9999999999999997E-4</v>
      </c>
      <c r="BA8">
        <v>-1E-4</v>
      </c>
      <c r="BB8">
        <v>0.104</v>
      </c>
      <c r="BE8" t="s">
        <v>233</v>
      </c>
      <c r="BF8" s="12">
        <f>IF(sim_a[[#This Row],[final_trolley_dropoff_error_x]]="","",ABS(sim_a[[#This Row],[final_trolley_dropoff_error_x]])*1000)</f>
        <v>3.4</v>
      </c>
      <c r="BG8" s="12">
        <f>IF(sim_a[[#This Row],[final_trolley_dropoff_error_y]]="","",ABS(sim_a[[#This Row],[final_trolley_dropoff_error_y]])*1000)</f>
        <v>32.200000000000003</v>
      </c>
      <c r="BH8" s="12">
        <f>IF(sim_a[[#This Row],[final_trolley_dropoff_error_dist]]="","",sim_a[[#This Row],[final_trolley_dropoff_error_dist]]*1000)</f>
        <v>32.4</v>
      </c>
      <c r="BI8" s="12">
        <f>IF(sim_a[[#This Row],[final_robot_charging_error_x]]="","",ABS(sim_a[[#This Row],[final_robot_charging_error_x]])*1000)</f>
        <v>0.9</v>
      </c>
      <c r="BJ8" s="12">
        <f>IF(sim_a[[#This Row],[final_robot_charging_error_y]]="","",ABS(sim_a[[#This Row],[final_robot_charging_error_y]])*1000)</f>
        <v>110</v>
      </c>
      <c r="BK8" s="12">
        <f>IF(sim_a[[#This Row],[final_robot_charging_error_dist]]="","",sim_a[[#This Row],[final_robot_charging_error_dist]]*1000)</f>
        <v>110</v>
      </c>
      <c r="BL8" s="12">
        <f>IF(sim_a[[#This Row],[side_align_aruco_est_error_x]]="","",ABS(sim_a[[#This Row],[side_align_aruco_est_error_x]])*1000)</f>
        <v>6</v>
      </c>
      <c r="BM8" s="12">
        <f>IF(sim_a[[#This Row],[side_align_aruco_est_error_y]]="","",ABS(sim_a[[#This Row],[side_align_aruco_est_error_y]])*1000)</f>
        <v>0</v>
      </c>
      <c r="BN8" s="12">
        <f>IF(sim_a[[#This Row],[side_align_aruco_est_yaw_error_deg]]="","",ABS(sim_a[[#This Row],[side_align_aruco_est_yaw_error_deg]]))</f>
        <v>0.45</v>
      </c>
      <c r="BO8" s="12">
        <f>IF(sim_a[[#This Row],[side_align_actual_aruco_error_x]]="","",ABS(sim_a[[#This Row],[side_align_actual_aruco_error_x]])*1000)</f>
        <v>1.9</v>
      </c>
      <c r="BP8" s="12">
        <f>IF(sim_a[[#This Row],[side_align_actual_aruco_error_y]]="","",ABS(sim_a[[#This Row],[side_align_actual_aruco_error_y]])*1000)</f>
        <v>1053.1999999999998</v>
      </c>
      <c r="BQ8" s="12">
        <f>IF(sim_a[[#This Row],[side_align_actual_aruco_yaw_error_deg]]="","",ABS(sim_a[[#This Row],[side_align_actual_aruco_yaw_error_deg]]))</f>
        <v>5.7000000000000002E-2</v>
      </c>
      <c r="BR8" s="12">
        <f>IF(sim_a[[#This Row],[side_align_aruco_vs_actual_error_x]]="","",ABS(sim_a[[#This Row],[side_align_aruco_vs_actual_error_x]])*1000)</f>
        <v>4.1000000000000005</v>
      </c>
      <c r="BS8" s="12">
        <f>IF(sim_a[[#This Row],[side_align_aruco_vs_actual_error_y]]="","",ABS(sim_a[[#This Row],[side_align_aruco_vs_actual_error_y]])*1000)</f>
        <v>1053.1999999999998</v>
      </c>
      <c r="BT8" s="12">
        <f>IF(sim_a[[#This Row],[side_align_aruco_vs_actual_yaw_error_deg]]="","",ABS(sim_a[[#This Row],[side_align_aruco_vs_actual_yaw_error_deg]]))</f>
        <v>0.39300000000000002</v>
      </c>
      <c r="BU8" s="12">
        <f>IF(sim_a[[#This Row],[fine_align_aruco_est_error_x]]="","",ABS(sim_a[[#This Row],[fine_align_aruco_est_error_x]])*1000)</f>
        <v>5</v>
      </c>
      <c r="BV8" s="12">
        <f>IF(sim_a[[#This Row],[fine_align_aruco_est_error_y]]="","",ABS(sim_a[[#This Row],[fine_align_aruco_est_error_y]])*1000)</f>
        <v>25</v>
      </c>
      <c r="BW8" s="12">
        <f>IF(sim_a[[#This Row],[fine_align_aruco_est_yaw_error_deg]]="","",ABS(sim_a[[#This Row],[fine_align_aruco_est_yaw_error_deg]]))</f>
        <v>0.06</v>
      </c>
      <c r="BX8" s="12">
        <f>IF(sim_a[[#This Row],[fine_align_actual_aruco_error_x]]="","",ABS(sim_a[[#This Row],[fine_align_actual_aruco_error_x]])*1000)</f>
        <v>5.3</v>
      </c>
      <c r="BY8" s="12">
        <f>IF(sim_a[[#This Row],[fine_align_actual_aruco_error_y]]="","",ABS(sim_a[[#This Row],[fine_align_actual_aruco_error_y]])*1000)</f>
        <v>24.9</v>
      </c>
      <c r="BZ8" s="12">
        <f>IF(sim_a[[#This Row],[fine_align_actual_aruco_yaw_error_deg]]="","",ABS(sim_a[[#This Row],[fine_align_actual_aruco_yaw_error_deg]]))</f>
        <v>0.16400000000000001</v>
      </c>
      <c r="CA8" s="12">
        <f>IF(sim_a[[#This Row],[fine_align_aruco_vs_actual_error_x]]="","",ABS(sim_a[[#This Row],[fine_align_aruco_vs_actual_error_x]])*1000)</f>
        <v>0.3</v>
      </c>
      <c r="CB8" s="12">
        <f>IF(sim_a[[#This Row],[fine_align_aruco_vs_actual_error_y]]="","",ABS(sim_a[[#This Row],[fine_align_aruco_vs_actual_error_y]])*1000)</f>
        <v>0.1</v>
      </c>
      <c r="CC8" s="12">
        <f>IF(sim_a[[#This Row],[fine_align_aruco_vs_actual_yaw_error_deg]]="","",ABS(sim_a[[#This Row],[fine_align_aruco_vs_actual_yaw_error_deg]]))</f>
        <v>0.104</v>
      </c>
    </row>
    <row r="9" spans="1:81" x14ac:dyDescent="0.25">
      <c r="A9" t="s">
        <v>93</v>
      </c>
      <c r="B9" t="b">
        <v>1</v>
      </c>
      <c r="E9">
        <v>258.05500000000001</v>
      </c>
      <c r="F9">
        <v>9.8369999999999997</v>
      </c>
      <c r="G9">
        <v>258.053</v>
      </c>
      <c r="H9">
        <v>13.257999999999999</v>
      </c>
      <c r="I9">
        <v>123.789</v>
      </c>
      <c r="J9">
        <v>191.22300000000001</v>
      </c>
      <c r="K9">
        <v>163.87299999999999</v>
      </c>
      <c r="L9">
        <v>257.04599999999999</v>
      </c>
      <c r="M9">
        <v>5.2058999999999997</v>
      </c>
      <c r="N9">
        <v>-3.95E-2</v>
      </c>
      <c r="O9">
        <v>-3.0779999999999998</v>
      </c>
      <c r="P9">
        <v>-5.0000000000000001E-4</v>
      </c>
      <c r="Q9">
        <v>0.1031</v>
      </c>
      <c r="R9">
        <v>6.7000000000000004E-2</v>
      </c>
      <c r="S9">
        <v>5.8999999999999999E-3</v>
      </c>
      <c r="T9">
        <v>-3.95E-2</v>
      </c>
      <c r="U9">
        <v>0.04</v>
      </c>
      <c r="V9">
        <v>-5.0000000000000001E-4</v>
      </c>
      <c r="W9">
        <v>0.1031</v>
      </c>
      <c r="X9">
        <v>0.1031</v>
      </c>
      <c r="Y9">
        <v>73.504000000000005</v>
      </c>
      <c r="Z9">
        <v>5.0000000000000001E-3</v>
      </c>
      <c r="AA9">
        <v>0</v>
      </c>
      <c r="AB9">
        <v>-0.74</v>
      </c>
      <c r="AC9">
        <v>6</v>
      </c>
      <c r="AD9">
        <v>1.7500000000000002E-2</v>
      </c>
      <c r="AE9">
        <v>-1.0422</v>
      </c>
      <c r="AF9">
        <v>0.373</v>
      </c>
      <c r="AG9">
        <v>2.5000000000000001E-3</v>
      </c>
      <c r="AH9">
        <v>-1.0422</v>
      </c>
      <c r="AI9">
        <v>1.0422</v>
      </c>
      <c r="AJ9">
        <v>0.373</v>
      </c>
      <c r="AK9">
        <v>2.5000000000000001E-3</v>
      </c>
      <c r="AL9">
        <v>1.0422</v>
      </c>
      <c r="AM9">
        <v>-1.113</v>
      </c>
      <c r="AN9">
        <v>123.735</v>
      </c>
      <c r="AO9">
        <v>7.0000000000000001E-3</v>
      </c>
      <c r="AP9">
        <v>-2.5000000000000001E-2</v>
      </c>
      <c r="AQ9">
        <v>-0.03</v>
      </c>
      <c r="AR9">
        <v>11</v>
      </c>
      <c r="AS9">
        <v>6.4999999999999997E-3</v>
      </c>
      <c r="AT9">
        <v>-2.4500000000000001E-2</v>
      </c>
      <c r="AU9">
        <v>-0.14099999999999999</v>
      </c>
      <c r="AV9">
        <v>6.4999999999999997E-3</v>
      </c>
      <c r="AW9">
        <v>-2.4500000000000001E-2</v>
      </c>
      <c r="AX9">
        <v>2.53E-2</v>
      </c>
      <c r="AY9">
        <v>-0.14099999999999999</v>
      </c>
      <c r="AZ9">
        <v>5.0000000000000001E-4</v>
      </c>
      <c r="BA9">
        <v>-5.0000000000000001E-4</v>
      </c>
      <c r="BB9">
        <v>0.111</v>
      </c>
      <c r="BE9" t="s">
        <v>234</v>
      </c>
      <c r="BF9" s="12">
        <f>IF(sim_a[[#This Row],[final_trolley_dropoff_error_x]]="","",ABS(sim_a[[#This Row],[final_trolley_dropoff_error_x]])*1000)</f>
        <v>5.8999999999999995</v>
      </c>
      <c r="BG9" s="12">
        <f>IF(sim_a[[#This Row],[final_trolley_dropoff_error_y]]="","",ABS(sim_a[[#This Row],[final_trolley_dropoff_error_y]])*1000)</f>
        <v>39.5</v>
      </c>
      <c r="BH9" s="12">
        <f>IF(sim_a[[#This Row],[final_trolley_dropoff_error_dist]]="","",sim_a[[#This Row],[final_trolley_dropoff_error_dist]]*1000)</f>
        <v>40</v>
      </c>
      <c r="BI9" s="12">
        <f>IF(sim_a[[#This Row],[final_robot_charging_error_x]]="","",ABS(sim_a[[#This Row],[final_robot_charging_error_x]])*1000)</f>
        <v>0.5</v>
      </c>
      <c r="BJ9" s="12">
        <f>IF(sim_a[[#This Row],[final_robot_charging_error_y]]="","",ABS(sim_a[[#This Row],[final_robot_charging_error_y]])*1000)</f>
        <v>103.1</v>
      </c>
      <c r="BK9" s="12">
        <f>IF(sim_a[[#This Row],[final_robot_charging_error_dist]]="","",sim_a[[#This Row],[final_robot_charging_error_dist]]*1000)</f>
        <v>103.1</v>
      </c>
      <c r="BL9" s="12">
        <f>IF(sim_a[[#This Row],[side_align_aruco_est_error_x]]="","",ABS(sim_a[[#This Row],[side_align_aruco_est_error_x]])*1000)</f>
        <v>5</v>
      </c>
      <c r="BM9" s="12">
        <f>IF(sim_a[[#This Row],[side_align_aruco_est_error_y]]="","",ABS(sim_a[[#This Row],[side_align_aruco_est_error_y]])*1000)</f>
        <v>0</v>
      </c>
      <c r="BN9" s="12">
        <f>IF(sim_a[[#This Row],[side_align_aruco_est_yaw_error_deg]]="","",ABS(sim_a[[#This Row],[side_align_aruco_est_yaw_error_deg]]))</f>
        <v>0.74</v>
      </c>
      <c r="BO9" s="12">
        <f>IF(sim_a[[#This Row],[side_align_actual_aruco_error_x]]="","",ABS(sim_a[[#This Row],[side_align_actual_aruco_error_x]])*1000)</f>
        <v>2.5</v>
      </c>
      <c r="BP9" s="12">
        <f>IF(sim_a[[#This Row],[side_align_actual_aruco_error_y]]="","",ABS(sim_a[[#This Row],[side_align_actual_aruco_error_y]])*1000)</f>
        <v>1042.2</v>
      </c>
      <c r="BQ9" s="12">
        <f>IF(sim_a[[#This Row],[side_align_actual_aruco_yaw_error_deg]]="","",ABS(sim_a[[#This Row],[side_align_actual_aruco_yaw_error_deg]]))</f>
        <v>0.373</v>
      </c>
      <c r="BR9" s="12">
        <f>IF(sim_a[[#This Row],[side_align_aruco_vs_actual_error_x]]="","",ABS(sim_a[[#This Row],[side_align_aruco_vs_actual_error_x]])*1000)</f>
        <v>2.5</v>
      </c>
      <c r="BS9" s="12">
        <f>IF(sim_a[[#This Row],[side_align_aruco_vs_actual_error_y]]="","",ABS(sim_a[[#This Row],[side_align_aruco_vs_actual_error_y]])*1000)</f>
        <v>1042.2</v>
      </c>
      <c r="BT9" s="12">
        <f>IF(sim_a[[#This Row],[side_align_aruco_vs_actual_yaw_error_deg]]="","",ABS(sim_a[[#This Row],[side_align_aruco_vs_actual_yaw_error_deg]]))</f>
        <v>1.113</v>
      </c>
      <c r="BU9" s="12">
        <f>IF(sim_a[[#This Row],[fine_align_aruco_est_error_x]]="","",ABS(sim_a[[#This Row],[fine_align_aruco_est_error_x]])*1000)</f>
        <v>7</v>
      </c>
      <c r="BV9" s="12">
        <f>IF(sim_a[[#This Row],[fine_align_aruco_est_error_y]]="","",ABS(sim_a[[#This Row],[fine_align_aruco_est_error_y]])*1000)</f>
        <v>25</v>
      </c>
      <c r="BW9" s="12">
        <f>IF(sim_a[[#This Row],[fine_align_aruco_est_yaw_error_deg]]="","",ABS(sim_a[[#This Row],[fine_align_aruco_est_yaw_error_deg]]))</f>
        <v>0.03</v>
      </c>
      <c r="BX9" s="12">
        <f>IF(sim_a[[#This Row],[fine_align_actual_aruco_error_x]]="","",ABS(sim_a[[#This Row],[fine_align_actual_aruco_error_x]])*1000)</f>
        <v>6.5</v>
      </c>
      <c r="BY9" s="12">
        <f>IF(sim_a[[#This Row],[fine_align_actual_aruco_error_y]]="","",ABS(sim_a[[#This Row],[fine_align_actual_aruco_error_y]])*1000)</f>
        <v>24.5</v>
      </c>
      <c r="BZ9" s="12">
        <f>IF(sim_a[[#This Row],[fine_align_actual_aruco_yaw_error_deg]]="","",ABS(sim_a[[#This Row],[fine_align_actual_aruco_yaw_error_deg]]))</f>
        <v>0.14099999999999999</v>
      </c>
      <c r="CA9" s="12">
        <f>IF(sim_a[[#This Row],[fine_align_aruco_vs_actual_error_x]]="","",ABS(sim_a[[#This Row],[fine_align_aruco_vs_actual_error_x]])*1000)</f>
        <v>0.5</v>
      </c>
      <c r="CB9" s="12">
        <f>IF(sim_a[[#This Row],[fine_align_aruco_vs_actual_error_y]]="","",ABS(sim_a[[#This Row],[fine_align_aruco_vs_actual_error_y]])*1000)</f>
        <v>0.5</v>
      </c>
      <c r="CC9" s="12">
        <f>IF(sim_a[[#This Row],[fine_align_aruco_vs_actual_yaw_error_deg]]="","",ABS(sim_a[[#This Row],[fine_align_aruco_vs_actual_yaw_error_deg]]))</f>
        <v>0.111</v>
      </c>
    </row>
    <row r="10" spans="1:81" x14ac:dyDescent="0.25">
      <c r="A10" t="s">
        <v>94</v>
      </c>
      <c r="B10" t="b">
        <v>0</v>
      </c>
      <c r="C10" t="s">
        <v>21</v>
      </c>
      <c r="D10" t="s">
        <v>194</v>
      </c>
      <c r="E10">
        <v>420.04300000000001</v>
      </c>
      <c r="F10">
        <v>9.6910000000000007</v>
      </c>
      <c r="H10">
        <v>12.407</v>
      </c>
      <c r="I10">
        <v>176.66800000000001</v>
      </c>
      <c r="J10">
        <v>251.566</v>
      </c>
      <c r="K10">
        <v>222.45400000000001</v>
      </c>
      <c r="L10">
        <v>317.62700000000001</v>
      </c>
      <c r="M10">
        <v>5.2293000000000003</v>
      </c>
      <c r="N10">
        <v>-0.51639999999999997</v>
      </c>
      <c r="O10">
        <v>0.41299999999999998</v>
      </c>
      <c r="P10">
        <v>8.0000000000000004E-4</v>
      </c>
      <c r="Q10">
        <v>2.64E-2</v>
      </c>
      <c r="R10">
        <v>-0.44400000000000001</v>
      </c>
      <c r="S10">
        <v>2.93E-2</v>
      </c>
      <c r="T10">
        <v>-0.51639999999999997</v>
      </c>
      <c r="U10">
        <v>0.51719999999999999</v>
      </c>
      <c r="V10">
        <v>8.0000000000000004E-4</v>
      </c>
      <c r="W10">
        <v>2.64E-2</v>
      </c>
      <c r="X10">
        <v>2.64E-2</v>
      </c>
      <c r="Y10">
        <v>123.509</v>
      </c>
      <c r="Z10">
        <v>3.0000000000000001E-3</v>
      </c>
      <c r="AA10">
        <v>0</v>
      </c>
      <c r="AB10">
        <v>-0.8</v>
      </c>
      <c r="AC10">
        <v>5</v>
      </c>
      <c r="AD10">
        <v>2.46E-2</v>
      </c>
      <c r="AE10">
        <v>-1.0878000000000001</v>
      </c>
      <c r="AF10">
        <v>0.45600000000000002</v>
      </c>
      <c r="AG10">
        <v>9.5999999999999992E-3</v>
      </c>
      <c r="AH10">
        <v>-1.0878000000000001</v>
      </c>
      <c r="AI10">
        <v>1.0878000000000001</v>
      </c>
      <c r="AJ10">
        <v>0.45600000000000002</v>
      </c>
      <c r="AK10">
        <v>-6.6E-3</v>
      </c>
      <c r="AL10">
        <v>1.0878000000000001</v>
      </c>
      <c r="AM10">
        <v>-1.256</v>
      </c>
      <c r="AN10">
        <v>176.614</v>
      </c>
      <c r="AO10">
        <v>0.01</v>
      </c>
      <c r="AP10">
        <v>-2.5000000000000001E-2</v>
      </c>
      <c r="AQ10">
        <v>1.23</v>
      </c>
      <c r="AR10">
        <v>11</v>
      </c>
      <c r="AS10">
        <v>1.0699999999999999E-2</v>
      </c>
      <c r="AT10">
        <v>-2.5100000000000001E-2</v>
      </c>
      <c r="AU10">
        <v>1.1890000000000001</v>
      </c>
      <c r="AV10">
        <v>1.0699999999999999E-2</v>
      </c>
      <c r="AW10">
        <v>-2.5100000000000001E-2</v>
      </c>
      <c r="AX10">
        <v>2.7300000000000001E-2</v>
      </c>
      <c r="AY10">
        <v>1.1890000000000001</v>
      </c>
      <c r="AZ10">
        <v>-6.9999999999999999E-4</v>
      </c>
      <c r="BA10">
        <v>1E-4</v>
      </c>
      <c r="BB10">
        <v>4.1000000000000002E-2</v>
      </c>
      <c r="BE10" t="s">
        <v>235</v>
      </c>
      <c r="BF10" s="12">
        <f>IF(sim_a[[#This Row],[final_trolley_dropoff_error_x]]="","",ABS(sim_a[[#This Row],[final_trolley_dropoff_error_x]])*1000)</f>
        <v>29.3</v>
      </c>
      <c r="BG10" s="12">
        <f>IF(sim_a[[#This Row],[final_trolley_dropoff_error_y]]="","",ABS(sim_a[[#This Row],[final_trolley_dropoff_error_y]])*1000)</f>
        <v>516.4</v>
      </c>
      <c r="BH10" s="12">
        <f>IF(sim_a[[#This Row],[final_trolley_dropoff_error_dist]]="","",sim_a[[#This Row],[final_trolley_dropoff_error_dist]]*1000)</f>
        <v>517.20000000000005</v>
      </c>
      <c r="BI10" s="12">
        <f>IF(sim_a[[#This Row],[final_robot_charging_error_x]]="","",ABS(sim_a[[#This Row],[final_robot_charging_error_x]])*1000)</f>
        <v>0.8</v>
      </c>
      <c r="BJ10" s="12">
        <f>IF(sim_a[[#This Row],[final_robot_charging_error_y]]="","",ABS(sim_a[[#This Row],[final_robot_charging_error_y]])*1000)</f>
        <v>26.4</v>
      </c>
      <c r="BK10" s="12">
        <f>IF(sim_a[[#This Row],[final_robot_charging_error_dist]]="","",sim_a[[#This Row],[final_robot_charging_error_dist]]*1000)</f>
        <v>26.4</v>
      </c>
      <c r="BL10" s="12">
        <f>IF(sim_a[[#This Row],[side_align_aruco_est_error_x]]="","",ABS(sim_a[[#This Row],[side_align_aruco_est_error_x]])*1000)</f>
        <v>3</v>
      </c>
      <c r="BM10" s="12">
        <f>IF(sim_a[[#This Row],[side_align_aruco_est_error_y]]="","",ABS(sim_a[[#This Row],[side_align_aruco_est_error_y]])*1000)</f>
        <v>0</v>
      </c>
      <c r="BN10" s="12">
        <f>IF(sim_a[[#This Row],[side_align_aruco_est_yaw_error_deg]]="","",ABS(sim_a[[#This Row],[side_align_aruco_est_yaw_error_deg]]))</f>
        <v>0.8</v>
      </c>
      <c r="BO10" s="12">
        <f>IF(sim_a[[#This Row],[side_align_actual_aruco_error_x]]="","",ABS(sim_a[[#This Row],[side_align_actual_aruco_error_x]])*1000)</f>
        <v>9.6</v>
      </c>
      <c r="BP10" s="12">
        <f>IF(sim_a[[#This Row],[side_align_actual_aruco_error_y]]="","",ABS(sim_a[[#This Row],[side_align_actual_aruco_error_y]])*1000)</f>
        <v>1087.8000000000002</v>
      </c>
      <c r="BQ10" s="12">
        <f>IF(sim_a[[#This Row],[side_align_actual_aruco_yaw_error_deg]]="","",ABS(sim_a[[#This Row],[side_align_actual_aruco_yaw_error_deg]]))</f>
        <v>0.45600000000000002</v>
      </c>
      <c r="BR10" s="12">
        <f>IF(sim_a[[#This Row],[side_align_aruco_vs_actual_error_x]]="","",ABS(sim_a[[#This Row],[side_align_aruco_vs_actual_error_x]])*1000)</f>
        <v>6.6</v>
      </c>
      <c r="BS10" s="12">
        <f>IF(sim_a[[#This Row],[side_align_aruco_vs_actual_error_y]]="","",ABS(sim_a[[#This Row],[side_align_aruco_vs_actual_error_y]])*1000)</f>
        <v>1087.8000000000002</v>
      </c>
      <c r="BT10" s="12">
        <f>IF(sim_a[[#This Row],[side_align_aruco_vs_actual_yaw_error_deg]]="","",ABS(sim_a[[#This Row],[side_align_aruco_vs_actual_yaw_error_deg]]))</f>
        <v>1.256</v>
      </c>
      <c r="BU10" s="12">
        <f>IF(sim_a[[#This Row],[fine_align_aruco_est_error_x]]="","",ABS(sim_a[[#This Row],[fine_align_aruco_est_error_x]])*1000)</f>
        <v>10</v>
      </c>
      <c r="BV10" s="12">
        <f>IF(sim_a[[#This Row],[fine_align_aruco_est_error_y]]="","",ABS(sim_a[[#This Row],[fine_align_aruco_est_error_y]])*1000)</f>
        <v>25</v>
      </c>
      <c r="BW10" s="12">
        <f>IF(sim_a[[#This Row],[fine_align_aruco_est_yaw_error_deg]]="","",ABS(sim_a[[#This Row],[fine_align_aruco_est_yaw_error_deg]]))</f>
        <v>1.23</v>
      </c>
      <c r="BX10" s="12">
        <f>IF(sim_a[[#This Row],[fine_align_actual_aruco_error_x]]="","",ABS(sim_a[[#This Row],[fine_align_actual_aruco_error_x]])*1000)</f>
        <v>10.7</v>
      </c>
      <c r="BY10" s="12">
        <f>IF(sim_a[[#This Row],[fine_align_actual_aruco_error_y]]="","",ABS(sim_a[[#This Row],[fine_align_actual_aruco_error_y]])*1000)</f>
        <v>25.1</v>
      </c>
      <c r="BZ10" s="12">
        <f>IF(sim_a[[#This Row],[fine_align_actual_aruco_yaw_error_deg]]="","",ABS(sim_a[[#This Row],[fine_align_actual_aruco_yaw_error_deg]]))</f>
        <v>1.1890000000000001</v>
      </c>
      <c r="CA10" s="12">
        <f>IF(sim_a[[#This Row],[fine_align_aruco_vs_actual_error_x]]="","",ABS(sim_a[[#This Row],[fine_align_aruco_vs_actual_error_x]])*1000)</f>
        <v>0.7</v>
      </c>
      <c r="CB10" s="12">
        <f>IF(sim_a[[#This Row],[fine_align_aruco_vs_actual_error_y]]="","",ABS(sim_a[[#This Row],[fine_align_aruco_vs_actual_error_y]])*1000)</f>
        <v>0.1</v>
      </c>
      <c r="CC10" s="12">
        <f>IF(sim_a[[#This Row],[fine_align_aruco_vs_actual_yaw_error_deg]]="","",ABS(sim_a[[#This Row],[fine_align_aruco_vs_actual_yaw_error_deg]]))</f>
        <v>4.1000000000000002E-2</v>
      </c>
    </row>
    <row r="11" spans="1:81" x14ac:dyDescent="0.25">
      <c r="A11" t="s">
        <v>95</v>
      </c>
      <c r="B11" t="b">
        <v>1</v>
      </c>
      <c r="E11">
        <v>261.863</v>
      </c>
      <c r="F11">
        <v>9.8919999999999995</v>
      </c>
      <c r="G11">
        <v>261.86099999999999</v>
      </c>
      <c r="H11">
        <v>12.058</v>
      </c>
      <c r="I11">
        <v>125.377</v>
      </c>
      <c r="J11">
        <v>195.38399999999999</v>
      </c>
      <c r="K11">
        <v>165.16399999999999</v>
      </c>
      <c r="L11">
        <v>260.85399999999998</v>
      </c>
      <c r="M11">
        <v>5.2111000000000001</v>
      </c>
      <c r="N11">
        <v>-2.3099999999999999E-2</v>
      </c>
      <c r="O11">
        <v>-5.0449999999999999</v>
      </c>
      <c r="P11">
        <v>0</v>
      </c>
      <c r="Q11">
        <v>0.10290000000000001</v>
      </c>
      <c r="R11">
        <v>-4.5999999999999999E-2</v>
      </c>
      <c r="S11">
        <v>1.11E-2</v>
      </c>
      <c r="T11">
        <v>-2.3099999999999999E-2</v>
      </c>
      <c r="U11">
        <v>2.5700000000000001E-2</v>
      </c>
      <c r="V11">
        <v>0</v>
      </c>
      <c r="W11">
        <v>0.10290000000000001</v>
      </c>
      <c r="X11">
        <v>0.10290000000000001</v>
      </c>
      <c r="Y11">
        <v>73.537999999999997</v>
      </c>
      <c r="Z11">
        <v>4.0000000000000001E-3</v>
      </c>
      <c r="AA11">
        <v>0</v>
      </c>
      <c r="AB11">
        <v>0.8</v>
      </c>
      <c r="AC11">
        <v>6</v>
      </c>
      <c r="AD11">
        <v>1.5299999999999999E-2</v>
      </c>
      <c r="AE11">
        <v>-1.0528</v>
      </c>
      <c r="AF11">
        <v>0.83699999999999997</v>
      </c>
      <c r="AG11">
        <v>2.9999999999999997E-4</v>
      </c>
      <c r="AH11">
        <v>-1.0528</v>
      </c>
      <c r="AI11">
        <v>1.0528</v>
      </c>
      <c r="AJ11">
        <v>0.83699999999999997</v>
      </c>
      <c r="AK11">
        <v>3.7000000000000002E-3</v>
      </c>
      <c r="AL11">
        <v>1.0528</v>
      </c>
      <c r="AM11">
        <v>-3.6999999999999998E-2</v>
      </c>
      <c r="AN11">
        <v>125.325</v>
      </c>
      <c r="AO11">
        <v>4.0000000000000001E-3</v>
      </c>
      <c r="AP11">
        <v>-2.5000000000000001E-2</v>
      </c>
      <c r="AQ11">
        <v>-0.06</v>
      </c>
      <c r="AR11">
        <v>10</v>
      </c>
      <c r="AS11">
        <v>4.4999999999999997E-3</v>
      </c>
      <c r="AT11">
        <v>-2.52E-2</v>
      </c>
      <c r="AU11">
        <v>-0.111</v>
      </c>
      <c r="AV11">
        <v>4.4999999999999997E-3</v>
      </c>
      <c r="AW11">
        <v>-2.52E-2</v>
      </c>
      <c r="AX11">
        <v>2.5600000000000001E-2</v>
      </c>
      <c r="AY11">
        <v>-0.111</v>
      </c>
      <c r="AZ11">
        <v>-5.0000000000000001E-4</v>
      </c>
      <c r="BA11">
        <v>2.0000000000000001E-4</v>
      </c>
      <c r="BB11">
        <v>5.0999999999999997E-2</v>
      </c>
      <c r="BE11" t="s">
        <v>236</v>
      </c>
      <c r="BF11" s="12">
        <f>IF(sim_a[[#This Row],[final_trolley_dropoff_error_x]]="","",ABS(sim_a[[#This Row],[final_trolley_dropoff_error_x]])*1000)</f>
        <v>11.1</v>
      </c>
      <c r="BG11" s="12">
        <f>IF(sim_a[[#This Row],[final_trolley_dropoff_error_y]]="","",ABS(sim_a[[#This Row],[final_trolley_dropoff_error_y]])*1000)</f>
        <v>23.099999999999998</v>
      </c>
      <c r="BH11" s="12">
        <f>IF(sim_a[[#This Row],[final_trolley_dropoff_error_dist]]="","",sim_a[[#This Row],[final_trolley_dropoff_error_dist]]*1000)</f>
        <v>25.7</v>
      </c>
      <c r="BI11" s="12">
        <f>IF(sim_a[[#This Row],[final_robot_charging_error_x]]="","",ABS(sim_a[[#This Row],[final_robot_charging_error_x]])*1000)</f>
        <v>0</v>
      </c>
      <c r="BJ11" s="12">
        <f>IF(sim_a[[#This Row],[final_robot_charging_error_y]]="","",ABS(sim_a[[#This Row],[final_robot_charging_error_y]])*1000)</f>
        <v>102.9</v>
      </c>
      <c r="BK11" s="12">
        <f>IF(sim_a[[#This Row],[final_robot_charging_error_dist]]="","",sim_a[[#This Row],[final_robot_charging_error_dist]]*1000)</f>
        <v>102.9</v>
      </c>
      <c r="BL11" s="12">
        <f>IF(sim_a[[#This Row],[side_align_aruco_est_error_x]]="","",ABS(sim_a[[#This Row],[side_align_aruco_est_error_x]])*1000)</f>
        <v>4</v>
      </c>
      <c r="BM11" s="12">
        <f>IF(sim_a[[#This Row],[side_align_aruco_est_error_y]]="","",ABS(sim_a[[#This Row],[side_align_aruco_est_error_y]])*1000)</f>
        <v>0</v>
      </c>
      <c r="BN11" s="12">
        <f>IF(sim_a[[#This Row],[side_align_aruco_est_yaw_error_deg]]="","",ABS(sim_a[[#This Row],[side_align_aruco_est_yaw_error_deg]]))</f>
        <v>0.8</v>
      </c>
      <c r="BO11" s="12">
        <f>IF(sim_a[[#This Row],[side_align_actual_aruco_error_x]]="","",ABS(sim_a[[#This Row],[side_align_actual_aruco_error_x]])*1000)</f>
        <v>0.3</v>
      </c>
      <c r="BP11" s="12">
        <f>IF(sim_a[[#This Row],[side_align_actual_aruco_error_y]]="","",ABS(sim_a[[#This Row],[side_align_actual_aruco_error_y]])*1000)</f>
        <v>1052.8</v>
      </c>
      <c r="BQ11" s="12">
        <f>IF(sim_a[[#This Row],[side_align_actual_aruco_yaw_error_deg]]="","",ABS(sim_a[[#This Row],[side_align_actual_aruco_yaw_error_deg]]))</f>
        <v>0.83699999999999997</v>
      </c>
      <c r="BR11" s="12">
        <f>IF(sim_a[[#This Row],[side_align_aruco_vs_actual_error_x]]="","",ABS(sim_a[[#This Row],[side_align_aruco_vs_actual_error_x]])*1000)</f>
        <v>3.7</v>
      </c>
      <c r="BS11" s="12">
        <f>IF(sim_a[[#This Row],[side_align_aruco_vs_actual_error_y]]="","",ABS(sim_a[[#This Row],[side_align_aruco_vs_actual_error_y]])*1000)</f>
        <v>1052.8</v>
      </c>
      <c r="BT11" s="12">
        <f>IF(sim_a[[#This Row],[side_align_aruco_vs_actual_yaw_error_deg]]="","",ABS(sim_a[[#This Row],[side_align_aruco_vs_actual_yaw_error_deg]]))</f>
        <v>3.6999999999999998E-2</v>
      </c>
      <c r="BU11" s="12">
        <f>IF(sim_a[[#This Row],[fine_align_aruco_est_error_x]]="","",ABS(sim_a[[#This Row],[fine_align_aruco_est_error_x]])*1000)</f>
        <v>4</v>
      </c>
      <c r="BV11" s="12">
        <f>IF(sim_a[[#This Row],[fine_align_aruco_est_error_y]]="","",ABS(sim_a[[#This Row],[fine_align_aruco_est_error_y]])*1000)</f>
        <v>25</v>
      </c>
      <c r="BW11" s="12">
        <f>IF(sim_a[[#This Row],[fine_align_aruco_est_yaw_error_deg]]="","",ABS(sim_a[[#This Row],[fine_align_aruco_est_yaw_error_deg]]))</f>
        <v>0.06</v>
      </c>
      <c r="BX11" s="12">
        <f>IF(sim_a[[#This Row],[fine_align_actual_aruco_error_x]]="","",ABS(sim_a[[#This Row],[fine_align_actual_aruco_error_x]])*1000)</f>
        <v>4.5</v>
      </c>
      <c r="BY11" s="12">
        <f>IF(sim_a[[#This Row],[fine_align_actual_aruco_error_y]]="","",ABS(sim_a[[#This Row],[fine_align_actual_aruco_error_y]])*1000)</f>
        <v>25.2</v>
      </c>
      <c r="BZ11" s="12">
        <f>IF(sim_a[[#This Row],[fine_align_actual_aruco_yaw_error_deg]]="","",ABS(sim_a[[#This Row],[fine_align_actual_aruco_yaw_error_deg]]))</f>
        <v>0.111</v>
      </c>
      <c r="CA11" s="12">
        <f>IF(sim_a[[#This Row],[fine_align_aruco_vs_actual_error_x]]="","",ABS(sim_a[[#This Row],[fine_align_aruco_vs_actual_error_x]])*1000)</f>
        <v>0.5</v>
      </c>
      <c r="CB11" s="12">
        <f>IF(sim_a[[#This Row],[fine_align_aruco_vs_actual_error_y]]="","",ABS(sim_a[[#This Row],[fine_align_aruco_vs_actual_error_y]])*1000)</f>
        <v>0.2</v>
      </c>
      <c r="CC11" s="12">
        <f>IF(sim_a[[#This Row],[fine_align_aruco_vs_actual_yaw_error_deg]]="","",ABS(sim_a[[#This Row],[fine_align_aruco_vs_actual_yaw_error_deg]]))</f>
        <v>5.0999999999999997E-2</v>
      </c>
    </row>
    <row r="12" spans="1:81" x14ac:dyDescent="0.25">
      <c r="A12" t="s">
        <v>96</v>
      </c>
      <c r="B12" t="b">
        <v>0</v>
      </c>
      <c r="C12" t="s">
        <v>20</v>
      </c>
      <c r="D12" t="s">
        <v>237</v>
      </c>
      <c r="E12">
        <v>203.16300000000001</v>
      </c>
      <c r="F12">
        <v>9.9350000000000005</v>
      </c>
      <c r="H12">
        <v>12.102</v>
      </c>
      <c r="I12">
        <v>124.374</v>
      </c>
      <c r="K12">
        <v>163.72</v>
      </c>
      <c r="M12">
        <v>5.2061999999999999</v>
      </c>
      <c r="N12">
        <v>4.3E-3</v>
      </c>
      <c r="O12">
        <v>-5.4539999999999997</v>
      </c>
      <c r="P12">
        <v>5.2024999999999997</v>
      </c>
      <c r="Q12">
        <v>2.93E-2</v>
      </c>
      <c r="R12">
        <v>-5.3109999999999999</v>
      </c>
      <c r="S12">
        <v>6.1999999999999998E-3</v>
      </c>
      <c r="T12">
        <v>4.3E-3</v>
      </c>
      <c r="U12">
        <v>7.6E-3</v>
      </c>
      <c r="V12">
        <v>5.2024999999999997</v>
      </c>
      <c r="W12">
        <v>2.93E-2</v>
      </c>
      <c r="X12">
        <v>5.2026000000000003</v>
      </c>
      <c r="Y12">
        <v>73.552999999999997</v>
      </c>
      <c r="Z12">
        <v>6.0000000000000001E-3</v>
      </c>
      <c r="AA12">
        <v>0</v>
      </c>
      <c r="AB12">
        <v>0.83</v>
      </c>
      <c r="AC12">
        <v>6</v>
      </c>
      <c r="AD12">
        <v>1.54E-2</v>
      </c>
      <c r="AE12">
        <v>-1.0486</v>
      </c>
      <c r="AF12">
        <v>0.90300000000000002</v>
      </c>
      <c r="AG12">
        <v>4.0000000000000002E-4</v>
      </c>
      <c r="AH12">
        <v>-1.0486</v>
      </c>
      <c r="AI12">
        <v>1.0486</v>
      </c>
      <c r="AJ12">
        <v>0.90300000000000002</v>
      </c>
      <c r="AK12">
        <v>5.5999999999999999E-3</v>
      </c>
      <c r="AL12">
        <v>1.0486</v>
      </c>
      <c r="AM12">
        <v>-7.2999999999999995E-2</v>
      </c>
      <c r="AN12">
        <v>124.372</v>
      </c>
      <c r="AO12">
        <v>7.0000000000000001E-3</v>
      </c>
      <c r="AP12">
        <v>-2.5000000000000001E-2</v>
      </c>
      <c r="AQ12">
        <v>0</v>
      </c>
      <c r="AR12">
        <v>11</v>
      </c>
      <c r="AS12">
        <v>6.0000000000000001E-3</v>
      </c>
      <c r="AT12">
        <v>-2.4500000000000001E-2</v>
      </c>
      <c r="AU12">
        <v>-0.14399999999999999</v>
      </c>
      <c r="AV12">
        <v>6.0000000000000001E-3</v>
      </c>
      <c r="AW12">
        <v>-2.4500000000000001E-2</v>
      </c>
      <c r="AX12">
        <v>2.52E-2</v>
      </c>
      <c r="AY12">
        <v>-0.14399999999999999</v>
      </c>
      <c r="AZ12">
        <v>1E-3</v>
      </c>
      <c r="BA12">
        <v>-5.0000000000000001E-4</v>
      </c>
      <c r="BB12">
        <v>0.14399999999999999</v>
      </c>
      <c r="BE12" t="s">
        <v>237</v>
      </c>
      <c r="BF12" s="12">
        <f>IF(sim_a[[#This Row],[final_trolley_dropoff_error_x]]="","",ABS(sim_a[[#This Row],[final_trolley_dropoff_error_x]])*1000)</f>
        <v>6.2</v>
      </c>
      <c r="BG12" s="12">
        <f>IF(sim_a[[#This Row],[final_trolley_dropoff_error_y]]="","",ABS(sim_a[[#This Row],[final_trolley_dropoff_error_y]])*1000)</f>
        <v>4.3</v>
      </c>
      <c r="BH12" s="12">
        <f>IF(sim_a[[#This Row],[final_trolley_dropoff_error_dist]]="","",sim_a[[#This Row],[final_trolley_dropoff_error_dist]]*1000)</f>
        <v>7.6</v>
      </c>
      <c r="BI12" s="12">
        <f>IF(sim_a[[#This Row],[final_robot_charging_error_x]]="","",ABS(sim_a[[#This Row],[final_robot_charging_error_x]])*1000)</f>
        <v>5202.5</v>
      </c>
      <c r="BJ12" s="12">
        <f>IF(sim_a[[#This Row],[final_robot_charging_error_y]]="","",ABS(sim_a[[#This Row],[final_robot_charging_error_y]])*1000)</f>
        <v>29.3</v>
      </c>
      <c r="BK12" s="12">
        <f>IF(sim_a[[#This Row],[final_robot_charging_error_dist]]="","",sim_a[[#This Row],[final_robot_charging_error_dist]]*1000)</f>
        <v>5202.6000000000004</v>
      </c>
      <c r="BL12" s="12">
        <f>IF(sim_a[[#This Row],[side_align_aruco_est_error_x]]="","",ABS(sim_a[[#This Row],[side_align_aruco_est_error_x]])*1000)</f>
        <v>6</v>
      </c>
      <c r="BM12" s="12">
        <f>IF(sim_a[[#This Row],[side_align_aruco_est_error_y]]="","",ABS(sim_a[[#This Row],[side_align_aruco_est_error_y]])*1000)</f>
        <v>0</v>
      </c>
      <c r="BN12" s="12">
        <f>IF(sim_a[[#This Row],[side_align_aruco_est_yaw_error_deg]]="","",ABS(sim_a[[#This Row],[side_align_aruco_est_yaw_error_deg]]))</f>
        <v>0.83</v>
      </c>
      <c r="BO12" s="12">
        <f>IF(sim_a[[#This Row],[side_align_actual_aruco_error_x]]="","",ABS(sim_a[[#This Row],[side_align_actual_aruco_error_x]])*1000)</f>
        <v>0.4</v>
      </c>
      <c r="BP12" s="12">
        <f>IF(sim_a[[#This Row],[side_align_actual_aruco_error_y]]="","",ABS(sim_a[[#This Row],[side_align_actual_aruco_error_y]])*1000)</f>
        <v>1048.5999999999999</v>
      </c>
      <c r="BQ12" s="12">
        <f>IF(sim_a[[#This Row],[side_align_actual_aruco_yaw_error_deg]]="","",ABS(sim_a[[#This Row],[side_align_actual_aruco_yaw_error_deg]]))</f>
        <v>0.90300000000000002</v>
      </c>
      <c r="BR12" s="12">
        <f>IF(sim_a[[#This Row],[side_align_aruco_vs_actual_error_x]]="","",ABS(sim_a[[#This Row],[side_align_aruco_vs_actual_error_x]])*1000)</f>
        <v>5.6</v>
      </c>
      <c r="BS12" s="12">
        <f>IF(sim_a[[#This Row],[side_align_aruco_vs_actual_error_y]]="","",ABS(sim_a[[#This Row],[side_align_aruco_vs_actual_error_y]])*1000)</f>
        <v>1048.5999999999999</v>
      </c>
      <c r="BT12" s="12">
        <f>IF(sim_a[[#This Row],[side_align_aruco_vs_actual_yaw_error_deg]]="","",ABS(sim_a[[#This Row],[side_align_aruco_vs_actual_yaw_error_deg]]))</f>
        <v>7.2999999999999995E-2</v>
      </c>
      <c r="BU12" s="12">
        <f>IF(sim_a[[#This Row],[fine_align_aruco_est_error_x]]="","",ABS(sim_a[[#This Row],[fine_align_aruco_est_error_x]])*1000)</f>
        <v>7</v>
      </c>
      <c r="BV12" s="12">
        <f>IF(sim_a[[#This Row],[fine_align_aruco_est_error_y]]="","",ABS(sim_a[[#This Row],[fine_align_aruco_est_error_y]])*1000)</f>
        <v>25</v>
      </c>
      <c r="BW12" s="12">
        <f>IF(sim_a[[#This Row],[fine_align_aruco_est_yaw_error_deg]]="","",ABS(sim_a[[#This Row],[fine_align_aruco_est_yaw_error_deg]]))</f>
        <v>0</v>
      </c>
      <c r="BX12" s="12">
        <f>IF(sim_a[[#This Row],[fine_align_actual_aruco_error_x]]="","",ABS(sim_a[[#This Row],[fine_align_actual_aruco_error_x]])*1000)</f>
        <v>6</v>
      </c>
      <c r="BY12" s="12">
        <f>IF(sim_a[[#This Row],[fine_align_actual_aruco_error_y]]="","",ABS(sim_a[[#This Row],[fine_align_actual_aruco_error_y]])*1000)</f>
        <v>24.5</v>
      </c>
      <c r="BZ12" s="12">
        <f>IF(sim_a[[#This Row],[fine_align_actual_aruco_yaw_error_deg]]="","",ABS(sim_a[[#This Row],[fine_align_actual_aruco_yaw_error_deg]]))</f>
        <v>0.14399999999999999</v>
      </c>
      <c r="CA12" s="12">
        <f>IF(sim_a[[#This Row],[fine_align_aruco_vs_actual_error_x]]="","",ABS(sim_a[[#This Row],[fine_align_aruco_vs_actual_error_x]])*1000)</f>
        <v>1</v>
      </c>
      <c r="CB12" s="12">
        <f>IF(sim_a[[#This Row],[fine_align_aruco_vs_actual_error_y]]="","",ABS(sim_a[[#This Row],[fine_align_aruco_vs_actual_error_y]])*1000)</f>
        <v>0.5</v>
      </c>
      <c r="CC12" s="12">
        <f>IF(sim_a[[#This Row],[fine_align_aruco_vs_actual_yaw_error_deg]]="","",ABS(sim_a[[#This Row],[fine_align_aruco_vs_actual_yaw_error_deg]]))</f>
        <v>0.14399999999999999</v>
      </c>
    </row>
    <row r="13" spans="1:81" x14ac:dyDescent="0.25">
      <c r="A13" t="s">
        <v>97</v>
      </c>
      <c r="B13" t="b">
        <v>0</v>
      </c>
      <c r="C13" t="s">
        <v>31</v>
      </c>
      <c r="D13" t="s">
        <v>238</v>
      </c>
      <c r="E13">
        <v>239.04499999999999</v>
      </c>
      <c r="F13">
        <v>9.7840000000000007</v>
      </c>
      <c r="H13">
        <v>13.464</v>
      </c>
      <c r="I13">
        <v>128.983</v>
      </c>
      <c r="M13">
        <v>5.1379999999999999</v>
      </c>
      <c r="N13">
        <v>1.3779999999999999</v>
      </c>
      <c r="O13">
        <v>-117.934</v>
      </c>
      <c r="P13">
        <v>5.1618000000000004</v>
      </c>
      <c r="Q13">
        <v>1.3696999999999999</v>
      </c>
      <c r="R13">
        <v>-117.764</v>
      </c>
      <c r="S13">
        <v>-6.2E-2</v>
      </c>
      <c r="T13">
        <v>1.3779999999999999</v>
      </c>
      <c r="U13">
        <v>1.3794</v>
      </c>
      <c r="V13">
        <v>5.1618000000000004</v>
      </c>
      <c r="W13">
        <v>1.3696999999999999</v>
      </c>
      <c r="X13">
        <v>5.3403999999999998</v>
      </c>
      <c r="Y13">
        <v>75.623999999999995</v>
      </c>
      <c r="Z13">
        <v>-2E-3</v>
      </c>
      <c r="AA13">
        <v>0</v>
      </c>
      <c r="AB13">
        <v>-0.11</v>
      </c>
      <c r="AC13">
        <v>6</v>
      </c>
      <c r="AD13">
        <v>9.7999999999999997E-3</v>
      </c>
      <c r="AE13">
        <v>-1.0499000000000001</v>
      </c>
      <c r="AF13">
        <v>0.57099999999999995</v>
      </c>
      <c r="AG13">
        <v>-5.1999999999999998E-3</v>
      </c>
      <c r="AH13">
        <v>-1.0499000000000001</v>
      </c>
      <c r="AI13">
        <v>1.0499000000000001</v>
      </c>
      <c r="AJ13">
        <v>0.57099999999999995</v>
      </c>
      <c r="AK13">
        <v>3.2000000000000002E-3</v>
      </c>
      <c r="AL13">
        <v>1.0499000000000001</v>
      </c>
      <c r="AM13">
        <v>-0.68100000000000005</v>
      </c>
      <c r="AN13">
        <v>128.98099999999999</v>
      </c>
      <c r="AO13">
        <v>4.0000000000000001E-3</v>
      </c>
      <c r="AP13">
        <v>-2.5000000000000001E-2</v>
      </c>
      <c r="AQ13">
        <v>-0.08</v>
      </c>
      <c r="AR13">
        <v>10</v>
      </c>
      <c r="AS13">
        <v>3.7000000000000002E-3</v>
      </c>
      <c r="AT13">
        <v>-2.4899999999999999E-2</v>
      </c>
      <c r="AU13">
        <v>-0.16900000000000001</v>
      </c>
      <c r="AV13">
        <v>3.7000000000000002E-3</v>
      </c>
      <c r="AW13">
        <v>-2.4899999999999999E-2</v>
      </c>
      <c r="AX13">
        <v>2.52E-2</v>
      </c>
      <c r="AY13">
        <v>-0.16900000000000001</v>
      </c>
      <c r="AZ13">
        <v>2.9999999999999997E-4</v>
      </c>
      <c r="BA13">
        <v>-1E-4</v>
      </c>
      <c r="BB13">
        <v>8.8999999999999996E-2</v>
      </c>
      <c r="BE13" t="s">
        <v>239</v>
      </c>
      <c r="BF13" s="12">
        <f>IF(sim_a[[#This Row],[final_trolley_dropoff_error_x]]="","",ABS(sim_a[[#This Row],[final_trolley_dropoff_error_x]])*1000)</f>
        <v>62</v>
      </c>
      <c r="BG13" s="12">
        <f>IF(sim_a[[#This Row],[final_trolley_dropoff_error_y]]="","",ABS(sim_a[[#This Row],[final_trolley_dropoff_error_y]])*1000)</f>
        <v>1378</v>
      </c>
      <c r="BH13" s="12">
        <f>IF(sim_a[[#This Row],[final_trolley_dropoff_error_dist]]="","",sim_a[[#This Row],[final_trolley_dropoff_error_dist]]*1000)</f>
        <v>1379.3999999999999</v>
      </c>
      <c r="BI13" s="12">
        <f>IF(sim_a[[#This Row],[final_robot_charging_error_x]]="","",ABS(sim_a[[#This Row],[final_robot_charging_error_x]])*1000)</f>
        <v>5161.8</v>
      </c>
      <c r="BJ13" s="12">
        <f>IF(sim_a[[#This Row],[final_robot_charging_error_y]]="","",ABS(sim_a[[#This Row],[final_robot_charging_error_y]])*1000)</f>
        <v>1369.6999999999998</v>
      </c>
      <c r="BK13" s="12">
        <f>IF(sim_a[[#This Row],[final_robot_charging_error_dist]]="","",sim_a[[#This Row],[final_robot_charging_error_dist]]*1000)</f>
        <v>5340.4</v>
      </c>
      <c r="BL13" s="12">
        <f>IF(sim_a[[#This Row],[side_align_aruco_est_error_x]]="","",ABS(sim_a[[#This Row],[side_align_aruco_est_error_x]])*1000)</f>
        <v>2</v>
      </c>
      <c r="BM13" s="12">
        <f>IF(sim_a[[#This Row],[side_align_aruco_est_error_y]]="","",ABS(sim_a[[#This Row],[side_align_aruco_est_error_y]])*1000)</f>
        <v>0</v>
      </c>
      <c r="BN13" s="12">
        <f>IF(sim_a[[#This Row],[side_align_aruco_est_yaw_error_deg]]="","",ABS(sim_a[[#This Row],[side_align_aruco_est_yaw_error_deg]]))</f>
        <v>0.11</v>
      </c>
      <c r="BO13" s="12">
        <f>IF(sim_a[[#This Row],[side_align_actual_aruco_error_x]]="","",ABS(sim_a[[#This Row],[side_align_actual_aruco_error_x]])*1000)</f>
        <v>5.2</v>
      </c>
      <c r="BP13" s="12">
        <f>IF(sim_a[[#This Row],[side_align_actual_aruco_error_y]]="","",ABS(sim_a[[#This Row],[side_align_actual_aruco_error_y]])*1000)</f>
        <v>1049.9000000000001</v>
      </c>
      <c r="BQ13" s="12">
        <f>IF(sim_a[[#This Row],[side_align_actual_aruco_yaw_error_deg]]="","",ABS(sim_a[[#This Row],[side_align_actual_aruco_yaw_error_deg]]))</f>
        <v>0.57099999999999995</v>
      </c>
      <c r="BR13" s="12">
        <f>IF(sim_a[[#This Row],[side_align_aruco_vs_actual_error_x]]="","",ABS(sim_a[[#This Row],[side_align_aruco_vs_actual_error_x]])*1000)</f>
        <v>3.2</v>
      </c>
      <c r="BS13" s="12">
        <f>IF(sim_a[[#This Row],[side_align_aruco_vs_actual_error_y]]="","",ABS(sim_a[[#This Row],[side_align_aruco_vs_actual_error_y]])*1000)</f>
        <v>1049.9000000000001</v>
      </c>
      <c r="BT13" s="12">
        <f>IF(sim_a[[#This Row],[side_align_aruco_vs_actual_yaw_error_deg]]="","",ABS(sim_a[[#This Row],[side_align_aruco_vs_actual_yaw_error_deg]]))</f>
        <v>0.68100000000000005</v>
      </c>
      <c r="BU13" s="12">
        <f>IF(sim_a[[#This Row],[fine_align_aruco_est_error_x]]="","",ABS(sim_a[[#This Row],[fine_align_aruco_est_error_x]])*1000)</f>
        <v>4</v>
      </c>
      <c r="BV13" s="12">
        <f>IF(sim_a[[#This Row],[fine_align_aruco_est_error_y]]="","",ABS(sim_a[[#This Row],[fine_align_aruco_est_error_y]])*1000)</f>
        <v>25</v>
      </c>
      <c r="BW13" s="12">
        <f>IF(sim_a[[#This Row],[fine_align_aruco_est_yaw_error_deg]]="","",ABS(sim_a[[#This Row],[fine_align_aruco_est_yaw_error_deg]]))</f>
        <v>0.08</v>
      </c>
      <c r="BX13" s="12">
        <f>IF(sim_a[[#This Row],[fine_align_actual_aruco_error_x]]="","",ABS(sim_a[[#This Row],[fine_align_actual_aruco_error_x]])*1000)</f>
        <v>3.7</v>
      </c>
      <c r="BY13" s="12">
        <f>IF(sim_a[[#This Row],[fine_align_actual_aruco_error_y]]="","",ABS(sim_a[[#This Row],[fine_align_actual_aruco_error_y]])*1000)</f>
        <v>24.9</v>
      </c>
      <c r="BZ13" s="12">
        <f>IF(sim_a[[#This Row],[fine_align_actual_aruco_yaw_error_deg]]="","",ABS(sim_a[[#This Row],[fine_align_actual_aruco_yaw_error_deg]]))</f>
        <v>0.16900000000000001</v>
      </c>
      <c r="CA13" s="12">
        <f>IF(sim_a[[#This Row],[fine_align_aruco_vs_actual_error_x]]="","",ABS(sim_a[[#This Row],[fine_align_aruco_vs_actual_error_x]])*1000)</f>
        <v>0.3</v>
      </c>
      <c r="CB13" s="12">
        <f>IF(sim_a[[#This Row],[fine_align_aruco_vs_actual_error_y]]="","",ABS(sim_a[[#This Row],[fine_align_aruco_vs_actual_error_y]])*1000)</f>
        <v>0.1</v>
      </c>
      <c r="CC13" s="12">
        <f>IF(sim_a[[#This Row],[fine_align_aruco_vs_actual_yaw_error_deg]]="","",ABS(sim_a[[#This Row],[fine_align_aruco_vs_actual_yaw_error_deg]]))</f>
        <v>8.8999999999999996E-2</v>
      </c>
    </row>
    <row r="14" spans="1:81" x14ac:dyDescent="0.25">
      <c r="A14" t="s">
        <v>98</v>
      </c>
      <c r="B14" t="b">
        <v>1</v>
      </c>
      <c r="E14">
        <v>259.62099999999998</v>
      </c>
      <c r="F14">
        <v>9.6839999999999993</v>
      </c>
      <c r="G14">
        <v>259.61900000000003</v>
      </c>
      <c r="H14">
        <v>12.35</v>
      </c>
      <c r="I14">
        <v>127.53100000000001</v>
      </c>
      <c r="J14">
        <v>192.50299999999999</v>
      </c>
      <c r="K14">
        <v>167.46899999999999</v>
      </c>
      <c r="L14">
        <v>258.61200000000002</v>
      </c>
      <c r="M14">
        <v>5.2072000000000003</v>
      </c>
      <c r="N14">
        <v>-8.9499999999999996E-2</v>
      </c>
      <c r="O14">
        <v>9.1519999999999992</v>
      </c>
      <c r="P14">
        <v>2.0000000000000001E-4</v>
      </c>
      <c r="Q14">
        <v>9.7500000000000003E-2</v>
      </c>
      <c r="R14">
        <v>-5.6000000000000001E-2</v>
      </c>
      <c r="S14">
        <v>7.1999999999999998E-3</v>
      </c>
      <c r="T14">
        <v>-8.9499999999999996E-2</v>
      </c>
      <c r="U14">
        <v>8.9700000000000002E-2</v>
      </c>
      <c r="V14">
        <v>2.0000000000000001E-4</v>
      </c>
      <c r="W14">
        <v>9.7500000000000003E-2</v>
      </c>
      <c r="X14">
        <v>9.7500000000000003E-2</v>
      </c>
      <c r="Y14">
        <v>77.412000000000006</v>
      </c>
      <c r="Z14">
        <v>6.0000000000000001E-3</v>
      </c>
      <c r="AA14">
        <v>0</v>
      </c>
      <c r="AB14">
        <v>-0.09</v>
      </c>
      <c r="AC14">
        <v>6</v>
      </c>
      <c r="AD14">
        <v>1.7000000000000001E-2</v>
      </c>
      <c r="AE14">
        <v>-1.0529999999999999</v>
      </c>
      <c r="AF14">
        <v>0.66900000000000004</v>
      </c>
      <c r="AG14">
        <v>2E-3</v>
      </c>
      <c r="AH14">
        <v>-1.0529999999999999</v>
      </c>
      <c r="AI14">
        <v>1.0529999999999999</v>
      </c>
      <c r="AJ14">
        <v>0.66900000000000004</v>
      </c>
      <c r="AK14">
        <v>4.0000000000000001E-3</v>
      </c>
      <c r="AL14">
        <v>1.0529999999999999</v>
      </c>
      <c r="AM14">
        <v>-0.75900000000000001</v>
      </c>
      <c r="AN14">
        <v>127.529</v>
      </c>
      <c r="AO14">
        <v>8.0000000000000002E-3</v>
      </c>
      <c r="AP14">
        <v>-2.5000000000000001E-2</v>
      </c>
      <c r="AQ14">
        <v>-0.01</v>
      </c>
      <c r="AR14">
        <v>11</v>
      </c>
      <c r="AS14">
        <v>7.7999999999999996E-3</v>
      </c>
      <c r="AT14">
        <v>-2.4799999999999999E-2</v>
      </c>
      <c r="AU14">
        <v>-7.3999999999999996E-2</v>
      </c>
      <c r="AV14">
        <v>7.7999999999999996E-3</v>
      </c>
      <c r="AW14">
        <v>-2.4799999999999999E-2</v>
      </c>
      <c r="AX14">
        <v>2.5999999999999999E-2</v>
      </c>
      <c r="AY14">
        <v>-7.3999999999999996E-2</v>
      </c>
      <c r="AZ14">
        <v>2.0000000000000001E-4</v>
      </c>
      <c r="BA14">
        <v>-2.0000000000000001E-4</v>
      </c>
      <c r="BB14">
        <v>6.4000000000000001E-2</v>
      </c>
      <c r="BE14" t="s">
        <v>240</v>
      </c>
      <c r="BF14" s="12">
        <f>IF(sim_a[[#This Row],[final_trolley_dropoff_error_x]]="","",ABS(sim_a[[#This Row],[final_trolley_dropoff_error_x]])*1000)</f>
        <v>7.2</v>
      </c>
      <c r="BG14" s="12">
        <f>IF(sim_a[[#This Row],[final_trolley_dropoff_error_y]]="","",ABS(sim_a[[#This Row],[final_trolley_dropoff_error_y]])*1000)</f>
        <v>89.5</v>
      </c>
      <c r="BH14" s="12">
        <f>IF(sim_a[[#This Row],[final_trolley_dropoff_error_dist]]="","",sim_a[[#This Row],[final_trolley_dropoff_error_dist]]*1000)</f>
        <v>89.7</v>
      </c>
      <c r="BI14" s="12">
        <f>IF(sim_a[[#This Row],[final_robot_charging_error_x]]="","",ABS(sim_a[[#This Row],[final_robot_charging_error_x]])*1000)</f>
        <v>0.2</v>
      </c>
      <c r="BJ14" s="12">
        <f>IF(sim_a[[#This Row],[final_robot_charging_error_y]]="","",ABS(sim_a[[#This Row],[final_robot_charging_error_y]])*1000)</f>
        <v>97.5</v>
      </c>
      <c r="BK14" s="12">
        <f>IF(sim_a[[#This Row],[final_robot_charging_error_dist]]="","",sim_a[[#This Row],[final_robot_charging_error_dist]]*1000)</f>
        <v>97.5</v>
      </c>
      <c r="BL14" s="12">
        <f>IF(sim_a[[#This Row],[side_align_aruco_est_error_x]]="","",ABS(sim_a[[#This Row],[side_align_aruco_est_error_x]])*1000)</f>
        <v>6</v>
      </c>
      <c r="BM14" s="12">
        <f>IF(sim_a[[#This Row],[side_align_aruco_est_error_y]]="","",ABS(sim_a[[#This Row],[side_align_aruco_est_error_y]])*1000)</f>
        <v>0</v>
      </c>
      <c r="BN14" s="12">
        <f>IF(sim_a[[#This Row],[side_align_aruco_est_yaw_error_deg]]="","",ABS(sim_a[[#This Row],[side_align_aruco_est_yaw_error_deg]]))</f>
        <v>0.09</v>
      </c>
      <c r="BO14" s="12">
        <f>IF(sim_a[[#This Row],[side_align_actual_aruco_error_x]]="","",ABS(sim_a[[#This Row],[side_align_actual_aruco_error_x]])*1000)</f>
        <v>2</v>
      </c>
      <c r="BP14" s="12">
        <f>IF(sim_a[[#This Row],[side_align_actual_aruco_error_y]]="","",ABS(sim_a[[#This Row],[side_align_actual_aruco_error_y]])*1000)</f>
        <v>1053</v>
      </c>
      <c r="BQ14" s="12">
        <f>IF(sim_a[[#This Row],[side_align_actual_aruco_yaw_error_deg]]="","",ABS(sim_a[[#This Row],[side_align_actual_aruco_yaw_error_deg]]))</f>
        <v>0.66900000000000004</v>
      </c>
      <c r="BR14" s="12">
        <f>IF(sim_a[[#This Row],[side_align_aruco_vs_actual_error_x]]="","",ABS(sim_a[[#This Row],[side_align_aruco_vs_actual_error_x]])*1000)</f>
        <v>4</v>
      </c>
      <c r="BS14" s="12">
        <f>IF(sim_a[[#This Row],[side_align_aruco_vs_actual_error_y]]="","",ABS(sim_a[[#This Row],[side_align_aruco_vs_actual_error_y]])*1000)</f>
        <v>1053</v>
      </c>
      <c r="BT14" s="12">
        <f>IF(sim_a[[#This Row],[side_align_aruco_vs_actual_yaw_error_deg]]="","",ABS(sim_a[[#This Row],[side_align_aruco_vs_actual_yaw_error_deg]]))</f>
        <v>0.75900000000000001</v>
      </c>
      <c r="BU14" s="12">
        <f>IF(sim_a[[#This Row],[fine_align_aruco_est_error_x]]="","",ABS(sim_a[[#This Row],[fine_align_aruco_est_error_x]])*1000)</f>
        <v>8</v>
      </c>
      <c r="BV14" s="12">
        <f>IF(sim_a[[#This Row],[fine_align_aruco_est_error_y]]="","",ABS(sim_a[[#This Row],[fine_align_aruco_est_error_y]])*1000)</f>
        <v>25</v>
      </c>
      <c r="BW14" s="12">
        <f>IF(sim_a[[#This Row],[fine_align_aruco_est_yaw_error_deg]]="","",ABS(sim_a[[#This Row],[fine_align_aruco_est_yaw_error_deg]]))</f>
        <v>0.01</v>
      </c>
      <c r="BX14" s="12">
        <f>IF(sim_a[[#This Row],[fine_align_actual_aruco_error_x]]="","",ABS(sim_a[[#This Row],[fine_align_actual_aruco_error_x]])*1000)</f>
        <v>7.8</v>
      </c>
      <c r="BY14" s="12">
        <f>IF(sim_a[[#This Row],[fine_align_actual_aruco_error_y]]="","",ABS(sim_a[[#This Row],[fine_align_actual_aruco_error_y]])*1000)</f>
        <v>24.8</v>
      </c>
      <c r="BZ14" s="12">
        <f>IF(sim_a[[#This Row],[fine_align_actual_aruco_yaw_error_deg]]="","",ABS(sim_a[[#This Row],[fine_align_actual_aruco_yaw_error_deg]]))</f>
        <v>7.3999999999999996E-2</v>
      </c>
      <c r="CA14" s="12">
        <f>IF(sim_a[[#This Row],[fine_align_aruco_vs_actual_error_x]]="","",ABS(sim_a[[#This Row],[fine_align_aruco_vs_actual_error_x]])*1000)</f>
        <v>0.2</v>
      </c>
      <c r="CB14" s="12">
        <f>IF(sim_a[[#This Row],[fine_align_aruco_vs_actual_error_y]]="","",ABS(sim_a[[#This Row],[fine_align_aruco_vs_actual_error_y]])*1000)</f>
        <v>0.2</v>
      </c>
      <c r="CC14" s="12">
        <f>IF(sim_a[[#This Row],[fine_align_aruco_vs_actual_yaw_error_deg]]="","",ABS(sim_a[[#This Row],[fine_align_aruco_vs_actual_yaw_error_deg]]))</f>
        <v>6.4000000000000001E-2</v>
      </c>
    </row>
    <row r="15" spans="1:81" x14ac:dyDescent="0.25">
      <c r="A15" t="s">
        <v>99</v>
      </c>
      <c r="B15" t="b">
        <v>1</v>
      </c>
      <c r="E15">
        <v>254.851</v>
      </c>
      <c r="F15">
        <v>9.9359999999999999</v>
      </c>
      <c r="G15">
        <v>254.84899999999999</v>
      </c>
      <c r="H15">
        <v>12.103999999999999</v>
      </c>
      <c r="I15">
        <v>123.697</v>
      </c>
      <c r="J15">
        <v>188.06399999999999</v>
      </c>
      <c r="K15">
        <v>162.68100000000001</v>
      </c>
      <c r="L15">
        <v>253.84299999999999</v>
      </c>
      <c r="M15">
        <v>5.1970000000000001</v>
      </c>
      <c r="N15">
        <v>-0.16120000000000001</v>
      </c>
      <c r="O15">
        <v>8.8999999999999996E-2</v>
      </c>
      <c r="P15">
        <v>-1.1999999999999999E-3</v>
      </c>
      <c r="Q15">
        <v>9.8400000000000001E-2</v>
      </c>
      <c r="R15">
        <v>0.33700000000000002</v>
      </c>
      <c r="S15">
        <v>-3.0000000000000001E-3</v>
      </c>
      <c r="T15">
        <v>-0.16120000000000001</v>
      </c>
      <c r="U15">
        <v>0.16120000000000001</v>
      </c>
      <c r="V15">
        <v>-1.1999999999999999E-3</v>
      </c>
      <c r="W15">
        <v>9.8400000000000001E-2</v>
      </c>
      <c r="X15">
        <v>9.8400000000000001E-2</v>
      </c>
      <c r="Y15">
        <v>73.881</v>
      </c>
      <c r="Z15">
        <v>7.0000000000000001E-3</v>
      </c>
      <c r="AA15">
        <v>0</v>
      </c>
      <c r="AB15">
        <v>-0.09</v>
      </c>
      <c r="AC15">
        <v>6</v>
      </c>
      <c r="AD15">
        <v>1.9E-2</v>
      </c>
      <c r="AE15">
        <v>-1.0619000000000001</v>
      </c>
      <c r="AF15">
        <v>1.696</v>
      </c>
      <c r="AG15">
        <v>4.0000000000000001E-3</v>
      </c>
      <c r="AH15">
        <v>-1.0619000000000001</v>
      </c>
      <c r="AI15">
        <v>1.0619000000000001</v>
      </c>
      <c r="AJ15">
        <v>1.696</v>
      </c>
      <c r="AK15">
        <v>3.0000000000000001E-3</v>
      </c>
      <c r="AL15">
        <v>1.0619000000000001</v>
      </c>
      <c r="AM15">
        <v>-1.786</v>
      </c>
      <c r="AN15">
        <v>123.645</v>
      </c>
      <c r="AO15">
        <v>-6.0000000000000001E-3</v>
      </c>
      <c r="AP15">
        <v>-2.5000000000000001E-2</v>
      </c>
      <c r="AQ15">
        <v>-0.18</v>
      </c>
      <c r="AR15">
        <v>11</v>
      </c>
      <c r="AS15">
        <v>-6.6E-3</v>
      </c>
      <c r="AT15">
        <v>-2.47E-2</v>
      </c>
      <c r="AU15">
        <v>-0.255</v>
      </c>
      <c r="AV15">
        <v>-6.6E-3</v>
      </c>
      <c r="AW15">
        <v>-2.47E-2</v>
      </c>
      <c r="AX15">
        <v>2.5600000000000001E-2</v>
      </c>
      <c r="AY15">
        <v>-0.255</v>
      </c>
      <c r="AZ15">
        <v>5.9999999999999995E-4</v>
      </c>
      <c r="BA15">
        <v>-2.9999999999999997E-4</v>
      </c>
      <c r="BB15">
        <v>7.4999999999999997E-2</v>
      </c>
      <c r="BE15" t="s">
        <v>241</v>
      </c>
      <c r="BF15" s="12">
        <f>IF(sim_a[[#This Row],[final_trolley_dropoff_error_x]]="","",ABS(sim_a[[#This Row],[final_trolley_dropoff_error_x]])*1000)</f>
        <v>3</v>
      </c>
      <c r="BG15" s="12">
        <f>IF(sim_a[[#This Row],[final_trolley_dropoff_error_y]]="","",ABS(sim_a[[#This Row],[final_trolley_dropoff_error_y]])*1000)</f>
        <v>161.20000000000002</v>
      </c>
      <c r="BH15" s="12">
        <f>IF(sim_a[[#This Row],[final_trolley_dropoff_error_dist]]="","",sim_a[[#This Row],[final_trolley_dropoff_error_dist]]*1000)</f>
        <v>161.20000000000002</v>
      </c>
      <c r="BI15" s="12">
        <f>IF(sim_a[[#This Row],[final_robot_charging_error_x]]="","",ABS(sim_a[[#This Row],[final_robot_charging_error_x]])*1000)</f>
        <v>1.2</v>
      </c>
      <c r="BJ15" s="12">
        <f>IF(sim_a[[#This Row],[final_robot_charging_error_y]]="","",ABS(sim_a[[#This Row],[final_robot_charging_error_y]])*1000)</f>
        <v>98.4</v>
      </c>
      <c r="BK15" s="12">
        <f>IF(sim_a[[#This Row],[final_robot_charging_error_dist]]="","",sim_a[[#This Row],[final_robot_charging_error_dist]]*1000)</f>
        <v>98.4</v>
      </c>
      <c r="BL15" s="12">
        <f>IF(sim_a[[#This Row],[side_align_aruco_est_error_x]]="","",ABS(sim_a[[#This Row],[side_align_aruco_est_error_x]])*1000)</f>
        <v>7</v>
      </c>
      <c r="BM15" s="12">
        <f>IF(sim_a[[#This Row],[side_align_aruco_est_error_y]]="","",ABS(sim_a[[#This Row],[side_align_aruco_est_error_y]])*1000)</f>
        <v>0</v>
      </c>
      <c r="BN15" s="12">
        <f>IF(sim_a[[#This Row],[side_align_aruco_est_yaw_error_deg]]="","",ABS(sim_a[[#This Row],[side_align_aruco_est_yaw_error_deg]]))</f>
        <v>0.09</v>
      </c>
      <c r="BO15" s="12">
        <f>IF(sim_a[[#This Row],[side_align_actual_aruco_error_x]]="","",ABS(sim_a[[#This Row],[side_align_actual_aruco_error_x]])*1000)</f>
        <v>4</v>
      </c>
      <c r="BP15" s="12">
        <f>IF(sim_a[[#This Row],[side_align_actual_aruco_error_y]]="","",ABS(sim_a[[#This Row],[side_align_actual_aruco_error_y]])*1000)</f>
        <v>1061.9000000000001</v>
      </c>
      <c r="BQ15" s="12">
        <f>IF(sim_a[[#This Row],[side_align_actual_aruco_yaw_error_deg]]="","",ABS(sim_a[[#This Row],[side_align_actual_aruco_yaw_error_deg]]))</f>
        <v>1.696</v>
      </c>
      <c r="BR15" s="12">
        <f>IF(sim_a[[#This Row],[side_align_aruco_vs_actual_error_x]]="","",ABS(sim_a[[#This Row],[side_align_aruco_vs_actual_error_x]])*1000)</f>
        <v>3</v>
      </c>
      <c r="BS15" s="12">
        <f>IF(sim_a[[#This Row],[side_align_aruco_vs_actual_error_y]]="","",ABS(sim_a[[#This Row],[side_align_aruco_vs_actual_error_y]])*1000)</f>
        <v>1061.9000000000001</v>
      </c>
      <c r="BT15" s="12">
        <f>IF(sim_a[[#This Row],[side_align_aruco_vs_actual_yaw_error_deg]]="","",ABS(sim_a[[#This Row],[side_align_aruco_vs_actual_yaw_error_deg]]))</f>
        <v>1.786</v>
      </c>
      <c r="BU15" s="12">
        <f>IF(sim_a[[#This Row],[fine_align_aruco_est_error_x]]="","",ABS(sim_a[[#This Row],[fine_align_aruco_est_error_x]])*1000)</f>
        <v>6</v>
      </c>
      <c r="BV15" s="12">
        <f>IF(sim_a[[#This Row],[fine_align_aruco_est_error_y]]="","",ABS(sim_a[[#This Row],[fine_align_aruco_est_error_y]])*1000)</f>
        <v>25</v>
      </c>
      <c r="BW15" s="12">
        <f>IF(sim_a[[#This Row],[fine_align_aruco_est_yaw_error_deg]]="","",ABS(sim_a[[#This Row],[fine_align_aruco_est_yaw_error_deg]]))</f>
        <v>0.18</v>
      </c>
      <c r="BX15" s="12">
        <f>IF(sim_a[[#This Row],[fine_align_actual_aruco_error_x]]="","",ABS(sim_a[[#This Row],[fine_align_actual_aruco_error_x]])*1000)</f>
        <v>6.6</v>
      </c>
      <c r="BY15" s="12">
        <f>IF(sim_a[[#This Row],[fine_align_actual_aruco_error_y]]="","",ABS(sim_a[[#This Row],[fine_align_actual_aruco_error_y]])*1000)</f>
        <v>24.7</v>
      </c>
      <c r="BZ15" s="12">
        <f>IF(sim_a[[#This Row],[fine_align_actual_aruco_yaw_error_deg]]="","",ABS(sim_a[[#This Row],[fine_align_actual_aruco_yaw_error_deg]]))</f>
        <v>0.255</v>
      </c>
      <c r="CA15" s="12">
        <f>IF(sim_a[[#This Row],[fine_align_aruco_vs_actual_error_x]]="","",ABS(sim_a[[#This Row],[fine_align_aruco_vs_actual_error_x]])*1000)</f>
        <v>0.6</v>
      </c>
      <c r="CB15" s="12">
        <f>IF(sim_a[[#This Row],[fine_align_aruco_vs_actual_error_y]]="","",ABS(sim_a[[#This Row],[fine_align_aruco_vs_actual_error_y]])*1000)</f>
        <v>0.3</v>
      </c>
      <c r="CC15" s="12">
        <f>IF(sim_a[[#This Row],[fine_align_aruco_vs_actual_yaw_error_deg]]="","",ABS(sim_a[[#This Row],[fine_align_aruco_vs_actual_yaw_error_deg]]))</f>
        <v>7.4999999999999997E-2</v>
      </c>
    </row>
    <row r="16" spans="1:81" x14ac:dyDescent="0.25">
      <c r="A16" t="s">
        <v>100</v>
      </c>
      <c r="B16" t="b">
        <v>0</v>
      </c>
      <c r="C16" t="s">
        <v>242</v>
      </c>
      <c r="D16" t="s">
        <v>243</v>
      </c>
      <c r="E16">
        <v>154.221</v>
      </c>
      <c r="F16">
        <v>9.9469999999999992</v>
      </c>
      <c r="H16">
        <v>12.614000000000001</v>
      </c>
      <c r="M16">
        <v>2.4849000000000001</v>
      </c>
      <c r="N16">
        <v>-7.7899999999999997E-2</v>
      </c>
      <c r="O16">
        <v>-0.30499999999999999</v>
      </c>
      <c r="P16">
        <v>2.3652000000000002</v>
      </c>
      <c r="Q16">
        <v>1.3196000000000001</v>
      </c>
      <c r="R16">
        <v>-0.126</v>
      </c>
      <c r="S16">
        <v>-2.7151000000000001</v>
      </c>
      <c r="T16">
        <v>-7.7899999999999997E-2</v>
      </c>
      <c r="U16">
        <v>2.7162000000000002</v>
      </c>
      <c r="V16">
        <v>2.3652000000000002</v>
      </c>
      <c r="W16">
        <v>1.3196000000000001</v>
      </c>
      <c r="X16">
        <v>2.7084000000000001</v>
      </c>
      <c r="BE16" t="s">
        <v>244</v>
      </c>
      <c r="BF16" s="12">
        <f>IF(sim_a[[#This Row],[final_trolley_dropoff_error_x]]="","",ABS(sim_a[[#This Row],[final_trolley_dropoff_error_x]])*1000)</f>
        <v>2715.1</v>
      </c>
      <c r="BG16" s="12">
        <f>IF(sim_a[[#This Row],[final_trolley_dropoff_error_y]]="","",ABS(sim_a[[#This Row],[final_trolley_dropoff_error_y]])*1000)</f>
        <v>77.899999999999991</v>
      </c>
      <c r="BH16" s="12">
        <f>IF(sim_a[[#This Row],[final_trolley_dropoff_error_dist]]="","",sim_a[[#This Row],[final_trolley_dropoff_error_dist]]*1000)</f>
        <v>2716.2000000000003</v>
      </c>
      <c r="BI16" s="12">
        <f>IF(sim_a[[#This Row],[final_robot_charging_error_x]]="","",ABS(sim_a[[#This Row],[final_robot_charging_error_x]])*1000)</f>
        <v>2365.2000000000003</v>
      </c>
      <c r="BJ16" s="12">
        <f>IF(sim_a[[#This Row],[final_robot_charging_error_y]]="","",ABS(sim_a[[#This Row],[final_robot_charging_error_y]])*1000)</f>
        <v>1319.6000000000001</v>
      </c>
      <c r="BK16" s="12">
        <f>IF(sim_a[[#This Row],[final_robot_charging_error_dist]]="","",sim_a[[#This Row],[final_robot_charging_error_dist]]*1000)</f>
        <v>2708.4</v>
      </c>
      <c r="BL16" s="12" t="str">
        <f>IF(sim_a[[#This Row],[side_align_aruco_est_error_x]]="","",ABS(sim_a[[#This Row],[side_align_aruco_est_error_x]])*1000)</f>
        <v/>
      </c>
      <c r="BM16" s="12" t="str">
        <f>IF(sim_a[[#This Row],[side_align_aruco_est_error_y]]="","",ABS(sim_a[[#This Row],[side_align_aruco_est_error_y]])*1000)</f>
        <v/>
      </c>
      <c r="BN16" s="12" t="str">
        <f>IF(sim_a[[#This Row],[side_align_aruco_est_yaw_error_deg]]="","",ABS(sim_a[[#This Row],[side_align_aruco_est_yaw_error_deg]]))</f>
        <v/>
      </c>
      <c r="BO16" s="12" t="str">
        <f>IF(sim_a[[#This Row],[side_align_actual_aruco_error_x]]="","",ABS(sim_a[[#This Row],[side_align_actual_aruco_error_x]])*1000)</f>
        <v/>
      </c>
      <c r="BP16" s="12" t="str">
        <f>IF(sim_a[[#This Row],[side_align_actual_aruco_error_y]]="","",ABS(sim_a[[#This Row],[side_align_actual_aruco_error_y]])*1000)</f>
        <v/>
      </c>
      <c r="BQ16" s="12" t="str">
        <f>IF(sim_a[[#This Row],[side_align_actual_aruco_yaw_error_deg]]="","",ABS(sim_a[[#This Row],[side_align_actual_aruco_yaw_error_deg]]))</f>
        <v/>
      </c>
      <c r="BR16" s="12" t="str">
        <f>IF(sim_a[[#This Row],[side_align_aruco_vs_actual_error_x]]="","",ABS(sim_a[[#This Row],[side_align_aruco_vs_actual_error_x]])*1000)</f>
        <v/>
      </c>
      <c r="BS16" s="12" t="str">
        <f>IF(sim_a[[#This Row],[side_align_aruco_vs_actual_error_y]]="","",ABS(sim_a[[#This Row],[side_align_aruco_vs_actual_error_y]])*1000)</f>
        <v/>
      </c>
      <c r="BT16" s="12" t="str">
        <f>IF(sim_a[[#This Row],[side_align_aruco_vs_actual_yaw_error_deg]]="","",ABS(sim_a[[#This Row],[side_align_aruco_vs_actual_yaw_error_deg]]))</f>
        <v/>
      </c>
      <c r="BU16" s="12" t="str">
        <f>IF(sim_a[[#This Row],[fine_align_aruco_est_error_x]]="","",ABS(sim_a[[#This Row],[fine_align_aruco_est_error_x]])*1000)</f>
        <v/>
      </c>
      <c r="BV16" s="12" t="str">
        <f>IF(sim_a[[#This Row],[fine_align_aruco_est_error_y]]="","",ABS(sim_a[[#This Row],[fine_align_aruco_est_error_y]])*1000)</f>
        <v/>
      </c>
      <c r="BW16" s="12" t="str">
        <f>IF(sim_a[[#This Row],[fine_align_aruco_est_yaw_error_deg]]="","",ABS(sim_a[[#This Row],[fine_align_aruco_est_yaw_error_deg]]))</f>
        <v/>
      </c>
      <c r="BX16" s="12" t="str">
        <f>IF(sim_a[[#This Row],[fine_align_actual_aruco_error_x]]="","",ABS(sim_a[[#This Row],[fine_align_actual_aruco_error_x]])*1000)</f>
        <v/>
      </c>
      <c r="BY16" s="12" t="str">
        <f>IF(sim_a[[#This Row],[fine_align_actual_aruco_error_y]]="","",ABS(sim_a[[#This Row],[fine_align_actual_aruco_error_y]])*1000)</f>
        <v/>
      </c>
      <c r="BZ16" s="12" t="str">
        <f>IF(sim_a[[#This Row],[fine_align_actual_aruco_yaw_error_deg]]="","",ABS(sim_a[[#This Row],[fine_align_actual_aruco_yaw_error_deg]]))</f>
        <v/>
      </c>
      <c r="CA16" s="12" t="str">
        <f>IF(sim_a[[#This Row],[fine_align_aruco_vs_actual_error_x]]="","",ABS(sim_a[[#This Row],[fine_align_aruco_vs_actual_error_x]])*1000)</f>
        <v/>
      </c>
      <c r="CB16" s="12" t="str">
        <f>IF(sim_a[[#This Row],[fine_align_aruco_vs_actual_error_y]]="","",ABS(sim_a[[#This Row],[fine_align_aruco_vs_actual_error_y]])*1000)</f>
        <v/>
      </c>
      <c r="CC16" s="12" t="str">
        <f>IF(sim_a[[#This Row],[fine_align_aruco_vs_actual_yaw_error_deg]]="","",ABS(sim_a[[#This Row],[fine_align_aruco_vs_actual_yaw_error_deg]]))</f>
        <v/>
      </c>
    </row>
    <row r="17" spans="1:81" x14ac:dyDescent="0.25">
      <c r="A17" t="s">
        <v>101</v>
      </c>
      <c r="B17" t="b">
        <v>1</v>
      </c>
      <c r="E17">
        <v>267.32600000000002</v>
      </c>
      <c r="F17">
        <v>9.8350000000000009</v>
      </c>
      <c r="G17">
        <v>267.32400000000001</v>
      </c>
      <c r="H17">
        <v>13.505000000000001</v>
      </c>
      <c r="I17">
        <v>130.345</v>
      </c>
      <c r="J17">
        <v>200.40899999999999</v>
      </c>
      <c r="K17">
        <v>170.62700000000001</v>
      </c>
      <c r="L17">
        <v>266.31700000000001</v>
      </c>
      <c r="M17">
        <v>5.2035999999999998</v>
      </c>
      <c r="N17">
        <v>-3.8199999999999998E-2</v>
      </c>
      <c r="O17">
        <v>-2.7349999999999999</v>
      </c>
      <c r="P17">
        <v>-5.0000000000000001E-4</v>
      </c>
      <c r="Q17">
        <v>9.5799999999999996E-2</v>
      </c>
      <c r="R17">
        <v>0.01</v>
      </c>
      <c r="S17">
        <v>3.5999999999999999E-3</v>
      </c>
      <c r="T17">
        <v>-3.8199999999999998E-2</v>
      </c>
      <c r="U17">
        <v>3.8399999999999997E-2</v>
      </c>
      <c r="V17">
        <v>-5.0000000000000001E-4</v>
      </c>
      <c r="W17">
        <v>9.5799999999999996E-2</v>
      </c>
      <c r="X17">
        <v>9.5799999999999996E-2</v>
      </c>
      <c r="Y17">
        <v>79.768000000000001</v>
      </c>
      <c r="Z17">
        <v>-5.0000000000000001E-3</v>
      </c>
      <c r="AA17">
        <v>0</v>
      </c>
      <c r="AB17">
        <v>0.5</v>
      </c>
      <c r="AC17">
        <v>6</v>
      </c>
      <c r="AD17">
        <v>1.14E-2</v>
      </c>
      <c r="AE17">
        <v>-1.0548999999999999</v>
      </c>
      <c r="AF17">
        <v>1.585</v>
      </c>
      <c r="AG17">
        <v>-3.5999999999999999E-3</v>
      </c>
      <c r="AH17">
        <v>-1.0548999999999999</v>
      </c>
      <c r="AI17">
        <v>1.0548999999999999</v>
      </c>
      <c r="AJ17">
        <v>1.585</v>
      </c>
      <c r="AK17">
        <v>-1.4E-3</v>
      </c>
      <c r="AL17">
        <v>1.0548999999999999</v>
      </c>
      <c r="AM17">
        <v>-1.085</v>
      </c>
      <c r="AN17">
        <v>130.34299999999999</v>
      </c>
      <c r="AO17">
        <v>-2E-3</v>
      </c>
      <c r="AP17">
        <v>-2.5000000000000001E-2</v>
      </c>
      <c r="AQ17">
        <v>-0.04</v>
      </c>
      <c r="AR17">
        <v>10</v>
      </c>
      <c r="AS17">
        <v>-1.6999999999999999E-3</v>
      </c>
      <c r="AT17">
        <v>-2.4899999999999999E-2</v>
      </c>
      <c r="AU17">
        <v>-0.14099999999999999</v>
      </c>
      <c r="AV17">
        <v>-1.6999999999999999E-3</v>
      </c>
      <c r="AW17">
        <v>-2.4899999999999999E-2</v>
      </c>
      <c r="AX17">
        <v>2.5000000000000001E-2</v>
      </c>
      <c r="AY17">
        <v>-0.14099999999999999</v>
      </c>
      <c r="AZ17">
        <v>-2.9999999999999997E-4</v>
      </c>
      <c r="BA17">
        <v>-1E-4</v>
      </c>
      <c r="BB17">
        <v>0.10100000000000001</v>
      </c>
      <c r="BE17" t="s">
        <v>245</v>
      </c>
      <c r="BF17" s="12">
        <f>IF(sim_a[[#This Row],[final_trolley_dropoff_error_x]]="","",ABS(sim_a[[#This Row],[final_trolley_dropoff_error_x]])*1000)</f>
        <v>3.6</v>
      </c>
      <c r="BG17" s="12">
        <f>IF(sim_a[[#This Row],[final_trolley_dropoff_error_y]]="","",ABS(sim_a[[#This Row],[final_trolley_dropoff_error_y]])*1000)</f>
        <v>38.199999999999996</v>
      </c>
      <c r="BH17" s="12">
        <f>IF(sim_a[[#This Row],[final_trolley_dropoff_error_dist]]="","",sim_a[[#This Row],[final_trolley_dropoff_error_dist]]*1000)</f>
        <v>38.4</v>
      </c>
      <c r="BI17" s="12">
        <f>IF(sim_a[[#This Row],[final_robot_charging_error_x]]="","",ABS(sim_a[[#This Row],[final_robot_charging_error_x]])*1000)</f>
        <v>0.5</v>
      </c>
      <c r="BJ17" s="12">
        <f>IF(sim_a[[#This Row],[final_robot_charging_error_y]]="","",ABS(sim_a[[#This Row],[final_robot_charging_error_y]])*1000)</f>
        <v>95.8</v>
      </c>
      <c r="BK17" s="12">
        <f>IF(sim_a[[#This Row],[final_robot_charging_error_dist]]="","",sim_a[[#This Row],[final_robot_charging_error_dist]]*1000)</f>
        <v>95.8</v>
      </c>
      <c r="BL17" s="12">
        <f>IF(sim_a[[#This Row],[side_align_aruco_est_error_x]]="","",ABS(sim_a[[#This Row],[side_align_aruco_est_error_x]])*1000)</f>
        <v>5</v>
      </c>
      <c r="BM17" s="12">
        <f>IF(sim_a[[#This Row],[side_align_aruco_est_error_y]]="","",ABS(sim_a[[#This Row],[side_align_aruco_est_error_y]])*1000)</f>
        <v>0</v>
      </c>
      <c r="BN17" s="12">
        <f>IF(sim_a[[#This Row],[side_align_aruco_est_yaw_error_deg]]="","",ABS(sim_a[[#This Row],[side_align_aruco_est_yaw_error_deg]]))</f>
        <v>0.5</v>
      </c>
      <c r="BO17" s="12">
        <f>IF(sim_a[[#This Row],[side_align_actual_aruco_error_x]]="","",ABS(sim_a[[#This Row],[side_align_actual_aruco_error_x]])*1000)</f>
        <v>3.6</v>
      </c>
      <c r="BP17" s="12">
        <f>IF(sim_a[[#This Row],[side_align_actual_aruco_error_y]]="","",ABS(sim_a[[#This Row],[side_align_actual_aruco_error_y]])*1000)</f>
        <v>1054.8999999999999</v>
      </c>
      <c r="BQ17" s="12">
        <f>IF(sim_a[[#This Row],[side_align_actual_aruco_yaw_error_deg]]="","",ABS(sim_a[[#This Row],[side_align_actual_aruco_yaw_error_deg]]))</f>
        <v>1.585</v>
      </c>
      <c r="BR17" s="12">
        <f>IF(sim_a[[#This Row],[side_align_aruco_vs_actual_error_x]]="","",ABS(sim_a[[#This Row],[side_align_aruco_vs_actual_error_x]])*1000)</f>
        <v>1.4</v>
      </c>
      <c r="BS17" s="12">
        <f>IF(sim_a[[#This Row],[side_align_aruco_vs_actual_error_y]]="","",ABS(sim_a[[#This Row],[side_align_aruco_vs_actual_error_y]])*1000)</f>
        <v>1054.8999999999999</v>
      </c>
      <c r="BT17" s="12">
        <f>IF(sim_a[[#This Row],[side_align_aruco_vs_actual_yaw_error_deg]]="","",ABS(sim_a[[#This Row],[side_align_aruco_vs_actual_yaw_error_deg]]))</f>
        <v>1.085</v>
      </c>
      <c r="BU17" s="12">
        <f>IF(sim_a[[#This Row],[fine_align_aruco_est_error_x]]="","",ABS(sim_a[[#This Row],[fine_align_aruco_est_error_x]])*1000)</f>
        <v>2</v>
      </c>
      <c r="BV17" s="12">
        <f>IF(sim_a[[#This Row],[fine_align_aruco_est_error_y]]="","",ABS(sim_a[[#This Row],[fine_align_aruco_est_error_y]])*1000)</f>
        <v>25</v>
      </c>
      <c r="BW17" s="12">
        <f>IF(sim_a[[#This Row],[fine_align_aruco_est_yaw_error_deg]]="","",ABS(sim_a[[#This Row],[fine_align_aruco_est_yaw_error_deg]]))</f>
        <v>0.04</v>
      </c>
      <c r="BX17" s="12">
        <f>IF(sim_a[[#This Row],[fine_align_actual_aruco_error_x]]="","",ABS(sim_a[[#This Row],[fine_align_actual_aruco_error_x]])*1000)</f>
        <v>1.7</v>
      </c>
      <c r="BY17" s="12">
        <f>IF(sim_a[[#This Row],[fine_align_actual_aruco_error_y]]="","",ABS(sim_a[[#This Row],[fine_align_actual_aruco_error_y]])*1000)</f>
        <v>24.9</v>
      </c>
      <c r="BZ17" s="12">
        <f>IF(sim_a[[#This Row],[fine_align_actual_aruco_yaw_error_deg]]="","",ABS(sim_a[[#This Row],[fine_align_actual_aruco_yaw_error_deg]]))</f>
        <v>0.14099999999999999</v>
      </c>
      <c r="CA17" s="12">
        <f>IF(sim_a[[#This Row],[fine_align_aruco_vs_actual_error_x]]="","",ABS(sim_a[[#This Row],[fine_align_aruco_vs_actual_error_x]])*1000)</f>
        <v>0.3</v>
      </c>
      <c r="CB17" s="12">
        <f>IF(sim_a[[#This Row],[fine_align_aruco_vs_actual_error_y]]="","",ABS(sim_a[[#This Row],[fine_align_aruco_vs_actual_error_y]])*1000)</f>
        <v>0.1</v>
      </c>
      <c r="CC17" s="12">
        <f>IF(sim_a[[#This Row],[fine_align_aruco_vs_actual_yaw_error_deg]]="","",ABS(sim_a[[#This Row],[fine_align_aruco_vs_actual_yaw_error_deg]]))</f>
        <v>0.10100000000000001</v>
      </c>
    </row>
    <row r="18" spans="1:81" x14ac:dyDescent="0.25">
      <c r="A18" t="s">
        <v>102</v>
      </c>
      <c r="B18" t="b">
        <v>1</v>
      </c>
      <c r="E18">
        <v>253.126</v>
      </c>
      <c r="F18">
        <v>9.7360000000000007</v>
      </c>
      <c r="G18">
        <v>253.12299999999999</v>
      </c>
      <c r="H18">
        <v>12.404</v>
      </c>
      <c r="I18">
        <v>120.14100000000001</v>
      </c>
      <c r="J18">
        <v>186.053</v>
      </c>
      <c r="K18">
        <v>159.96199999999999</v>
      </c>
      <c r="L18">
        <v>252.11600000000001</v>
      </c>
      <c r="M18">
        <v>5.1988000000000003</v>
      </c>
      <c r="N18">
        <v>-8.72E-2</v>
      </c>
      <c r="O18">
        <v>7.2190000000000003</v>
      </c>
      <c r="P18">
        <v>-1E-4</v>
      </c>
      <c r="Q18">
        <v>9.9099999999999994E-2</v>
      </c>
      <c r="R18">
        <v>1.2999999999999999E-2</v>
      </c>
      <c r="S18">
        <v>-1.1999999999999999E-3</v>
      </c>
      <c r="T18">
        <v>-8.72E-2</v>
      </c>
      <c r="U18">
        <v>8.7300000000000003E-2</v>
      </c>
      <c r="V18">
        <v>-1E-4</v>
      </c>
      <c r="W18">
        <v>9.9099999999999994E-2</v>
      </c>
      <c r="X18">
        <v>9.9099999999999994E-2</v>
      </c>
      <c r="Y18">
        <v>74.040000000000006</v>
      </c>
      <c r="Z18">
        <v>7.0000000000000001E-3</v>
      </c>
      <c r="AA18">
        <v>0</v>
      </c>
      <c r="AB18">
        <v>-0.03</v>
      </c>
      <c r="AC18">
        <v>6</v>
      </c>
      <c r="AD18">
        <v>1.6400000000000001E-2</v>
      </c>
      <c r="AE18">
        <v>-1.0567</v>
      </c>
      <c r="AF18">
        <v>0.39400000000000002</v>
      </c>
      <c r="AG18">
        <v>1.4E-3</v>
      </c>
      <c r="AH18">
        <v>-1.0567</v>
      </c>
      <c r="AI18">
        <v>1.0567</v>
      </c>
      <c r="AJ18">
        <v>0.39400000000000002</v>
      </c>
      <c r="AK18">
        <v>5.5999999999999999E-3</v>
      </c>
      <c r="AL18">
        <v>1.0567</v>
      </c>
      <c r="AM18">
        <v>-0.42399999999999999</v>
      </c>
      <c r="AN18">
        <v>120.089</v>
      </c>
      <c r="AO18">
        <v>-3.0000000000000001E-3</v>
      </c>
      <c r="AP18">
        <v>-2.5000000000000001E-2</v>
      </c>
      <c r="AQ18">
        <v>-0.23</v>
      </c>
      <c r="AR18">
        <v>11</v>
      </c>
      <c r="AS18">
        <v>-3.5999999999999999E-3</v>
      </c>
      <c r="AT18">
        <v>-2.4799999999999999E-2</v>
      </c>
      <c r="AU18">
        <v>-0.28399999999999997</v>
      </c>
      <c r="AV18">
        <v>-3.5999999999999999E-3</v>
      </c>
      <c r="AW18">
        <v>-2.4799999999999999E-2</v>
      </c>
      <c r="AX18">
        <v>2.5100000000000001E-2</v>
      </c>
      <c r="AY18">
        <v>-0.28399999999999997</v>
      </c>
      <c r="AZ18">
        <v>5.9999999999999995E-4</v>
      </c>
      <c r="BA18">
        <v>-2.0000000000000001E-4</v>
      </c>
      <c r="BB18">
        <v>5.3999999999999999E-2</v>
      </c>
      <c r="BE18" t="s">
        <v>246</v>
      </c>
      <c r="BF18" s="12">
        <f>IF(sim_a[[#This Row],[final_trolley_dropoff_error_x]]="","",ABS(sim_a[[#This Row],[final_trolley_dropoff_error_x]])*1000)</f>
        <v>1.2</v>
      </c>
      <c r="BG18" s="12">
        <f>IF(sim_a[[#This Row],[final_trolley_dropoff_error_y]]="","",ABS(sim_a[[#This Row],[final_trolley_dropoff_error_y]])*1000)</f>
        <v>87.2</v>
      </c>
      <c r="BH18" s="12">
        <f>IF(sim_a[[#This Row],[final_trolley_dropoff_error_dist]]="","",sim_a[[#This Row],[final_trolley_dropoff_error_dist]]*1000)</f>
        <v>87.3</v>
      </c>
      <c r="BI18" s="12">
        <f>IF(sim_a[[#This Row],[final_robot_charging_error_x]]="","",ABS(sim_a[[#This Row],[final_robot_charging_error_x]])*1000)</f>
        <v>0.1</v>
      </c>
      <c r="BJ18" s="12">
        <f>IF(sim_a[[#This Row],[final_robot_charging_error_y]]="","",ABS(sim_a[[#This Row],[final_robot_charging_error_y]])*1000)</f>
        <v>99.1</v>
      </c>
      <c r="BK18" s="12">
        <f>IF(sim_a[[#This Row],[final_robot_charging_error_dist]]="","",sim_a[[#This Row],[final_robot_charging_error_dist]]*1000)</f>
        <v>99.1</v>
      </c>
      <c r="BL18" s="12">
        <f>IF(sim_a[[#This Row],[side_align_aruco_est_error_x]]="","",ABS(sim_a[[#This Row],[side_align_aruco_est_error_x]])*1000)</f>
        <v>7</v>
      </c>
      <c r="BM18" s="12">
        <f>IF(sim_a[[#This Row],[side_align_aruco_est_error_y]]="","",ABS(sim_a[[#This Row],[side_align_aruco_est_error_y]])*1000)</f>
        <v>0</v>
      </c>
      <c r="BN18" s="12">
        <f>IF(sim_a[[#This Row],[side_align_aruco_est_yaw_error_deg]]="","",ABS(sim_a[[#This Row],[side_align_aruco_est_yaw_error_deg]]))</f>
        <v>0.03</v>
      </c>
      <c r="BO18" s="12">
        <f>IF(sim_a[[#This Row],[side_align_actual_aruco_error_x]]="","",ABS(sim_a[[#This Row],[side_align_actual_aruco_error_x]])*1000)</f>
        <v>1.4</v>
      </c>
      <c r="BP18" s="12">
        <f>IF(sim_a[[#This Row],[side_align_actual_aruco_error_y]]="","",ABS(sim_a[[#This Row],[side_align_actual_aruco_error_y]])*1000)</f>
        <v>1056.7</v>
      </c>
      <c r="BQ18" s="12">
        <f>IF(sim_a[[#This Row],[side_align_actual_aruco_yaw_error_deg]]="","",ABS(sim_a[[#This Row],[side_align_actual_aruco_yaw_error_deg]]))</f>
        <v>0.39400000000000002</v>
      </c>
      <c r="BR18" s="12">
        <f>IF(sim_a[[#This Row],[side_align_aruco_vs_actual_error_x]]="","",ABS(sim_a[[#This Row],[side_align_aruco_vs_actual_error_x]])*1000)</f>
        <v>5.6</v>
      </c>
      <c r="BS18" s="12">
        <f>IF(sim_a[[#This Row],[side_align_aruco_vs_actual_error_y]]="","",ABS(sim_a[[#This Row],[side_align_aruco_vs_actual_error_y]])*1000)</f>
        <v>1056.7</v>
      </c>
      <c r="BT18" s="12">
        <f>IF(sim_a[[#This Row],[side_align_aruco_vs_actual_yaw_error_deg]]="","",ABS(sim_a[[#This Row],[side_align_aruco_vs_actual_yaw_error_deg]]))</f>
        <v>0.42399999999999999</v>
      </c>
      <c r="BU18" s="12">
        <f>IF(sim_a[[#This Row],[fine_align_aruco_est_error_x]]="","",ABS(sim_a[[#This Row],[fine_align_aruco_est_error_x]])*1000)</f>
        <v>3</v>
      </c>
      <c r="BV18" s="12">
        <f>IF(sim_a[[#This Row],[fine_align_aruco_est_error_y]]="","",ABS(sim_a[[#This Row],[fine_align_aruco_est_error_y]])*1000)</f>
        <v>25</v>
      </c>
      <c r="BW18" s="12">
        <f>IF(sim_a[[#This Row],[fine_align_aruco_est_yaw_error_deg]]="","",ABS(sim_a[[#This Row],[fine_align_aruco_est_yaw_error_deg]]))</f>
        <v>0.23</v>
      </c>
      <c r="BX18" s="12">
        <f>IF(sim_a[[#This Row],[fine_align_actual_aruco_error_x]]="","",ABS(sim_a[[#This Row],[fine_align_actual_aruco_error_x]])*1000)</f>
        <v>3.6</v>
      </c>
      <c r="BY18" s="12">
        <f>IF(sim_a[[#This Row],[fine_align_actual_aruco_error_y]]="","",ABS(sim_a[[#This Row],[fine_align_actual_aruco_error_y]])*1000)</f>
        <v>24.8</v>
      </c>
      <c r="BZ18" s="12">
        <f>IF(sim_a[[#This Row],[fine_align_actual_aruco_yaw_error_deg]]="","",ABS(sim_a[[#This Row],[fine_align_actual_aruco_yaw_error_deg]]))</f>
        <v>0.28399999999999997</v>
      </c>
      <c r="CA18" s="12">
        <f>IF(sim_a[[#This Row],[fine_align_aruco_vs_actual_error_x]]="","",ABS(sim_a[[#This Row],[fine_align_aruco_vs_actual_error_x]])*1000)</f>
        <v>0.6</v>
      </c>
      <c r="CB18" s="12">
        <f>IF(sim_a[[#This Row],[fine_align_aruco_vs_actual_error_y]]="","",ABS(sim_a[[#This Row],[fine_align_aruco_vs_actual_error_y]])*1000)</f>
        <v>0.2</v>
      </c>
      <c r="CC18" s="12">
        <f>IF(sim_a[[#This Row],[fine_align_aruco_vs_actual_yaw_error_deg]]="","",ABS(sim_a[[#This Row],[fine_align_aruco_vs_actual_yaw_error_deg]]))</f>
        <v>5.3999999999999999E-2</v>
      </c>
    </row>
    <row r="19" spans="1:81" x14ac:dyDescent="0.25">
      <c r="A19" t="s">
        <v>103</v>
      </c>
      <c r="B19" t="b">
        <v>1</v>
      </c>
      <c r="E19">
        <v>263.18700000000001</v>
      </c>
      <c r="F19">
        <v>9.8390000000000004</v>
      </c>
      <c r="G19">
        <v>263.185</v>
      </c>
      <c r="H19">
        <v>13.365</v>
      </c>
      <c r="I19">
        <v>126.511</v>
      </c>
      <c r="J19">
        <v>197.107</v>
      </c>
      <c r="K19">
        <v>167.49600000000001</v>
      </c>
      <c r="L19">
        <v>262.17899999999997</v>
      </c>
      <c r="M19">
        <v>5.2022000000000004</v>
      </c>
      <c r="N19">
        <v>-2.87E-2</v>
      </c>
      <c r="O19">
        <v>-1.9059999999999999</v>
      </c>
      <c r="P19">
        <v>5.0000000000000001E-4</v>
      </c>
      <c r="Q19">
        <v>0.10829999999999999</v>
      </c>
      <c r="R19">
        <v>-6.2E-2</v>
      </c>
      <c r="S19">
        <v>2.2000000000000001E-3</v>
      </c>
      <c r="T19">
        <v>-2.87E-2</v>
      </c>
      <c r="U19">
        <v>2.8799999999999999E-2</v>
      </c>
      <c r="V19">
        <v>5.0000000000000001E-4</v>
      </c>
      <c r="W19">
        <v>0.10829999999999999</v>
      </c>
      <c r="X19">
        <v>0.10829999999999999</v>
      </c>
      <c r="Y19">
        <v>74.054000000000002</v>
      </c>
      <c r="Z19">
        <v>4.0000000000000001E-3</v>
      </c>
      <c r="AA19">
        <v>0</v>
      </c>
      <c r="AB19">
        <v>-0.65</v>
      </c>
      <c r="AC19">
        <v>6</v>
      </c>
      <c r="AD19">
        <v>1.2800000000000001E-2</v>
      </c>
      <c r="AE19">
        <v>-1.0543</v>
      </c>
      <c r="AF19">
        <v>0.52600000000000002</v>
      </c>
      <c r="AG19">
        <v>-2.2000000000000001E-3</v>
      </c>
      <c r="AH19">
        <v>-1.0543</v>
      </c>
      <c r="AI19">
        <v>1.0543</v>
      </c>
      <c r="AJ19">
        <v>0.52600000000000002</v>
      </c>
      <c r="AK19">
        <v>6.1999999999999998E-3</v>
      </c>
      <c r="AL19">
        <v>1.0543</v>
      </c>
      <c r="AM19">
        <v>-1.1759999999999999</v>
      </c>
      <c r="AN19">
        <v>126.459</v>
      </c>
      <c r="AO19">
        <v>5.0000000000000001E-3</v>
      </c>
      <c r="AP19">
        <v>-2.5000000000000001E-2</v>
      </c>
      <c r="AQ19">
        <v>-0.14000000000000001</v>
      </c>
      <c r="AR19">
        <v>10</v>
      </c>
      <c r="AS19">
        <v>5.1000000000000004E-3</v>
      </c>
      <c r="AT19">
        <v>-2.5000000000000001E-2</v>
      </c>
      <c r="AU19">
        <v>-0.223</v>
      </c>
      <c r="AV19">
        <v>5.1000000000000004E-3</v>
      </c>
      <c r="AW19">
        <v>-2.5000000000000001E-2</v>
      </c>
      <c r="AX19">
        <v>2.5499999999999998E-2</v>
      </c>
      <c r="AY19">
        <v>-0.223</v>
      </c>
      <c r="AZ19">
        <v>-1E-4</v>
      </c>
      <c r="BA19">
        <v>0</v>
      </c>
      <c r="BB19">
        <v>8.3000000000000004E-2</v>
      </c>
      <c r="BE19" t="s">
        <v>247</v>
      </c>
      <c r="BF19" s="12">
        <f>IF(sim_a[[#This Row],[final_trolley_dropoff_error_x]]="","",ABS(sim_a[[#This Row],[final_trolley_dropoff_error_x]])*1000)</f>
        <v>2.2000000000000002</v>
      </c>
      <c r="BG19" s="12">
        <f>IF(sim_a[[#This Row],[final_trolley_dropoff_error_y]]="","",ABS(sim_a[[#This Row],[final_trolley_dropoff_error_y]])*1000)</f>
        <v>28.7</v>
      </c>
      <c r="BH19" s="12">
        <f>IF(sim_a[[#This Row],[final_trolley_dropoff_error_dist]]="","",sim_a[[#This Row],[final_trolley_dropoff_error_dist]]*1000)</f>
        <v>28.8</v>
      </c>
      <c r="BI19" s="12">
        <f>IF(sim_a[[#This Row],[final_robot_charging_error_x]]="","",ABS(sim_a[[#This Row],[final_robot_charging_error_x]])*1000)</f>
        <v>0.5</v>
      </c>
      <c r="BJ19" s="12">
        <f>IF(sim_a[[#This Row],[final_robot_charging_error_y]]="","",ABS(sim_a[[#This Row],[final_robot_charging_error_y]])*1000)</f>
        <v>108.3</v>
      </c>
      <c r="BK19" s="12">
        <f>IF(sim_a[[#This Row],[final_robot_charging_error_dist]]="","",sim_a[[#This Row],[final_robot_charging_error_dist]]*1000)</f>
        <v>108.3</v>
      </c>
      <c r="BL19" s="12">
        <f>IF(sim_a[[#This Row],[side_align_aruco_est_error_x]]="","",ABS(sim_a[[#This Row],[side_align_aruco_est_error_x]])*1000)</f>
        <v>4</v>
      </c>
      <c r="BM19" s="12">
        <f>IF(sim_a[[#This Row],[side_align_aruco_est_error_y]]="","",ABS(sim_a[[#This Row],[side_align_aruco_est_error_y]])*1000)</f>
        <v>0</v>
      </c>
      <c r="BN19" s="12">
        <f>IF(sim_a[[#This Row],[side_align_aruco_est_yaw_error_deg]]="","",ABS(sim_a[[#This Row],[side_align_aruco_est_yaw_error_deg]]))</f>
        <v>0.65</v>
      </c>
      <c r="BO19" s="12">
        <f>IF(sim_a[[#This Row],[side_align_actual_aruco_error_x]]="","",ABS(sim_a[[#This Row],[side_align_actual_aruco_error_x]])*1000)</f>
        <v>2.2000000000000002</v>
      </c>
      <c r="BP19" s="12">
        <f>IF(sim_a[[#This Row],[side_align_actual_aruco_error_y]]="","",ABS(sim_a[[#This Row],[side_align_actual_aruco_error_y]])*1000)</f>
        <v>1054.3</v>
      </c>
      <c r="BQ19" s="12">
        <f>IF(sim_a[[#This Row],[side_align_actual_aruco_yaw_error_deg]]="","",ABS(sim_a[[#This Row],[side_align_actual_aruco_yaw_error_deg]]))</f>
        <v>0.52600000000000002</v>
      </c>
      <c r="BR19" s="12">
        <f>IF(sim_a[[#This Row],[side_align_aruco_vs_actual_error_x]]="","",ABS(sim_a[[#This Row],[side_align_aruco_vs_actual_error_x]])*1000)</f>
        <v>6.2</v>
      </c>
      <c r="BS19" s="12">
        <f>IF(sim_a[[#This Row],[side_align_aruco_vs_actual_error_y]]="","",ABS(sim_a[[#This Row],[side_align_aruco_vs_actual_error_y]])*1000)</f>
        <v>1054.3</v>
      </c>
      <c r="BT19" s="12">
        <f>IF(sim_a[[#This Row],[side_align_aruco_vs_actual_yaw_error_deg]]="","",ABS(sim_a[[#This Row],[side_align_aruco_vs_actual_yaw_error_deg]]))</f>
        <v>1.1759999999999999</v>
      </c>
      <c r="BU19" s="12">
        <f>IF(sim_a[[#This Row],[fine_align_aruco_est_error_x]]="","",ABS(sim_a[[#This Row],[fine_align_aruco_est_error_x]])*1000)</f>
        <v>5</v>
      </c>
      <c r="BV19" s="12">
        <f>IF(sim_a[[#This Row],[fine_align_aruco_est_error_y]]="","",ABS(sim_a[[#This Row],[fine_align_aruco_est_error_y]])*1000)</f>
        <v>25</v>
      </c>
      <c r="BW19" s="12">
        <f>IF(sim_a[[#This Row],[fine_align_aruco_est_yaw_error_deg]]="","",ABS(sim_a[[#This Row],[fine_align_aruco_est_yaw_error_deg]]))</f>
        <v>0.14000000000000001</v>
      </c>
      <c r="BX19" s="12">
        <f>IF(sim_a[[#This Row],[fine_align_actual_aruco_error_x]]="","",ABS(sim_a[[#This Row],[fine_align_actual_aruco_error_x]])*1000)</f>
        <v>5.1000000000000005</v>
      </c>
      <c r="BY19" s="12">
        <f>IF(sim_a[[#This Row],[fine_align_actual_aruco_error_y]]="","",ABS(sim_a[[#This Row],[fine_align_actual_aruco_error_y]])*1000)</f>
        <v>25</v>
      </c>
      <c r="BZ19" s="12">
        <f>IF(sim_a[[#This Row],[fine_align_actual_aruco_yaw_error_deg]]="","",ABS(sim_a[[#This Row],[fine_align_actual_aruco_yaw_error_deg]]))</f>
        <v>0.223</v>
      </c>
      <c r="CA19" s="12">
        <f>IF(sim_a[[#This Row],[fine_align_aruco_vs_actual_error_x]]="","",ABS(sim_a[[#This Row],[fine_align_aruco_vs_actual_error_x]])*1000)</f>
        <v>0.1</v>
      </c>
      <c r="CB19" s="12">
        <f>IF(sim_a[[#This Row],[fine_align_aruco_vs_actual_error_y]]="","",ABS(sim_a[[#This Row],[fine_align_aruco_vs_actual_error_y]])*1000)</f>
        <v>0</v>
      </c>
      <c r="CC19" s="12">
        <f>IF(sim_a[[#This Row],[fine_align_aruco_vs_actual_yaw_error_deg]]="","",ABS(sim_a[[#This Row],[fine_align_aruco_vs_actual_yaw_error_deg]]))</f>
        <v>8.3000000000000004E-2</v>
      </c>
    </row>
    <row r="20" spans="1:81" x14ac:dyDescent="0.25">
      <c r="A20" t="s">
        <v>104</v>
      </c>
      <c r="B20" t="b">
        <v>1</v>
      </c>
      <c r="E20">
        <v>260.40199999999999</v>
      </c>
      <c r="F20">
        <v>9.6940000000000008</v>
      </c>
      <c r="G20">
        <v>260.39999999999998</v>
      </c>
      <c r="H20">
        <v>12.114000000000001</v>
      </c>
      <c r="I20">
        <v>128.31100000000001</v>
      </c>
      <c r="J20">
        <v>194.79</v>
      </c>
      <c r="K20">
        <v>169.25399999999999</v>
      </c>
      <c r="L20">
        <v>259.392</v>
      </c>
      <c r="M20">
        <v>5.1889000000000003</v>
      </c>
      <c r="N20">
        <v>-7.5300000000000006E-2</v>
      </c>
      <c r="O20">
        <v>-6.4779999999999998</v>
      </c>
      <c r="P20">
        <v>8.0000000000000004E-4</v>
      </c>
      <c r="Q20">
        <v>0.11260000000000001</v>
      </c>
      <c r="R20">
        <v>-0.26800000000000002</v>
      </c>
      <c r="S20">
        <v>-1.11E-2</v>
      </c>
      <c r="T20">
        <v>-7.5300000000000006E-2</v>
      </c>
      <c r="U20">
        <v>7.6100000000000001E-2</v>
      </c>
      <c r="V20">
        <v>8.0000000000000004E-4</v>
      </c>
      <c r="W20">
        <v>0.11260000000000001</v>
      </c>
      <c r="X20">
        <v>0.11260000000000001</v>
      </c>
      <c r="Y20">
        <v>79.95</v>
      </c>
      <c r="Z20">
        <v>-4.0000000000000001E-3</v>
      </c>
      <c r="AA20">
        <v>0</v>
      </c>
      <c r="AB20">
        <v>0.46</v>
      </c>
      <c r="AC20">
        <v>6</v>
      </c>
      <c r="AD20">
        <v>7.6E-3</v>
      </c>
      <c r="AE20">
        <v>-1.0596000000000001</v>
      </c>
      <c r="AF20">
        <v>0.42899999999999999</v>
      </c>
      <c r="AG20">
        <v>-7.4000000000000003E-3</v>
      </c>
      <c r="AH20">
        <v>-1.0596000000000001</v>
      </c>
      <c r="AI20">
        <v>1.0596000000000001</v>
      </c>
      <c r="AJ20">
        <v>0.42899999999999999</v>
      </c>
      <c r="AK20">
        <v>3.3999999999999998E-3</v>
      </c>
      <c r="AL20">
        <v>1.0596000000000001</v>
      </c>
      <c r="AM20">
        <v>3.1E-2</v>
      </c>
      <c r="AN20">
        <v>128.309</v>
      </c>
      <c r="AO20">
        <v>2E-3</v>
      </c>
      <c r="AP20">
        <v>-2.5000000000000001E-2</v>
      </c>
      <c r="AQ20">
        <v>0.15</v>
      </c>
      <c r="AR20">
        <v>10</v>
      </c>
      <c r="AS20">
        <v>2.5000000000000001E-3</v>
      </c>
      <c r="AT20">
        <v>-2.4799999999999999E-2</v>
      </c>
      <c r="AU20">
        <v>4.3999999999999997E-2</v>
      </c>
      <c r="AV20">
        <v>2.5000000000000001E-3</v>
      </c>
      <c r="AW20">
        <v>-2.4799999999999999E-2</v>
      </c>
      <c r="AX20">
        <v>2.5000000000000001E-2</v>
      </c>
      <c r="AY20">
        <v>4.3999999999999997E-2</v>
      </c>
      <c r="AZ20">
        <v>-5.0000000000000001E-4</v>
      </c>
      <c r="BA20">
        <v>-2.0000000000000001E-4</v>
      </c>
      <c r="BB20">
        <v>0.106</v>
      </c>
      <c r="BE20" t="s">
        <v>248</v>
      </c>
      <c r="BF20" s="12">
        <f>IF(sim_a[[#This Row],[final_trolley_dropoff_error_x]]="","",ABS(sim_a[[#This Row],[final_trolley_dropoff_error_x]])*1000)</f>
        <v>11.1</v>
      </c>
      <c r="BG20" s="12">
        <f>IF(sim_a[[#This Row],[final_trolley_dropoff_error_y]]="","",ABS(sim_a[[#This Row],[final_trolley_dropoff_error_y]])*1000)</f>
        <v>75.300000000000011</v>
      </c>
      <c r="BH20" s="12">
        <f>IF(sim_a[[#This Row],[final_trolley_dropoff_error_dist]]="","",sim_a[[#This Row],[final_trolley_dropoff_error_dist]]*1000)</f>
        <v>76.099999999999994</v>
      </c>
      <c r="BI20" s="12">
        <f>IF(sim_a[[#This Row],[final_robot_charging_error_x]]="","",ABS(sim_a[[#This Row],[final_robot_charging_error_x]])*1000)</f>
        <v>0.8</v>
      </c>
      <c r="BJ20" s="12">
        <f>IF(sim_a[[#This Row],[final_robot_charging_error_y]]="","",ABS(sim_a[[#This Row],[final_robot_charging_error_y]])*1000)</f>
        <v>112.60000000000001</v>
      </c>
      <c r="BK20" s="12">
        <f>IF(sim_a[[#This Row],[final_robot_charging_error_dist]]="","",sim_a[[#This Row],[final_robot_charging_error_dist]]*1000)</f>
        <v>112.60000000000001</v>
      </c>
      <c r="BL20" s="12">
        <f>IF(sim_a[[#This Row],[side_align_aruco_est_error_x]]="","",ABS(sim_a[[#This Row],[side_align_aruco_est_error_x]])*1000)</f>
        <v>4</v>
      </c>
      <c r="BM20" s="12">
        <f>IF(sim_a[[#This Row],[side_align_aruco_est_error_y]]="","",ABS(sim_a[[#This Row],[side_align_aruco_est_error_y]])*1000)</f>
        <v>0</v>
      </c>
      <c r="BN20" s="12">
        <f>IF(sim_a[[#This Row],[side_align_aruco_est_yaw_error_deg]]="","",ABS(sim_a[[#This Row],[side_align_aruco_est_yaw_error_deg]]))</f>
        <v>0.46</v>
      </c>
      <c r="BO20" s="12">
        <f>IF(sim_a[[#This Row],[side_align_actual_aruco_error_x]]="","",ABS(sim_a[[#This Row],[side_align_actual_aruco_error_x]])*1000)</f>
        <v>7.4</v>
      </c>
      <c r="BP20" s="12">
        <f>IF(sim_a[[#This Row],[side_align_actual_aruco_error_y]]="","",ABS(sim_a[[#This Row],[side_align_actual_aruco_error_y]])*1000)</f>
        <v>1059.6000000000001</v>
      </c>
      <c r="BQ20" s="12">
        <f>IF(sim_a[[#This Row],[side_align_actual_aruco_yaw_error_deg]]="","",ABS(sim_a[[#This Row],[side_align_actual_aruco_yaw_error_deg]]))</f>
        <v>0.42899999999999999</v>
      </c>
      <c r="BR20" s="12">
        <f>IF(sim_a[[#This Row],[side_align_aruco_vs_actual_error_x]]="","",ABS(sim_a[[#This Row],[side_align_aruco_vs_actual_error_x]])*1000)</f>
        <v>3.4</v>
      </c>
      <c r="BS20" s="12">
        <f>IF(sim_a[[#This Row],[side_align_aruco_vs_actual_error_y]]="","",ABS(sim_a[[#This Row],[side_align_aruco_vs_actual_error_y]])*1000)</f>
        <v>1059.6000000000001</v>
      </c>
      <c r="BT20" s="12">
        <f>IF(sim_a[[#This Row],[side_align_aruco_vs_actual_yaw_error_deg]]="","",ABS(sim_a[[#This Row],[side_align_aruco_vs_actual_yaw_error_deg]]))</f>
        <v>3.1E-2</v>
      </c>
      <c r="BU20" s="12">
        <f>IF(sim_a[[#This Row],[fine_align_aruco_est_error_x]]="","",ABS(sim_a[[#This Row],[fine_align_aruco_est_error_x]])*1000)</f>
        <v>2</v>
      </c>
      <c r="BV20" s="12">
        <f>IF(sim_a[[#This Row],[fine_align_aruco_est_error_y]]="","",ABS(sim_a[[#This Row],[fine_align_aruco_est_error_y]])*1000)</f>
        <v>25</v>
      </c>
      <c r="BW20" s="12">
        <f>IF(sim_a[[#This Row],[fine_align_aruco_est_yaw_error_deg]]="","",ABS(sim_a[[#This Row],[fine_align_aruco_est_yaw_error_deg]]))</f>
        <v>0.15</v>
      </c>
      <c r="BX20" s="12">
        <f>IF(sim_a[[#This Row],[fine_align_actual_aruco_error_x]]="","",ABS(sim_a[[#This Row],[fine_align_actual_aruco_error_x]])*1000)</f>
        <v>2.5</v>
      </c>
      <c r="BY20" s="12">
        <f>IF(sim_a[[#This Row],[fine_align_actual_aruco_error_y]]="","",ABS(sim_a[[#This Row],[fine_align_actual_aruco_error_y]])*1000)</f>
        <v>24.8</v>
      </c>
      <c r="BZ20" s="12">
        <f>IF(sim_a[[#This Row],[fine_align_actual_aruco_yaw_error_deg]]="","",ABS(sim_a[[#This Row],[fine_align_actual_aruco_yaw_error_deg]]))</f>
        <v>4.3999999999999997E-2</v>
      </c>
      <c r="CA20" s="12">
        <f>IF(sim_a[[#This Row],[fine_align_aruco_vs_actual_error_x]]="","",ABS(sim_a[[#This Row],[fine_align_aruco_vs_actual_error_x]])*1000)</f>
        <v>0.5</v>
      </c>
      <c r="CB20" s="12">
        <f>IF(sim_a[[#This Row],[fine_align_aruco_vs_actual_error_y]]="","",ABS(sim_a[[#This Row],[fine_align_aruco_vs_actual_error_y]])*1000)</f>
        <v>0.2</v>
      </c>
      <c r="CC20" s="12">
        <f>IF(sim_a[[#This Row],[fine_align_aruco_vs_actual_yaw_error_deg]]="","",ABS(sim_a[[#This Row],[fine_align_aruco_vs_actual_yaw_error_deg]]))</f>
        <v>0.106</v>
      </c>
    </row>
    <row r="21" spans="1:81" x14ac:dyDescent="0.25">
      <c r="A21" t="s">
        <v>105</v>
      </c>
      <c r="B21" t="b">
        <v>0</v>
      </c>
      <c r="C21" t="s">
        <v>20</v>
      </c>
      <c r="D21" t="s">
        <v>249</v>
      </c>
      <c r="E21">
        <v>211.684</v>
      </c>
      <c r="F21">
        <v>9.7859999999999996</v>
      </c>
      <c r="H21">
        <v>12.101000000000001</v>
      </c>
      <c r="I21">
        <v>124.83499999999999</v>
      </c>
      <c r="K21">
        <v>172.28200000000001</v>
      </c>
      <c r="M21">
        <v>5.1933999999999996</v>
      </c>
      <c r="N21">
        <v>5.1000000000000004E-3</v>
      </c>
      <c r="O21">
        <v>-5.8</v>
      </c>
      <c r="P21">
        <v>5.2027000000000001</v>
      </c>
      <c r="Q21">
        <v>2.9100000000000001E-2</v>
      </c>
      <c r="R21">
        <v>-5.7229999999999999</v>
      </c>
      <c r="S21">
        <v>-6.6E-3</v>
      </c>
      <c r="T21">
        <v>5.1000000000000004E-3</v>
      </c>
      <c r="U21">
        <v>8.3000000000000001E-3</v>
      </c>
      <c r="V21">
        <v>5.2027000000000001</v>
      </c>
      <c r="W21">
        <v>2.9100000000000001E-2</v>
      </c>
      <c r="X21">
        <v>5.2027999999999999</v>
      </c>
      <c r="Y21">
        <v>76.064999999999998</v>
      </c>
      <c r="Z21">
        <v>-2E-3</v>
      </c>
      <c r="AA21">
        <v>0</v>
      </c>
      <c r="AB21">
        <v>0.81</v>
      </c>
      <c r="AC21">
        <v>6</v>
      </c>
      <c r="AD21">
        <v>1.1299999999999999E-2</v>
      </c>
      <c r="AE21">
        <v>-1.0567</v>
      </c>
      <c r="AF21">
        <v>1.5369999999999999</v>
      </c>
      <c r="AG21">
        <v>-3.7000000000000002E-3</v>
      </c>
      <c r="AH21">
        <v>-1.0567</v>
      </c>
      <c r="AI21">
        <v>1.0567</v>
      </c>
      <c r="AJ21">
        <v>1.5369999999999999</v>
      </c>
      <c r="AK21">
        <v>1.6999999999999999E-3</v>
      </c>
      <c r="AL21">
        <v>1.0567</v>
      </c>
      <c r="AM21">
        <v>-0.72699999999999998</v>
      </c>
      <c r="AN21">
        <v>124.834</v>
      </c>
      <c r="AO21">
        <v>-7.0000000000000001E-3</v>
      </c>
      <c r="AP21">
        <v>-2.5000000000000001E-2</v>
      </c>
      <c r="AQ21">
        <v>0</v>
      </c>
      <c r="AR21">
        <v>11</v>
      </c>
      <c r="AS21">
        <v>-6.7999999999999996E-3</v>
      </c>
      <c r="AT21">
        <v>-2.4799999999999999E-2</v>
      </c>
      <c r="AU21">
        <v>-7.6999999999999999E-2</v>
      </c>
      <c r="AV21">
        <v>-6.7999999999999996E-3</v>
      </c>
      <c r="AW21">
        <v>-2.4799999999999999E-2</v>
      </c>
      <c r="AX21">
        <v>2.5700000000000001E-2</v>
      </c>
      <c r="AY21">
        <v>-7.6999999999999999E-2</v>
      </c>
      <c r="AZ21">
        <v>-2.0000000000000001E-4</v>
      </c>
      <c r="BA21">
        <v>-2.0000000000000001E-4</v>
      </c>
      <c r="BB21">
        <v>7.6999999999999999E-2</v>
      </c>
      <c r="BE21" t="s">
        <v>250</v>
      </c>
      <c r="BF21" s="12">
        <f>IF(sim_a[[#This Row],[final_trolley_dropoff_error_x]]="","",ABS(sim_a[[#This Row],[final_trolley_dropoff_error_x]])*1000)</f>
        <v>6.6</v>
      </c>
      <c r="BG21" s="12">
        <f>IF(sim_a[[#This Row],[final_trolley_dropoff_error_y]]="","",ABS(sim_a[[#This Row],[final_trolley_dropoff_error_y]])*1000)</f>
        <v>5.1000000000000005</v>
      </c>
      <c r="BH21" s="12">
        <f>IF(sim_a[[#This Row],[final_trolley_dropoff_error_dist]]="","",sim_a[[#This Row],[final_trolley_dropoff_error_dist]]*1000)</f>
        <v>8.3000000000000007</v>
      </c>
      <c r="BI21" s="12">
        <f>IF(sim_a[[#This Row],[final_robot_charging_error_x]]="","",ABS(sim_a[[#This Row],[final_robot_charging_error_x]])*1000)</f>
        <v>5202.7</v>
      </c>
      <c r="BJ21" s="12">
        <f>IF(sim_a[[#This Row],[final_robot_charging_error_y]]="","",ABS(sim_a[[#This Row],[final_robot_charging_error_y]])*1000)</f>
        <v>29.1</v>
      </c>
      <c r="BK21" s="12">
        <f>IF(sim_a[[#This Row],[final_robot_charging_error_dist]]="","",sim_a[[#This Row],[final_robot_charging_error_dist]]*1000)</f>
        <v>5202.8</v>
      </c>
      <c r="BL21" s="12">
        <f>IF(sim_a[[#This Row],[side_align_aruco_est_error_x]]="","",ABS(sim_a[[#This Row],[side_align_aruco_est_error_x]])*1000)</f>
        <v>2</v>
      </c>
      <c r="BM21" s="12">
        <f>IF(sim_a[[#This Row],[side_align_aruco_est_error_y]]="","",ABS(sim_a[[#This Row],[side_align_aruco_est_error_y]])*1000)</f>
        <v>0</v>
      </c>
      <c r="BN21" s="12">
        <f>IF(sim_a[[#This Row],[side_align_aruco_est_yaw_error_deg]]="","",ABS(sim_a[[#This Row],[side_align_aruco_est_yaw_error_deg]]))</f>
        <v>0.81</v>
      </c>
      <c r="BO21" s="12">
        <f>IF(sim_a[[#This Row],[side_align_actual_aruco_error_x]]="","",ABS(sim_a[[#This Row],[side_align_actual_aruco_error_x]])*1000)</f>
        <v>3.7</v>
      </c>
      <c r="BP21" s="12">
        <f>IF(sim_a[[#This Row],[side_align_actual_aruco_error_y]]="","",ABS(sim_a[[#This Row],[side_align_actual_aruco_error_y]])*1000)</f>
        <v>1056.7</v>
      </c>
      <c r="BQ21" s="12">
        <f>IF(sim_a[[#This Row],[side_align_actual_aruco_yaw_error_deg]]="","",ABS(sim_a[[#This Row],[side_align_actual_aruco_yaw_error_deg]]))</f>
        <v>1.5369999999999999</v>
      </c>
      <c r="BR21" s="12">
        <f>IF(sim_a[[#This Row],[side_align_aruco_vs_actual_error_x]]="","",ABS(sim_a[[#This Row],[side_align_aruco_vs_actual_error_x]])*1000)</f>
        <v>1.7</v>
      </c>
      <c r="BS21" s="12">
        <f>IF(sim_a[[#This Row],[side_align_aruco_vs_actual_error_y]]="","",ABS(sim_a[[#This Row],[side_align_aruco_vs_actual_error_y]])*1000)</f>
        <v>1056.7</v>
      </c>
      <c r="BT21" s="12">
        <f>IF(sim_a[[#This Row],[side_align_aruco_vs_actual_yaw_error_deg]]="","",ABS(sim_a[[#This Row],[side_align_aruco_vs_actual_yaw_error_deg]]))</f>
        <v>0.72699999999999998</v>
      </c>
      <c r="BU21" s="12">
        <f>IF(sim_a[[#This Row],[fine_align_aruco_est_error_x]]="","",ABS(sim_a[[#This Row],[fine_align_aruco_est_error_x]])*1000)</f>
        <v>7</v>
      </c>
      <c r="BV21" s="12">
        <f>IF(sim_a[[#This Row],[fine_align_aruco_est_error_y]]="","",ABS(sim_a[[#This Row],[fine_align_aruco_est_error_y]])*1000)</f>
        <v>25</v>
      </c>
      <c r="BW21" s="12">
        <f>IF(sim_a[[#This Row],[fine_align_aruco_est_yaw_error_deg]]="","",ABS(sim_a[[#This Row],[fine_align_aruco_est_yaw_error_deg]]))</f>
        <v>0</v>
      </c>
      <c r="BX21" s="12">
        <f>IF(sim_a[[#This Row],[fine_align_actual_aruco_error_x]]="","",ABS(sim_a[[#This Row],[fine_align_actual_aruco_error_x]])*1000)</f>
        <v>6.8</v>
      </c>
      <c r="BY21" s="12">
        <f>IF(sim_a[[#This Row],[fine_align_actual_aruco_error_y]]="","",ABS(sim_a[[#This Row],[fine_align_actual_aruco_error_y]])*1000)</f>
        <v>24.8</v>
      </c>
      <c r="BZ21" s="12">
        <f>IF(sim_a[[#This Row],[fine_align_actual_aruco_yaw_error_deg]]="","",ABS(sim_a[[#This Row],[fine_align_actual_aruco_yaw_error_deg]]))</f>
        <v>7.6999999999999999E-2</v>
      </c>
      <c r="CA21" s="12">
        <f>IF(sim_a[[#This Row],[fine_align_aruco_vs_actual_error_x]]="","",ABS(sim_a[[#This Row],[fine_align_aruco_vs_actual_error_x]])*1000)</f>
        <v>0.2</v>
      </c>
      <c r="CB21" s="12">
        <f>IF(sim_a[[#This Row],[fine_align_aruco_vs_actual_error_y]]="","",ABS(sim_a[[#This Row],[fine_align_aruco_vs_actual_error_y]])*1000)</f>
        <v>0.2</v>
      </c>
      <c r="CC21" s="12">
        <f>IF(sim_a[[#This Row],[fine_align_aruco_vs_actual_yaw_error_deg]]="","",ABS(sim_a[[#This Row],[fine_align_aruco_vs_actual_yaw_error_deg]]))</f>
        <v>7.6999999999999999E-2</v>
      </c>
    </row>
    <row r="22" spans="1:81" x14ac:dyDescent="0.25">
      <c r="A22" t="s">
        <v>106</v>
      </c>
      <c r="B22" t="b">
        <v>0</v>
      </c>
      <c r="C22" t="s">
        <v>251</v>
      </c>
      <c r="D22" t="s">
        <v>252</v>
      </c>
      <c r="E22">
        <v>200.839</v>
      </c>
      <c r="F22">
        <v>9.8879999999999999</v>
      </c>
      <c r="H22">
        <v>12.055</v>
      </c>
      <c r="I22">
        <v>122.806</v>
      </c>
      <c r="K22">
        <v>163.15600000000001</v>
      </c>
      <c r="M22">
        <v>5.1942000000000004</v>
      </c>
      <c r="N22">
        <v>6.9999999999999999E-4</v>
      </c>
      <c r="O22">
        <v>-1.9890000000000001</v>
      </c>
      <c r="P22">
        <v>5.2008999999999999</v>
      </c>
      <c r="Q22">
        <v>2.52E-2</v>
      </c>
      <c r="R22">
        <v>-1.905</v>
      </c>
      <c r="S22">
        <v>-5.7999999999999996E-3</v>
      </c>
      <c r="T22">
        <v>6.9999999999999999E-4</v>
      </c>
      <c r="U22">
        <v>5.7999999999999996E-3</v>
      </c>
      <c r="V22">
        <v>5.2008999999999999</v>
      </c>
      <c r="W22">
        <v>2.52E-2</v>
      </c>
      <c r="X22">
        <v>5.2009999999999996</v>
      </c>
      <c r="Y22">
        <v>74.001999999999995</v>
      </c>
      <c r="Z22">
        <v>-3.0000000000000001E-3</v>
      </c>
      <c r="AA22">
        <v>0</v>
      </c>
      <c r="AB22">
        <v>-0.4</v>
      </c>
      <c r="AC22">
        <v>6</v>
      </c>
      <c r="AD22">
        <v>1.15E-2</v>
      </c>
      <c r="AE22">
        <v>-1.0630999999999999</v>
      </c>
      <c r="AF22">
        <v>0.85899999999999999</v>
      </c>
      <c r="AG22">
        <v>-3.5000000000000001E-3</v>
      </c>
      <c r="AH22">
        <v>-1.0630999999999999</v>
      </c>
      <c r="AI22">
        <v>1.0630999999999999</v>
      </c>
      <c r="AJ22">
        <v>0.85899999999999999</v>
      </c>
      <c r="AK22">
        <v>5.0000000000000001E-4</v>
      </c>
      <c r="AL22">
        <v>1.0630999999999999</v>
      </c>
      <c r="AM22">
        <v>-1.2589999999999999</v>
      </c>
      <c r="AN22">
        <v>122.804</v>
      </c>
      <c r="AO22">
        <v>-5.0000000000000001E-3</v>
      </c>
      <c r="AP22">
        <v>-2.5000000000000001E-2</v>
      </c>
      <c r="AQ22">
        <v>0.02</v>
      </c>
      <c r="AR22">
        <v>11</v>
      </c>
      <c r="AS22">
        <v>-5.8999999999999999E-3</v>
      </c>
      <c r="AT22">
        <v>-2.47E-2</v>
      </c>
      <c r="AU22">
        <v>-8.4000000000000005E-2</v>
      </c>
      <c r="AV22">
        <v>-5.8999999999999999E-3</v>
      </c>
      <c r="AW22">
        <v>-2.47E-2</v>
      </c>
      <c r="AX22">
        <v>2.5399999999999999E-2</v>
      </c>
      <c r="AY22">
        <v>-8.4000000000000005E-2</v>
      </c>
      <c r="AZ22">
        <v>8.9999999999999998E-4</v>
      </c>
      <c r="BA22">
        <v>-2.9999999999999997E-4</v>
      </c>
      <c r="BB22">
        <v>0.104</v>
      </c>
      <c r="BE22" t="s">
        <v>253</v>
      </c>
      <c r="BF22" s="12">
        <f>IF(sim_a[[#This Row],[final_trolley_dropoff_error_x]]="","",ABS(sim_a[[#This Row],[final_trolley_dropoff_error_x]])*1000)</f>
        <v>5.8</v>
      </c>
      <c r="BG22" s="12">
        <f>IF(sim_a[[#This Row],[final_trolley_dropoff_error_y]]="","",ABS(sim_a[[#This Row],[final_trolley_dropoff_error_y]])*1000)</f>
        <v>0.7</v>
      </c>
      <c r="BH22" s="12">
        <f>IF(sim_a[[#This Row],[final_trolley_dropoff_error_dist]]="","",sim_a[[#This Row],[final_trolley_dropoff_error_dist]]*1000)</f>
        <v>5.8</v>
      </c>
      <c r="BI22" s="12">
        <f>IF(sim_a[[#This Row],[final_robot_charging_error_x]]="","",ABS(sim_a[[#This Row],[final_robot_charging_error_x]])*1000)</f>
        <v>5200.8999999999996</v>
      </c>
      <c r="BJ22" s="12">
        <f>IF(sim_a[[#This Row],[final_robot_charging_error_y]]="","",ABS(sim_a[[#This Row],[final_robot_charging_error_y]])*1000)</f>
        <v>25.2</v>
      </c>
      <c r="BK22" s="12">
        <f>IF(sim_a[[#This Row],[final_robot_charging_error_dist]]="","",sim_a[[#This Row],[final_robot_charging_error_dist]]*1000)</f>
        <v>5201</v>
      </c>
      <c r="BL22" s="12">
        <f>IF(sim_a[[#This Row],[side_align_aruco_est_error_x]]="","",ABS(sim_a[[#This Row],[side_align_aruco_est_error_x]])*1000)</f>
        <v>3</v>
      </c>
      <c r="BM22" s="12">
        <f>IF(sim_a[[#This Row],[side_align_aruco_est_error_y]]="","",ABS(sim_a[[#This Row],[side_align_aruco_est_error_y]])*1000)</f>
        <v>0</v>
      </c>
      <c r="BN22" s="12">
        <f>IF(sim_a[[#This Row],[side_align_aruco_est_yaw_error_deg]]="","",ABS(sim_a[[#This Row],[side_align_aruco_est_yaw_error_deg]]))</f>
        <v>0.4</v>
      </c>
      <c r="BO22" s="12">
        <f>IF(sim_a[[#This Row],[side_align_actual_aruco_error_x]]="","",ABS(sim_a[[#This Row],[side_align_actual_aruco_error_x]])*1000)</f>
        <v>3.5</v>
      </c>
      <c r="BP22" s="12">
        <f>IF(sim_a[[#This Row],[side_align_actual_aruco_error_y]]="","",ABS(sim_a[[#This Row],[side_align_actual_aruco_error_y]])*1000)</f>
        <v>1063.0999999999999</v>
      </c>
      <c r="BQ22" s="12">
        <f>IF(sim_a[[#This Row],[side_align_actual_aruco_yaw_error_deg]]="","",ABS(sim_a[[#This Row],[side_align_actual_aruco_yaw_error_deg]]))</f>
        <v>0.85899999999999999</v>
      </c>
      <c r="BR22" s="12">
        <f>IF(sim_a[[#This Row],[side_align_aruco_vs_actual_error_x]]="","",ABS(sim_a[[#This Row],[side_align_aruco_vs_actual_error_x]])*1000)</f>
        <v>0.5</v>
      </c>
      <c r="BS22" s="12">
        <f>IF(sim_a[[#This Row],[side_align_aruco_vs_actual_error_y]]="","",ABS(sim_a[[#This Row],[side_align_aruco_vs_actual_error_y]])*1000)</f>
        <v>1063.0999999999999</v>
      </c>
      <c r="BT22" s="12">
        <f>IF(sim_a[[#This Row],[side_align_aruco_vs_actual_yaw_error_deg]]="","",ABS(sim_a[[#This Row],[side_align_aruco_vs_actual_yaw_error_deg]]))</f>
        <v>1.2589999999999999</v>
      </c>
      <c r="BU22" s="12">
        <f>IF(sim_a[[#This Row],[fine_align_aruco_est_error_x]]="","",ABS(sim_a[[#This Row],[fine_align_aruco_est_error_x]])*1000)</f>
        <v>5</v>
      </c>
      <c r="BV22" s="12">
        <f>IF(sim_a[[#This Row],[fine_align_aruco_est_error_y]]="","",ABS(sim_a[[#This Row],[fine_align_aruco_est_error_y]])*1000)</f>
        <v>25</v>
      </c>
      <c r="BW22" s="12">
        <f>IF(sim_a[[#This Row],[fine_align_aruco_est_yaw_error_deg]]="","",ABS(sim_a[[#This Row],[fine_align_aruco_est_yaw_error_deg]]))</f>
        <v>0.02</v>
      </c>
      <c r="BX22" s="12">
        <f>IF(sim_a[[#This Row],[fine_align_actual_aruco_error_x]]="","",ABS(sim_a[[#This Row],[fine_align_actual_aruco_error_x]])*1000)</f>
        <v>5.8999999999999995</v>
      </c>
      <c r="BY22" s="12">
        <f>IF(sim_a[[#This Row],[fine_align_actual_aruco_error_y]]="","",ABS(sim_a[[#This Row],[fine_align_actual_aruco_error_y]])*1000)</f>
        <v>24.7</v>
      </c>
      <c r="BZ22" s="12">
        <f>IF(sim_a[[#This Row],[fine_align_actual_aruco_yaw_error_deg]]="","",ABS(sim_a[[#This Row],[fine_align_actual_aruco_yaw_error_deg]]))</f>
        <v>8.4000000000000005E-2</v>
      </c>
      <c r="CA22" s="12">
        <f>IF(sim_a[[#This Row],[fine_align_aruco_vs_actual_error_x]]="","",ABS(sim_a[[#This Row],[fine_align_aruco_vs_actual_error_x]])*1000)</f>
        <v>0.9</v>
      </c>
      <c r="CB22" s="12">
        <f>IF(sim_a[[#This Row],[fine_align_aruco_vs_actual_error_y]]="","",ABS(sim_a[[#This Row],[fine_align_aruco_vs_actual_error_y]])*1000)</f>
        <v>0.3</v>
      </c>
      <c r="CC22" s="12">
        <f>IF(sim_a[[#This Row],[fine_align_aruco_vs_actual_yaw_error_deg]]="","",ABS(sim_a[[#This Row],[fine_align_aruco_vs_actual_yaw_error_deg]]))</f>
        <v>0.104</v>
      </c>
    </row>
    <row r="23" spans="1:81" x14ac:dyDescent="0.25">
      <c r="A23" t="s">
        <v>107</v>
      </c>
      <c r="B23" t="b">
        <v>1</v>
      </c>
      <c r="E23">
        <v>274.303</v>
      </c>
      <c r="F23">
        <v>10.193</v>
      </c>
      <c r="G23">
        <v>274.3</v>
      </c>
      <c r="H23">
        <v>12.364000000000001</v>
      </c>
      <c r="I23">
        <v>139.53800000000001</v>
      </c>
      <c r="J23">
        <v>207.553</v>
      </c>
      <c r="K23">
        <v>180.095</v>
      </c>
      <c r="L23">
        <v>273.29300000000001</v>
      </c>
      <c r="M23">
        <v>5.2096999999999998</v>
      </c>
      <c r="N23">
        <v>-3.4500000000000003E-2</v>
      </c>
      <c r="O23">
        <v>-3.4049999999999998</v>
      </c>
      <c r="P23">
        <v>-2.0000000000000001E-4</v>
      </c>
      <c r="Q23">
        <v>0.10979999999999999</v>
      </c>
      <c r="R23">
        <v>3.0000000000000001E-3</v>
      </c>
      <c r="S23">
        <v>9.7000000000000003E-3</v>
      </c>
      <c r="T23">
        <v>-3.4500000000000003E-2</v>
      </c>
      <c r="U23">
        <v>3.5900000000000001E-2</v>
      </c>
      <c r="V23">
        <v>-2.0000000000000001E-4</v>
      </c>
      <c r="W23">
        <v>0.10979999999999999</v>
      </c>
      <c r="X23">
        <v>0.10979999999999999</v>
      </c>
      <c r="Y23">
        <v>88.153999999999996</v>
      </c>
      <c r="Z23">
        <v>-5.0000000000000001E-3</v>
      </c>
      <c r="AA23">
        <v>0</v>
      </c>
      <c r="AB23">
        <v>0.83</v>
      </c>
      <c r="AC23">
        <v>5</v>
      </c>
      <c r="AD23">
        <v>1.06E-2</v>
      </c>
      <c r="AE23">
        <v>-1.0542</v>
      </c>
      <c r="AF23">
        <v>0.98599999999999999</v>
      </c>
      <c r="AG23">
        <v>-4.4000000000000003E-3</v>
      </c>
      <c r="AH23">
        <v>-1.0542</v>
      </c>
      <c r="AI23">
        <v>1.0542</v>
      </c>
      <c r="AJ23">
        <v>0.98599999999999999</v>
      </c>
      <c r="AK23">
        <v>-5.9999999999999995E-4</v>
      </c>
      <c r="AL23">
        <v>1.0542</v>
      </c>
      <c r="AM23">
        <v>-0.156</v>
      </c>
      <c r="AN23">
        <v>139.48599999999999</v>
      </c>
      <c r="AO23">
        <v>7.0000000000000001E-3</v>
      </c>
      <c r="AP23">
        <v>-2.5000000000000001E-2</v>
      </c>
      <c r="AQ23">
        <v>0.02</v>
      </c>
      <c r="AR23">
        <v>11</v>
      </c>
      <c r="AS23">
        <v>5.7999999999999996E-3</v>
      </c>
      <c r="AT23">
        <v>-2.46E-2</v>
      </c>
      <c r="AU23">
        <v>-9.8000000000000004E-2</v>
      </c>
      <c r="AV23">
        <v>5.7999999999999996E-3</v>
      </c>
      <c r="AW23">
        <v>-2.46E-2</v>
      </c>
      <c r="AX23">
        <v>2.53E-2</v>
      </c>
      <c r="AY23">
        <v>-9.8000000000000004E-2</v>
      </c>
      <c r="AZ23">
        <v>1.1999999999999999E-3</v>
      </c>
      <c r="BA23">
        <v>-4.0000000000000002E-4</v>
      </c>
      <c r="BB23">
        <v>0.11799999999999999</v>
      </c>
      <c r="BE23" t="s">
        <v>254</v>
      </c>
      <c r="BF23" s="12">
        <f>IF(sim_a[[#This Row],[final_trolley_dropoff_error_x]]="","",ABS(sim_a[[#This Row],[final_trolley_dropoff_error_x]])*1000)</f>
        <v>9.7000000000000011</v>
      </c>
      <c r="BG23" s="12">
        <f>IF(sim_a[[#This Row],[final_trolley_dropoff_error_y]]="","",ABS(sim_a[[#This Row],[final_trolley_dropoff_error_y]])*1000)</f>
        <v>34.5</v>
      </c>
      <c r="BH23" s="12">
        <f>IF(sim_a[[#This Row],[final_trolley_dropoff_error_dist]]="","",sim_a[[#This Row],[final_trolley_dropoff_error_dist]]*1000)</f>
        <v>35.9</v>
      </c>
      <c r="BI23" s="12">
        <f>IF(sim_a[[#This Row],[final_robot_charging_error_x]]="","",ABS(sim_a[[#This Row],[final_robot_charging_error_x]])*1000)</f>
        <v>0.2</v>
      </c>
      <c r="BJ23" s="12">
        <f>IF(sim_a[[#This Row],[final_robot_charging_error_y]]="","",ABS(sim_a[[#This Row],[final_robot_charging_error_y]])*1000)</f>
        <v>109.8</v>
      </c>
      <c r="BK23" s="12">
        <f>IF(sim_a[[#This Row],[final_robot_charging_error_dist]]="","",sim_a[[#This Row],[final_robot_charging_error_dist]]*1000)</f>
        <v>109.8</v>
      </c>
      <c r="BL23" s="12">
        <f>IF(sim_a[[#This Row],[side_align_aruco_est_error_x]]="","",ABS(sim_a[[#This Row],[side_align_aruco_est_error_x]])*1000)</f>
        <v>5</v>
      </c>
      <c r="BM23" s="12">
        <f>IF(sim_a[[#This Row],[side_align_aruco_est_error_y]]="","",ABS(sim_a[[#This Row],[side_align_aruco_est_error_y]])*1000)</f>
        <v>0</v>
      </c>
      <c r="BN23" s="12">
        <f>IF(sim_a[[#This Row],[side_align_aruco_est_yaw_error_deg]]="","",ABS(sim_a[[#This Row],[side_align_aruco_est_yaw_error_deg]]))</f>
        <v>0.83</v>
      </c>
      <c r="BO23" s="12">
        <f>IF(sim_a[[#This Row],[side_align_actual_aruco_error_x]]="","",ABS(sim_a[[#This Row],[side_align_actual_aruco_error_x]])*1000)</f>
        <v>4.4000000000000004</v>
      </c>
      <c r="BP23" s="12">
        <f>IF(sim_a[[#This Row],[side_align_actual_aruco_error_y]]="","",ABS(sim_a[[#This Row],[side_align_actual_aruco_error_y]])*1000)</f>
        <v>1054.2</v>
      </c>
      <c r="BQ23" s="12">
        <f>IF(sim_a[[#This Row],[side_align_actual_aruco_yaw_error_deg]]="","",ABS(sim_a[[#This Row],[side_align_actual_aruco_yaw_error_deg]]))</f>
        <v>0.98599999999999999</v>
      </c>
      <c r="BR23" s="12">
        <f>IF(sim_a[[#This Row],[side_align_aruco_vs_actual_error_x]]="","",ABS(sim_a[[#This Row],[side_align_aruco_vs_actual_error_x]])*1000)</f>
        <v>0.6</v>
      </c>
      <c r="BS23" s="12">
        <f>IF(sim_a[[#This Row],[side_align_aruco_vs_actual_error_y]]="","",ABS(sim_a[[#This Row],[side_align_aruco_vs_actual_error_y]])*1000)</f>
        <v>1054.2</v>
      </c>
      <c r="BT23" s="12">
        <f>IF(sim_a[[#This Row],[side_align_aruco_vs_actual_yaw_error_deg]]="","",ABS(sim_a[[#This Row],[side_align_aruco_vs_actual_yaw_error_deg]]))</f>
        <v>0.156</v>
      </c>
      <c r="BU23" s="12">
        <f>IF(sim_a[[#This Row],[fine_align_aruco_est_error_x]]="","",ABS(sim_a[[#This Row],[fine_align_aruco_est_error_x]])*1000)</f>
        <v>7</v>
      </c>
      <c r="BV23" s="12">
        <f>IF(sim_a[[#This Row],[fine_align_aruco_est_error_y]]="","",ABS(sim_a[[#This Row],[fine_align_aruco_est_error_y]])*1000)</f>
        <v>25</v>
      </c>
      <c r="BW23" s="12">
        <f>IF(sim_a[[#This Row],[fine_align_aruco_est_yaw_error_deg]]="","",ABS(sim_a[[#This Row],[fine_align_aruco_est_yaw_error_deg]]))</f>
        <v>0.02</v>
      </c>
      <c r="BX23" s="12">
        <f>IF(sim_a[[#This Row],[fine_align_actual_aruco_error_x]]="","",ABS(sim_a[[#This Row],[fine_align_actual_aruco_error_x]])*1000)</f>
        <v>5.8</v>
      </c>
      <c r="BY23" s="12">
        <f>IF(sim_a[[#This Row],[fine_align_actual_aruco_error_y]]="","",ABS(sim_a[[#This Row],[fine_align_actual_aruco_error_y]])*1000)</f>
        <v>24.6</v>
      </c>
      <c r="BZ23" s="12">
        <f>IF(sim_a[[#This Row],[fine_align_actual_aruco_yaw_error_deg]]="","",ABS(sim_a[[#This Row],[fine_align_actual_aruco_yaw_error_deg]]))</f>
        <v>9.8000000000000004E-2</v>
      </c>
      <c r="CA23" s="12">
        <f>IF(sim_a[[#This Row],[fine_align_aruco_vs_actual_error_x]]="","",ABS(sim_a[[#This Row],[fine_align_aruco_vs_actual_error_x]])*1000)</f>
        <v>1.2</v>
      </c>
      <c r="CB23" s="12">
        <f>IF(sim_a[[#This Row],[fine_align_aruco_vs_actual_error_y]]="","",ABS(sim_a[[#This Row],[fine_align_aruco_vs_actual_error_y]])*1000)</f>
        <v>0.4</v>
      </c>
      <c r="CC23" s="12">
        <f>IF(sim_a[[#This Row],[fine_align_aruco_vs_actual_yaw_error_deg]]="","",ABS(sim_a[[#This Row],[fine_align_aruco_vs_actual_yaw_error_deg]]))</f>
        <v>0.11799999999999999</v>
      </c>
    </row>
    <row r="24" spans="1:81" x14ac:dyDescent="0.25">
      <c r="A24" t="s">
        <v>108</v>
      </c>
      <c r="B24" t="b">
        <v>1</v>
      </c>
      <c r="E24">
        <v>265.05700000000002</v>
      </c>
      <c r="F24">
        <v>9.7910000000000004</v>
      </c>
      <c r="G24">
        <v>265.05500000000001</v>
      </c>
      <c r="H24">
        <v>13.208</v>
      </c>
      <c r="I24">
        <v>126.93600000000001</v>
      </c>
      <c r="J24">
        <v>199.126</v>
      </c>
      <c r="K24">
        <v>167.85300000000001</v>
      </c>
      <c r="L24">
        <v>264.04899999999998</v>
      </c>
      <c r="M24">
        <v>5.2027999999999999</v>
      </c>
      <c r="N24">
        <v>-3.4099999999999998E-2</v>
      </c>
      <c r="O24">
        <v>-0.496</v>
      </c>
      <c r="P24">
        <v>2.0000000000000001E-4</v>
      </c>
      <c r="Q24">
        <v>0.109</v>
      </c>
      <c r="R24">
        <v>4.0000000000000001E-3</v>
      </c>
      <c r="S24">
        <v>2.8E-3</v>
      </c>
      <c r="T24">
        <v>-3.4099999999999998E-2</v>
      </c>
      <c r="U24">
        <v>3.4200000000000001E-2</v>
      </c>
      <c r="V24">
        <v>2.0000000000000001E-4</v>
      </c>
      <c r="W24">
        <v>0.109</v>
      </c>
      <c r="X24">
        <v>0.109</v>
      </c>
      <c r="Y24">
        <v>76.311000000000007</v>
      </c>
      <c r="Z24">
        <v>8.0000000000000002E-3</v>
      </c>
      <c r="AA24">
        <v>0</v>
      </c>
      <c r="AB24">
        <v>0.13</v>
      </c>
      <c r="AC24">
        <v>6</v>
      </c>
      <c r="AD24">
        <v>1.8599999999999998E-2</v>
      </c>
      <c r="AE24">
        <v>-1.0581</v>
      </c>
      <c r="AF24">
        <v>0.434</v>
      </c>
      <c r="AG24">
        <v>3.5999999999999999E-3</v>
      </c>
      <c r="AH24">
        <v>-1.0581</v>
      </c>
      <c r="AI24">
        <v>1.0581</v>
      </c>
      <c r="AJ24">
        <v>0.434</v>
      </c>
      <c r="AK24">
        <v>4.4000000000000003E-3</v>
      </c>
      <c r="AL24">
        <v>1.0581</v>
      </c>
      <c r="AM24">
        <v>-0.30399999999999999</v>
      </c>
      <c r="AN24">
        <v>126.884</v>
      </c>
      <c r="AO24">
        <v>8.0000000000000002E-3</v>
      </c>
      <c r="AP24">
        <v>-2.5000000000000001E-2</v>
      </c>
      <c r="AQ24">
        <v>0.03</v>
      </c>
      <c r="AR24">
        <v>11</v>
      </c>
      <c r="AS24">
        <v>6.8999999999999999E-3</v>
      </c>
      <c r="AT24">
        <v>-2.4500000000000001E-2</v>
      </c>
      <c r="AU24">
        <v>-0.17399999999999999</v>
      </c>
      <c r="AV24">
        <v>6.8999999999999999E-3</v>
      </c>
      <c r="AW24">
        <v>-2.4500000000000001E-2</v>
      </c>
      <c r="AX24">
        <v>2.5399999999999999E-2</v>
      </c>
      <c r="AY24">
        <v>-0.17399999999999999</v>
      </c>
      <c r="AZ24">
        <v>1.1000000000000001E-3</v>
      </c>
      <c r="BA24">
        <v>-5.0000000000000001E-4</v>
      </c>
      <c r="BB24">
        <v>0.20399999999999999</v>
      </c>
      <c r="BE24" t="s">
        <v>255</v>
      </c>
      <c r="BF24" s="12">
        <f>IF(sim_a[[#This Row],[final_trolley_dropoff_error_x]]="","",ABS(sim_a[[#This Row],[final_trolley_dropoff_error_x]])*1000)</f>
        <v>2.8</v>
      </c>
      <c r="BG24" s="12">
        <f>IF(sim_a[[#This Row],[final_trolley_dropoff_error_y]]="","",ABS(sim_a[[#This Row],[final_trolley_dropoff_error_y]])*1000)</f>
        <v>34.1</v>
      </c>
      <c r="BH24" s="12">
        <f>IF(sim_a[[#This Row],[final_trolley_dropoff_error_dist]]="","",sim_a[[#This Row],[final_trolley_dropoff_error_dist]]*1000)</f>
        <v>34.200000000000003</v>
      </c>
      <c r="BI24" s="12">
        <f>IF(sim_a[[#This Row],[final_robot_charging_error_x]]="","",ABS(sim_a[[#This Row],[final_robot_charging_error_x]])*1000)</f>
        <v>0.2</v>
      </c>
      <c r="BJ24" s="12">
        <f>IF(sim_a[[#This Row],[final_robot_charging_error_y]]="","",ABS(sim_a[[#This Row],[final_robot_charging_error_y]])*1000)</f>
        <v>109</v>
      </c>
      <c r="BK24" s="12">
        <f>IF(sim_a[[#This Row],[final_robot_charging_error_dist]]="","",sim_a[[#This Row],[final_robot_charging_error_dist]]*1000)</f>
        <v>109</v>
      </c>
      <c r="BL24" s="12">
        <f>IF(sim_a[[#This Row],[side_align_aruco_est_error_x]]="","",ABS(sim_a[[#This Row],[side_align_aruco_est_error_x]])*1000)</f>
        <v>8</v>
      </c>
      <c r="BM24" s="12">
        <f>IF(sim_a[[#This Row],[side_align_aruco_est_error_y]]="","",ABS(sim_a[[#This Row],[side_align_aruco_est_error_y]])*1000)</f>
        <v>0</v>
      </c>
      <c r="BN24" s="12">
        <f>IF(sim_a[[#This Row],[side_align_aruco_est_yaw_error_deg]]="","",ABS(sim_a[[#This Row],[side_align_aruco_est_yaw_error_deg]]))</f>
        <v>0.13</v>
      </c>
      <c r="BO24" s="12">
        <f>IF(sim_a[[#This Row],[side_align_actual_aruco_error_x]]="","",ABS(sim_a[[#This Row],[side_align_actual_aruco_error_x]])*1000)</f>
        <v>3.6</v>
      </c>
      <c r="BP24" s="12">
        <f>IF(sim_a[[#This Row],[side_align_actual_aruco_error_y]]="","",ABS(sim_a[[#This Row],[side_align_actual_aruco_error_y]])*1000)</f>
        <v>1058.1000000000001</v>
      </c>
      <c r="BQ24" s="12">
        <f>IF(sim_a[[#This Row],[side_align_actual_aruco_yaw_error_deg]]="","",ABS(sim_a[[#This Row],[side_align_actual_aruco_yaw_error_deg]]))</f>
        <v>0.434</v>
      </c>
      <c r="BR24" s="12">
        <f>IF(sim_a[[#This Row],[side_align_aruco_vs_actual_error_x]]="","",ABS(sim_a[[#This Row],[side_align_aruco_vs_actual_error_x]])*1000)</f>
        <v>4.4000000000000004</v>
      </c>
      <c r="BS24" s="12">
        <f>IF(sim_a[[#This Row],[side_align_aruco_vs_actual_error_y]]="","",ABS(sim_a[[#This Row],[side_align_aruco_vs_actual_error_y]])*1000)</f>
        <v>1058.1000000000001</v>
      </c>
      <c r="BT24" s="12">
        <f>IF(sim_a[[#This Row],[side_align_aruco_vs_actual_yaw_error_deg]]="","",ABS(sim_a[[#This Row],[side_align_aruco_vs_actual_yaw_error_deg]]))</f>
        <v>0.30399999999999999</v>
      </c>
      <c r="BU24" s="12">
        <f>IF(sim_a[[#This Row],[fine_align_aruco_est_error_x]]="","",ABS(sim_a[[#This Row],[fine_align_aruco_est_error_x]])*1000)</f>
        <v>8</v>
      </c>
      <c r="BV24" s="12">
        <f>IF(sim_a[[#This Row],[fine_align_aruco_est_error_y]]="","",ABS(sim_a[[#This Row],[fine_align_aruco_est_error_y]])*1000)</f>
        <v>25</v>
      </c>
      <c r="BW24" s="12">
        <f>IF(sim_a[[#This Row],[fine_align_aruco_est_yaw_error_deg]]="","",ABS(sim_a[[#This Row],[fine_align_aruco_est_yaw_error_deg]]))</f>
        <v>0.03</v>
      </c>
      <c r="BX24" s="12">
        <f>IF(sim_a[[#This Row],[fine_align_actual_aruco_error_x]]="","",ABS(sim_a[[#This Row],[fine_align_actual_aruco_error_x]])*1000)</f>
        <v>6.8999999999999995</v>
      </c>
      <c r="BY24" s="12">
        <f>IF(sim_a[[#This Row],[fine_align_actual_aruco_error_y]]="","",ABS(sim_a[[#This Row],[fine_align_actual_aruco_error_y]])*1000)</f>
        <v>24.5</v>
      </c>
      <c r="BZ24" s="12">
        <f>IF(sim_a[[#This Row],[fine_align_actual_aruco_yaw_error_deg]]="","",ABS(sim_a[[#This Row],[fine_align_actual_aruco_yaw_error_deg]]))</f>
        <v>0.17399999999999999</v>
      </c>
      <c r="CA24" s="12">
        <f>IF(sim_a[[#This Row],[fine_align_aruco_vs_actual_error_x]]="","",ABS(sim_a[[#This Row],[fine_align_aruco_vs_actual_error_x]])*1000)</f>
        <v>1.1000000000000001</v>
      </c>
      <c r="CB24" s="12">
        <f>IF(sim_a[[#This Row],[fine_align_aruco_vs_actual_error_y]]="","",ABS(sim_a[[#This Row],[fine_align_aruco_vs_actual_error_y]])*1000)</f>
        <v>0.5</v>
      </c>
      <c r="CC24" s="12">
        <f>IF(sim_a[[#This Row],[fine_align_aruco_vs_actual_yaw_error_deg]]="","",ABS(sim_a[[#This Row],[fine_align_aruco_vs_actual_yaw_error_deg]]))</f>
        <v>0.20399999999999999</v>
      </c>
    </row>
    <row r="25" spans="1:81" x14ac:dyDescent="0.25">
      <c r="A25" t="s">
        <v>109</v>
      </c>
      <c r="B25" t="b">
        <v>1</v>
      </c>
      <c r="E25">
        <v>273.25</v>
      </c>
      <c r="F25">
        <v>9.7370000000000001</v>
      </c>
      <c r="G25">
        <v>273.24799999999999</v>
      </c>
      <c r="H25">
        <v>17.405000000000001</v>
      </c>
      <c r="I25">
        <v>136.28</v>
      </c>
      <c r="J25">
        <v>205.976</v>
      </c>
      <c r="K25">
        <v>176.05600000000001</v>
      </c>
      <c r="L25">
        <v>272.24</v>
      </c>
      <c r="M25">
        <v>5.1965000000000003</v>
      </c>
      <c r="N25">
        <v>-0.1885</v>
      </c>
      <c r="O25">
        <v>0.57299999999999995</v>
      </c>
      <c r="P25">
        <v>0</v>
      </c>
      <c r="Q25">
        <v>9.4399999999999998E-2</v>
      </c>
      <c r="R25">
        <v>-3.0000000000000001E-3</v>
      </c>
      <c r="S25">
        <v>-3.5000000000000001E-3</v>
      </c>
      <c r="T25">
        <v>-0.1885</v>
      </c>
      <c r="U25">
        <v>0.1885</v>
      </c>
      <c r="V25">
        <v>0</v>
      </c>
      <c r="W25">
        <v>9.4399999999999998E-2</v>
      </c>
      <c r="X25">
        <v>9.4399999999999998E-2</v>
      </c>
      <c r="Y25">
        <v>86.043999999999997</v>
      </c>
      <c r="Z25">
        <v>-3.0000000000000001E-3</v>
      </c>
      <c r="AA25">
        <v>0</v>
      </c>
      <c r="AB25">
        <v>0.32</v>
      </c>
      <c r="AC25">
        <v>5</v>
      </c>
      <c r="AD25">
        <v>1.1599999999999999E-2</v>
      </c>
      <c r="AE25">
        <v>-1.0661</v>
      </c>
      <c r="AF25">
        <v>2.3380000000000001</v>
      </c>
      <c r="AG25">
        <v>-3.3999999999999998E-3</v>
      </c>
      <c r="AH25">
        <v>-1.0661</v>
      </c>
      <c r="AI25">
        <v>1.0661</v>
      </c>
      <c r="AJ25">
        <v>2.3380000000000001</v>
      </c>
      <c r="AK25">
        <v>4.0000000000000002E-4</v>
      </c>
      <c r="AL25">
        <v>1.0661</v>
      </c>
      <c r="AM25">
        <v>-2.0179999999999998</v>
      </c>
      <c r="AN25">
        <v>136.27799999999999</v>
      </c>
      <c r="AO25">
        <v>-7.0000000000000001E-3</v>
      </c>
      <c r="AP25">
        <v>-2.5000000000000001E-2</v>
      </c>
      <c r="AQ25">
        <v>-0.09</v>
      </c>
      <c r="AR25">
        <v>11</v>
      </c>
      <c r="AS25">
        <v>-6.6E-3</v>
      </c>
      <c r="AT25">
        <v>-2.4899999999999999E-2</v>
      </c>
      <c r="AU25">
        <v>-0.16900000000000001</v>
      </c>
      <c r="AV25">
        <v>-6.6E-3</v>
      </c>
      <c r="AW25">
        <v>-2.4899999999999999E-2</v>
      </c>
      <c r="AX25">
        <v>2.5700000000000001E-2</v>
      </c>
      <c r="AY25">
        <v>-0.16900000000000001</v>
      </c>
      <c r="AZ25">
        <v>-4.0000000000000002E-4</v>
      </c>
      <c r="BA25">
        <v>-1E-4</v>
      </c>
      <c r="BB25">
        <v>7.9000000000000001E-2</v>
      </c>
      <c r="BE25" t="s">
        <v>256</v>
      </c>
      <c r="BF25" s="12">
        <f>IF(sim_a[[#This Row],[final_trolley_dropoff_error_x]]="","",ABS(sim_a[[#This Row],[final_trolley_dropoff_error_x]])*1000)</f>
        <v>3.5</v>
      </c>
      <c r="BG25" s="12">
        <f>IF(sim_a[[#This Row],[final_trolley_dropoff_error_y]]="","",ABS(sim_a[[#This Row],[final_trolley_dropoff_error_y]])*1000)</f>
        <v>188.5</v>
      </c>
      <c r="BH25" s="12">
        <f>IF(sim_a[[#This Row],[final_trolley_dropoff_error_dist]]="","",sim_a[[#This Row],[final_trolley_dropoff_error_dist]]*1000)</f>
        <v>188.5</v>
      </c>
      <c r="BI25" s="12">
        <f>IF(sim_a[[#This Row],[final_robot_charging_error_x]]="","",ABS(sim_a[[#This Row],[final_robot_charging_error_x]])*1000)</f>
        <v>0</v>
      </c>
      <c r="BJ25" s="12">
        <f>IF(sim_a[[#This Row],[final_robot_charging_error_y]]="","",ABS(sim_a[[#This Row],[final_robot_charging_error_y]])*1000)</f>
        <v>94.399999999999991</v>
      </c>
      <c r="BK25" s="12">
        <f>IF(sim_a[[#This Row],[final_robot_charging_error_dist]]="","",sim_a[[#This Row],[final_robot_charging_error_dist]]*1000)</f>
        <v>94.399999999999991</v>
      </c>
      <c r="BL25" s="12">
        <f>IF(sim_a[[#This Row],[side_align_aruco_est_error_x]]="","",ABS(sim_a[[#This Row],[side_align_aruco_est_error_x]])*1000)</f>
        <v>3</v>
      </c>
      <c r="BM25" s="12">
        <f>IF(sim_a[[#This Row],[side_align_aruco_est_error_y]]="","",ABS(sim_a[[#This Row],[side_align_aruco_est_error_y]])*1000)</f>
        <v>0</v>
      </c>
      <c r="BN25" s="12">
        <f>IF(sim_a[[#This Row],[side_align_aruco_est_yaw_error_deg]]="","",ABS(sim_a[[#This Row],[side_align_aruco_est_yaw_error_deg]]))</f>
        <v>0.32</v>
      </c>
      <c r="BO25" s="12">
        <f>IF(sim_a[[#This Row],[side_align_actual_aruco_error_x]]="","",ABS(sim_a[[#This Row],[side_align_actual_aruco_error_x]])*1000)</f>
        <v>3.4</v>
      </c>
      <c r="BP25" s="12">
        <f>IF(sim_a[[#This Row],[side_align_actual_aruco_error_y]]="","",ABS(sim_a[[#This Row],[side_align_actual_aruco_error_y]])*1000)</f>
        <v>1066.1000000000001</v>
      </c>
      <c r="BQ25" s="12">
        <f>IF(sim_a[[#This Row],[side_align_actual_aruco_yaw_error_deg]]="","",ABS(sim_a[[#This Row],[side_align_actual_aruco_yaw_error_deg]]))</f>
        <v>2.3380000000000001</v>
      </c>
      <c r="BR25" s="12">
        <f>IF(sim_a[[#This Row],[side_align_aruco_vs_actual_error_x]]="","",ABS(sim_a[[#This Row],[side_align_aruco_vs_actual_error_x]])*1000)</f>
        <v>0.4</v>
      </c>
      <c r="BS25" s="12">
        <f>IF(sim_a[[#This Row],[side_align_aruco_vs_actual_error_y]]="","",ABS(sim_a[[#This Row],[side_align_aruco_vs_actual_error_y]])*1000)</f>
        <v>1066.1000000000001</v>
      </c>
      <c r="BT25" s="12">
        <f>IF(sim_a[[#This Row],[side_align_aruco_vs_actual_yaw_error_deg]]="","",ABS(sim_a[[#This Row],[side_align_aruco_vs_actual_yaw_error_deg]]))</f>
        <v>2.0179999999999998</v>
      </c>
      <c r="BU25" s="12">
        <f>IF(sim_a[[#This Row],[fine_align_aruco_est_error_x]]="","",ABS(sim_a[[#This Row],[fine_align_aruco_est_error_x]])*1000)</f>
        <v>7</v>
      </c>
      <c r="BV25" s="12">
        <f>IF(sim_a[[#This Row],[fine_align_aruco_est_error_y]]="","",ABS(sim_a[[#This Row],[fine_align_aruco_est_error_y]])*1000)</f>
        <v>25</v>
      </c>
      <c r="BW25" s="12">
        <f>IF(sim_a[[#This Row],[fine_align_aruco_est_yaw_error_deg]]="","",ABS(sim_a[[#This Row],[fine_align_aruco_est_yaw_error_deg]]))</f>
        <v>0.09</v>
      </c>
      <c r="BX25" s="12">
        <f>IF(sim_a[[#This Row],[fine_align_actual_aruco_error_x]]="","",ABS(sim_a[[#This Row],[fine_align_actual_aruco_error_x]])*1000)</f>
        <v>6.6</v>
      </c>
      <c r="BY25" s="12">
        <f>IF(sim_a[[#This Row],[fine_align_actual_aruco_error_y]]="","",ABS(sim_a[[#This Row],[fine_align_actual_aruco_error_y]])*1000)</f>
        <v>24.9</v>
      </c>
      <c r="BZ25" s="12">
        <f>IF(sim_a[[#This Row],[fine_align_actual_aruco_yaw_error_deg]]="","",ABS(sim_a[[#This Row],[fine_align_actual_aruco_yaw_error_deg]]))</f>
        <v>0.16900000000000001</v>
      </c>
      <c r="CA25" s="12">
        <f>IF(sim_a[[#This Row],[fine_align_aruco_vs_actual_error_x]]="","",ABS(sim_a[[#This Row],[fine_align_aruco_vs_actual_error_x]])*1000)</f>
        <v>0.4</v>
      </c>
      <c r="CB25" s="12">
        <f>IF(sim_a[[#This Row],[fine_align_aruco_vs_actual_error_y]]="","",ABS(sim_a[[#This Row],[fine_align_aruco_vs_actual_error_y]])*1000)</f>
        <v>0.1</v>
      </c>
      <c r="CC25" s="12">
        <f>IF(sim_a[[#This Row],[fine_align_aruco_vs_actual_yaw_error_deg]]="","",ABS(sim_a[[#This Row],[fine_align_aruco_vs_actual_yaw_error_deg]]))</f>
        <v>7.9000000000000001E-2</v>
      </c>
    </row>
    <row r="26" spans="1:81" x14ac:dyDescent="0.25">
      <c r="A26" t="s">
        <v>110</v>
      </c>
      <c r="B26" t="b">
        <v>0</v>
      </c>
      <c r="C26" t="s">
        <v>20</v>
      </c>
      <c r="D26" t="s">
        <v>257</v>
      </c>
      <c r="E26">
        <v>213.85599999999999</v>
      </c>
      <c r="F26">
        <v>9.89</v>
      </c>
      <c r="H26">
        <v>13.058</v>
      </c>
      <c r="I26">
        <v>134.23500000000001</v>
      </c>
      <c r="K26">
        <v>174.72800000000001</v>
      </c>
      <c r="M26">
        <v>5.2066999999999997</v>
      </c>
      <c r="N26">
        <v>2.8E-3</v>
      </c>
      <c r="O26">
        <v>0.23799999999999999</v>
      </c>
      <c r="P26">
        <v>5.1999000000000004</v>
      </c>
      <c r="Q26">
        <v>2.7E-2</v>
      </c>
      <c r="R26">
        <v>0.36899999999999999</v>
      </c>
      <c r="S26">
        <v>6.7000000000000002E-3</v>
      </c>
      <c r="T26">
        <v>2.8E-3</v>
      </c>
      <c r="U26">
        <v>7.3000000000000001E-3</v>
      </c>
      <c r="V26">
        <v>5.1999000000000004</v>
      </c>
      <c r="W26">
        <v>2.7E-2</v>
      </c>
      <c r="X26">
        <v>5.2</v>
      </c>
      <c r="Y26">
        <v>83.552999999999997</v>
      </c>
      <c r="Z26">
        <v>-5.0000000000000001E-3</v>
      </c>
      <c r="AA26">
        <v>0</v>
      </c>
      <c r="AB26">
        <v>0.27</v>
      </c>
      <c r="AC26">
        <v>4</v>
      </c>
      <c r="AD26">
        <v>7.4999999999999997E-3</v>
      </c>
      <c r="AE26">
        <v>-1.0680000000000001</v>
      </c>
      <c r="AF26">
        <v>1.075</v>
      </c>
      <c r="AG26">
        <v>-7.4999999999999997E-3</v>
      </c>
      <c r="AH26">
        <v>-1.0680000000000001</v>
      </c>
      <c r="AI26">
        <v>1.0681</v>
      </c>
      <c r="AJ26">
        <v>1.075</v>
      </c>
      <c r="AK26">
        <v>2.5000000000000001E-3</v>
      </c>
      <c r="AL26">
        <v>1.0680000000000001</v>
      </c>
      <c r="AM26">
        <v>-0.80500000000000005</v>
      </c>
      <c r="AN26">
        <v>134.233</v>
      </c>
      <c r="AO26">
        <v>8.0000000000000002E-3</v>
      </c>
      <c r="AP26">
        <v>-2.5000000000000001E-2</v>
      </c>
      <c r="AQ26">
        <v>0.01</v>
      </c>
      <c r="AR26">
        <v>11</v>
      </c>
      <c r="AS26">
        <v>6.6E-3</v>
      </c>
      <c r="AT26">
        <v>-2.4299999999999999E-2</v>
      </c>
      <c r="AU26">
        <v>-0.13100000000000001</v>
      </c>
      <c r="AV26">
        <v>6.6E-3</v>
      </c>
      <c r="AW26">
        <v>-2.4299999999999999E-2</v>
      </c>
      <c r="AX26">
        <v>2.5100000000000001E-2</v>
      </c>
      <c r="AY26">
        <v>-0.13100000000000001</v>
      </c>
      <c r="AZ26">
        <v>1.4E-3</v>
      </c>
      <c r="BA26">
        <v>-6.9999999999999999E-4</v>
      </c>
      <c r="BB26">
        <v>0.14099999999999999</v>
      </c>
      <c r="BE26" t="s">
        <v>258</v>
      </c>
      <c r="BF26" s="12">
        <f>IF(sim_a[[#This Row],[final_trolley_dropoff_error_x]]="","",ABS(sim_a[[#This Row],[final_trolley_dropoff_error_x]])*1000)</f>
        <v>6.7</v>
      </c>
      <c r="BG26" s="12">
        <f>IF(sim_a[[#This Row],[final_trolley_dropoff_error_y]]="","",ABS(sim_a[[#This Row],[final_trolley_dropoff_error_y]])*1000)</f>
        <v>2.8</v>
      </c>
      <c r="BH26" s="12">
        <f>IF(sim_a[[#This Row],[final_trolley_dropoff_error_dist]]="","",sim_a[[#This Row],[final_trolley_dropoff_error_dist]]*1000)</f>
        <v>7.3</v>
      </c>
      <c r="BI26" s="12">
        <f>IF(sim_a[[#This Row],[final_robot_charging_error_x]]="","",ABS(sim_a[[#This Row],[final_robot_charging_error_x]])*1000)</f>
        <v>5199.9000000000005</v>
      </c>
      <c r="BJ26" s="12">
        <f>IF(sim_a[[#This Row],[final_robot_charging_error_y]]="","",ABS(sim_a[[#This Row],[final_robot_charging_error_y]])*1000)</f>
        <v>27</v>
      </c>
      <c r="BK26" s="12">
        <f>IF(sim_a[[#This Row],[final_robot_charging_error_dist]]="","",sim_a[[#This Row],[final_robot_charging_error_dist]]*1000)</f>
        <v>5200</v>
      </c>
      <c r="BL26" s="12">
        <f>IF(sim_a[[#This Row],[side_align_aruco_est_error_x]]="","",ABS(sim_a[[#This Row],[side_align_aruco_est_error_x]])*1000)</f>
        <v>5</v>
      </c>
      <c r="BM26" s="12">
        <f>IF(sim_a[[#This Row],[side_align_aruco_est_error_y]]="","",ABS(sim_a[[#This Row],[side_align_aruco_est_error_y]])*1000)</f>
        <v>0</v>
      </c>
      <c r="BN26" s="12">
        <f>IF(sim_a[[#This Row],[side_align_aruco_est_yaw_error_deg]]="","",ABS(sim_a[[#This Row],[side_align_aruco_est_yaw_error_deg]]))</f>
        <v>0.27</v>
      </c>
      <c r="BO26" s="12">
        <f>IF(sim_a[[#This Row],[side_align_actual_aruco_error_x]]="","",ABS(sim_a[[#This Row],[side_align_actual_aruco_error_x]])*1000)</f>
        <v>7.5</v>
      </c>
      <c r="BP26" s="12">
        <f>IF(sim_a[[#This Row],[side_align_actual_aruco_error_y]]="","",ABS(sim_a[[#This Row],[side_align_actual_aruco_error_y]])*1000)</f>
        <v>1068</v>
      </c>
      <c r="BQ26" s="12">
        <f>IF(sim_a[[#This Row],[side_align_actual_aruco_yaw_error_deg]]="","",ABS(sim_a[[#This Row],[side_align_actual_aruco_yaw_error_deg]]))</f>
        <v>1.075</v>
      </c>
      <c r="BR26" s="12">
        <f>IF(sim_a[[#This Row],[side_align_aruco_vs_actual_error_x]]="","",ABS(sim_a[[#This Row],[side_align_aruco_vs_actual_error_x]])*1000)</f>
        <v>2.5</v>
      </c>
      <c r="BS26" s="12">
        <f>IF(sim_a[[#This Row],[side_align_aruco_vs_actual_error_y]]="","",ABS(sim_a[[#This Row],[side_align_aruco_vs_actual_error_y]])*1000)</f>
        <v>1068</v>
      </c>
      <c r="BT26" s="12">
        <f>IF(sim_a[[#This Row],[side_align_aruco_vs_actual_yaw_error_deg]]="","",ABS(sim_a[[#This Row],[side_align_aruco_vs_actual_yaw_error_deg]]))</f>
        <v>0.80500000000000005</v>
      </c>
      <c r="BU26" s="12">
        <f>IF(sim_a[[#This Row],[fine_align_aruco_est_error_x]]="","",ABS(sim_a[[#This Row],[fine_align_aruco_est_error_x]])*1000)</f>
        <v>8</v>
      </c>
      <c r="BV26" s="12">
        <f>IF(sim_a[[#This Row],[fine_align_aruco_est_error_y]]="","",ABS(sim_a[[#This Row],[fine_align_aruco_est_error_y]])*1000)</f>
        <v>25</v>
      </c>
      <c r="BW26" s="12">
        <f>IF(sim_a[[#This Row],[fine_align_aruco_est_yaw_error_deg]]="","",ABS(sim_a[[#This Row],[fine_align_aruco_est_yaw_error_deg]]))</f>
        <v>0.01</v>
      </c>
      <c r="BX26" s="12">
        <f>IF(sim_a[[#This Row],[fine_align_actual_aruco_error_x]]="","",ABS(sim_a[[#This Row],[fine_align_actual_aruco_error_x]])*1000)</f>
        <v>6.6</v>
      </c>
      <c r="BY26" s="12">
        <f>IF(sim_a[[#This Row],[fine_align_actual_aruco_error_y]]="","",ABS(sim_a[[#This Row],[fine_align_actual_aruco_error_y]])*1000)</f>
        <v>24.299999999999997</v>
      </c>
      <c r="BZ26" s="12">
        <f>IF(sim_a[[#This Row],[fine_align_actual_aruco_yaw_error_deg]]="","",ABS(sim_a[[#This Row],[fine_align_actual_aruco_yaw_error_deg]]))</f>
        <v>0.13100000000000001</v>
      </c>
      <c r="CA26" s="12">
        <f>IF(sim_a[[#This Row],[fine_align_aruco_vs_actual_error_x]]="","",ABS(sim_a[[#This Row],[fine_align_aruco_vs_actual_error_x]])*1000)</f>
        <v>1.4</v>
      </c>
      <c r="CB26" s="12">
        <f>IF(sim_a[[#This Row],[fine_align_aruco_vs_actual_error_y]]="","",ABS(sim_a[[#This Row],[fine_align_aruco_vs_actual_error_y]])*1000)</f>
        <v>0.7</v>
      </c>
      <c r="CC26" s="12">
        <f>IF(sim_a[[#This Row],[fine_align_aruco_vs_actual_yaw_error_deg]]="","",ABS(sim_a[[#This Row],[fine_align_aruco_vs_actual_yaw_error_deg]]))</f>
        <v>0.14099999999999999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150C-B3E4-477C-9D3F-0D655EC6B585}">
  <dimension ref="A1:BE26"/>
  <sheetViews>
    <sheetView workbookViewId="0">
      <selection sqref="A1:XFD1"/>
    </sheetView>
  </sheetViews>
  <sheetFormatPr baseColWidth="10"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23</v>
      </c>
      <c r="P1" t="s">
        <v>14</v>
      </c>
      <c r="Q1" t="s">
        <v>15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195</v>
      </c>
      <c r="Z1" t="s">
        <v>196</v>
      </c>
      <c r="AA1" t="s">
        <v>197</v>
      </c>
      <c r="AB1" t="s">
        <v>198</v>
      </c>
      <c r="AC1" t="s">
        <v>199</v>
      </c>
      <c r="AD1" t="s">
        <v>200</v>
      </c>
      <c r="AE1" t="s">
        <v>201</v>
      </c>
      <c r="AF1" t="s">
        <v>202</v>
      </c>
      <c r="AG1" t="s">
        <v>203</v>
      </c>
      <c r="AH1" t="s">
        <v>204</v>
      </c>
      <c r="AI1" t="s">
        <v>205</v>
      </c>
      <c r="AJ1" t="s">
        <v>206</v>
      </c>
      <c r="AK1" t="s">
        <v>207</v>
      </c>
      <c r="AL1" t="s">
        <v>208</v>
      </c>
      <c r="AM1" t="s">
        <v>209</v>
      </c>
      <c r="AN1" t="s">
        <v>210</v>
      </c>
      <c r="AO1" t="s">
        <v>211</v>
      </c>
      <c r="AP1" t="s">
        <v>212</v>
      </c>
      <c r="AQ1" t="s">
        <v>213</v>
      </c>
      <c r="AR1" t="s">
        <v>214</v>
      </c>
      <c r="AS1" t="s">
        <v>215</v>
      </c>
      <c r="AT1" t="s">
        <v>216</v>
      </c>
      <c r="AU1" t="s">
        <v>217</v>
      </c>
      <c r="AV1" t="s">
        <v>218</v>
      </c>
      <c r="AW1" t="s">
        <v>219</v>
      </c>
      <c r="AX1" t="s">
        <v>220</v>
      </c>
      <c r="AY1" t="s">
        <v>221</v>
      </c>
      <c r="AZ1" t="s">
        <v>222</v>
      </c>
      <c r="BA1" t="s">
        <v>223</v>
      </c>
      <c r="BB1" t="s">
        <v>224</v>
      </c>
      <c r="BC1" t="s">
        <v>16</v>
      </c>
      <c r="BD1" t="s">
        <v>17</v>
      </c>
      <c r="BE1" t="s">
        <v>18</v>
      </c>
    </row>
    <row r="2" spans="1:57" x14ac:dyDescent="0.25">
      <c r="A2">
        <v>1</v>
      </c>
      <c r="B2" t="b">
        <v>1</v>
      </c>
      <c r="E2">
        <v>266.31299999999999</v>
      </c>
      <c r="F2">
        <v>9.8330000000000002</v>
      </c>
      <c r="G2">
        <v>266.30900000000003</v>
      </c>
      <c r="H2">
        <v>12.000999999999999</v>
      </c>
      <c r="I2">
        <v>128.27799999999999</v>
      </c>
      <c r="J2">
        <v>199.24700000000001</v>
      </c>
      <c r="K2">
        <v>169.131</v>
      </c>
      <c r="L2">
        <v>265.3</v>
      </c>
      <c r="M2">
        <v>5.2019000000000002</v>
      </c>
      <c r="N2">
        <v>-4.0099999999999997E-2</v>
      </c>
      <c r="O2">
        <v>-0.77</v>
      </c>
      <c r="P2">
        <v>-1E-4</v>
      </c>
      <c r="Q2">
        <v>0.1066</v>
      </c>
      <c r="R2">
        <v>8.1000000000000003E-2</v>
      </c>
      <c r="S2">
        <v>1.9E-3</v>
      </c>
      <c r="T2">
        <v>-4.0099999999999997E-2</v>
      </c>
      <c r="U2">
        <v>4.0099999999999997E-2</v>
      </c>
      <c r="V2">
        <v>-1E-4</v>
      </c>
      <c r="W2">
        <v>0.1066</v>
      </c>
      <c r="X2">
        <v>0.1066</v>
      </c>
      <c r="Y2">
        <v>76.597999999999999</v>
      </c>
      <c r="Z2">
        <v>4.0000000000000001E-3</v>
      </c>
      <c r="AA2">
        <v>0</v>
      </c>
      <c r="AB2">
        <v>-0.7</v>
      </c>
      <c r="AC2">
        <v>5</v>
      </c>
      <c r="AD2">
        <v>1.78E-2</v>
      </c>
      <c r="AE2">
        <v>-1.0569999999999999</v>
      </c>
      <c r="AF2">
        <v>-0.60699999999999998</v>
      </c>
      <c r="AG2">
        <v>2.8E-3</v>
      </c>
      <c r="AH2">
        <v>-1.0569999999999999</v>
      </c>
      <c r="AI2">
        <v>1.0569999999999999</v>
      </c>
      <c r="AJ2">
        <v>-0.60699999999999998</v>
      </c>
      <c r="AK2">
        <v>1.1999999999999999E-3</v>
      </c>
      <c r="AL2">
        <v>1.0569999999999999</v>
      </c>
      <c r="AM2">
        <v>-9.2999999999999999E-2</v>
      </c>
      <c r="AN2">
        <v>128.27500000000001</v>
      </c>
      <c r="AO2">
        <v>8.0000000000000002E-3</v>
      </c>
      <c r="AP2">
        <v>-2.5000000000000001E-2</v>
      </c>
      <c r="AQ2">
        <v>-0.05</v>
      </c>
      <c r="AR2">
        <v>11</v>
      </c>
      <c r="AS2">
        <v>7.9000000000000008E-3</v>
      </c>
      <c r="AT2">
        <v>-2.5100000000000001E-2</v>
      </c>
      <c r="AU2">
        <v>-9.4E-2</v>
      </c>
      <c r="AV2">
        <v>7.9000000000000008E-3</v>
      </c>
      <c r="AW2">
        <v>-2.5100000000000001E-2</v>
      </c>
      <c r="AX2">
        <v>2.63E-2</v>
      </c>
      <c r="AY2">
        <v>-9.4E-2</v>
      </c>
      <c r="AZ2">
        <v>1E-4</v>
      </c>
      <c r="BA2">
        <v>1E-4</v>
      </c>
      <c r="BB2">
        <v>4.3999999999999997E-2</v>
      </c>
      <c r="BE2" t="s">
        <v>225</v>
      </c>
    </row>
    <row r="3" spans="1:57" x14ac:dyDescent="0.25">
      <c r="A3">
        <v>2</v>
      </c>
      <c r="B3" t="b">
        <v>1</v>
      </c>
      <c r="E3">
        <v>261.53800000000001</v>
      </c>
      <c r="F3">
        <v>9.7850000000000001</v>
      </c>
      <c r="G3">
        <v>261.53500000000003</v>
      </c>
      <c r="H3">
        <v>14.757999999999999</v>
      </c>
      <c r="I3">
        <v>127.565</v>
      </c>
      <c r="J3">
        <v>194.59899999999999</v>
      </c>
      <c r="K3">
        <v>168.358</v>
      </c>
      <c r="L3">
        <v>260.52800000000002</v>
      </c>
      <c r="M3">
        <v>5.2042000000000002</v>
      </c>
      <c r="N3">
        <v>-3.7600000000000001E-2</v>
      </c>
      <c r="O3">
        <v>0.34100000000000003</v>
      </c>
      <c r="P3">
        <v>0</v>
      </c>
      <c r="Q3">
        <v>0.10920000000000001</v>
      </c>
      <c r="R3">
        <v>-2.5999999999999999E-2</v>
      </c>
      <c r="S3">
        <v>4.1999999999999997E-3</v>
      </c>
      <c r="T3">
        <v>-3.7600000000000001E-2</v>
      </c>
      <c r="U3">
        <v>3.78E-2</v>
      </c>
      <c r="V3">
        <v>0</v>
      </c>
      <c r="W3">
        <v>0.10920000000000001</v>
      </c>
      <c r="X3">
        <v>0.10920000000000001</v>
      </c>
      <c r="Y3">
        <v>75.39</v>
      </c>
      <c r="Z3">
        <v>-2E-3</v>
      </c>
      <c r="AA3">
        <v>0</v>
      </c>
      <c r="AB3">
        <v>0.48</v>
      </c>
      <c r="AC3">
        <v>5</v>
      </c>
      <c r="AD3">
        <v>1.0200000000000001E-2</v>
      </c>
      <c r="AE3">
        <v>-1.0452999999999999</v>
      </c>
      <c r="AF3">
        <v>1.9E-2</v>
      </c>
      <c r="AG3">
        <v>-4.7999999999999996E-3</v>
      </c>
      <c r="AH3">
        <v>-1.0452999999999999</v>
      </c>
      <c r="AI3">
        <v>1.0452999999999999</v>
      </c>
      <c r="AJ3">
        <v>1.9E-2</v>
      </c>
      <c r="AK3">
        <v>2.8E-3</v>
      </c>
      <c r="AL3">
        <v>1.0452999999999999</v>
      </c>
      <c r="AM3">
        <v>0.46100000000000002</v>
      </c>
      <c r="AN3">
        <v>127.563</v>
      </c>
      <c r="AO3">
        <v>7.0000000000000001E-3</v>
      </c>
      <c r="AP3">
        <v>-2.5000000000000001E-2</v>
      </c>
      <c r="AQ3">
        <v>-0.18</v>
      </c>
      <c r="AR3">
        <v>10</v>
      </c>
      <c r="AS3">
        <v>6.7999999999999996E-3</v>
      </c>
      <c r="AT3">
        <v>-2.5100000000000001E-2</v>
      </c>
      <c r="AU3">
        <v>-0.26100000000000001</v>
      </c>
      <c r="AV3">
        <v>6.7999999999999996E-3</v>
      </c>
      <c r="AW3">
        <v>-2.5100000000000001E-2</v>
      </c>
      <c r="AX3">
        <v>2.5999999999999999E-2</v>
      </c>
      <c r="AY3">
        <v>-0.26100000000000001</v>
      </c>
      <c r="AZ3">
        <v>2.0000000000000001E-4</v>
      </c>
      <c r="BA3">
        <v>1E-4</v>
      </c>
      <c r="BB3">
        <v>8.1000000000000003E-2</v>
      </c>
      <c r="BE3" t="s">
        <v>226</v>
      </c>
    </row>
    <row r="4" spans="1:57" x14ac:dyDescent="0.25">
      <c r="A4">
        <v>3</v>
      </c>
      <c r="B4" t="b">
        <v>1</v>
      </c>
      <c r="E4">
        <v>265.00099999999998</v>
      </c>
      <c r="F4">
        <v>9.7349999999999994</v>
      </c>
      <c r="G4">
        <v>264.99900000000002</v>
      </c>
      <c r="H4">
        <v>12.156000000000001</v>
      </c>
      <c r="I4">
        <v>127.807</v>
      </c>
      <c r="J4">
        <v>198.572</v>
      </c>
      <c r="K4">
        <v>168.80199999999999</v>
      </c>
      <c r="L4">
        <v>263.99099999999999</v>
      </c>
      <c r="M4">
        <v>5.1867000000000001</v>
      </c>
      <c r="N4">
        <v>-2.98E-2</v>
      </c>
      <c r="O4">
        <v>-2.9929999999999999</v>
      </c>
      <c r="P4">
        <v>1E-3</v>
      </c>
      <c r="Q4">
        <v>0.1072</v>
      </c>
      <c r="R4">
        <v>-0.23499999999999999</v>
      </c>
      <c r="S4">
        <v>-1.3299999999999999E-2</v>
      </c>
      <c r="T4">
        <v>-2.98E-2</v>
      </c>
      <c r="U4">
        <v>3.27E-2</v>
      </c>
      <c r="V4">
        <v>1E-3</v>
      </c>
      <c r="W4">
        <v>0.1072</v>
      </c>
      <c r="X4">
        <v>0.1072</v>
      </c>
      <c r="Y4">
        <v>75.209000000000003</v>
      </c>
      <c r="Z4">
        <v>-1E-3</v>
      </c>
      <c r="AA4">
        <v>0</v>
      </c>
      <c r="AB4">
        <v>-0.12</v>
      </c>
      <c r="AC4">
        <v>6</v>
      </c>
      <c r="AD4">
        <v>8.5000000000000006E-3</v>
      </c>
      <c r="AE4">
        <v>-1.0552999999999999</v>
      </c>
      <c r="AF4">
        <v>0.51200000000000001</v>
      </c>
      <c r="AG4">
        <v>-6.4999999999999997E-3</v>
      </c>
      <c r="AH4">
        <v>-1.0552999999999999</v>
      </c>
      <c r="AI4">
        <v>1.0552999999999999</v>
      </c>
      <c r="AJ4">
        <v>0.51200000000000001</v>
      </c>
      <c r="AK4">
        <v>5.4999999999999997E-3</v>
      </c>
      <c r="AL4">
        <v>1.0552999999999999</v>
      </c>
      <c r="AM4">
        <v>-0.63200000000000001</v>
      </c>
      <c r="AN4">
        <v>127.754</v>
      </c>
      <c r="AO4">
        <v>-7.0000000000000001E-3</v>
      </c>
      <c r="AP4">
        <v>-2.5000000000000001E-2</v>
      </c>
      <c r="AQ4">
        <v>0</v>
      </c>
      <c r="AR4">
        <v>11</v>
      </c>
      <c r="AS4">
        <v>-6.4999999999999997E-3</v>
      </c>
      <c r="AT4">
        <v>-2.52E-2</v>
      </c>
      <c r="AU4">
        <v>-9.8000000000000004E-2</v>
      </c>
      <c r="AV4">
        <v>-6.4999999999999997E-3</v>
      </c>
      <c r="AW4">
        <v>-2.52E-2</v>
      </c>
      <c r="AX4">
        <v>2.6100000000000002E-2</v>
      </c>
      <c r="AY4">
        <v>-9.8000000000000004E-2</v>
      </c>
      <c r="AZ4">
        <v>-5.0000000000000001E-4</v>
      </c>
      <c r="BA4">
        <v>2.0000000000000001E-4</v>
      </c>
      <c r="BB4">
        <v>9.8000000000000004E-2</v>
      </c>
      <c r="BE4" t="s">
        <v>227</v>
      </c>
    </row>
    <row r="5" spans="1:57" x14ac:dyDescent="0.25">
      <c r="A5">
        <v>4</v>
      </c>
      <c r="B5" t="b">
        <v>0</v>
      </c>
      <c r="C5" t="s">
        <v>20</v>
      </c>
      <c r="D5" t="s">
        <v>228</v>
      </c>
      <c r="E5">
        <v>215.21299999999999</v>
      </c>
      <c r="F5">
        <v>9.7889999999999997</v>
      </c>
      <c r="H5">
        <v>17.462</v>
      </c>
      <c r="I5">
        <v>131.30600000000001</v>
      </c>
      <c r="K5">
        <v>175.62</v>
      </c>
      <c r="M5">
        <v>5.1943000000000001</v>
      </c>
      <c r="N5">
        <v>4.7999999999999996E-3</v>
      </c>
      <c r="O5">
        <v>-5.484</v>
      </c>
      <c r="P5">
        <v>5.2026000000000003</v>
      </c>
      <c r="Q5">
        <v>2.9100000000000001E-2</v>
      </c>
      <c r="R5">
        <v>-5.2649999999999997</v>
      </c>
      <c r="S5">
        <v>-5.7000000000000002E-3</v>
      </c>
      <c r="T5">
        <v>4.7999999999999996E-3</v>
      </c>
      <c r="U5">
        <v>7.4000000000000003E-3</v>
      </c>
      <c r="V5">
        <v>5.2026000000000003</v>
      </c>
      <c r="W5">
        <v>2.9100000000000001E-2</v>
      </c>
      <c r="X5">
        <v>5.2027000000000001</v>
      </c>
      <c r="Y5">
        <v>79.209000000000003</v>
      </c>
      <c r="Z5">
        <v>0</v>
      </c>
      <c r="AA5">
        <v>0</v>
      </c>
      <c r="AB5">
        <v>-0.8</v>
      </c>
      <c r="AC5">
        <v>6</v>
      </c>
      <c r="AD5">
        <v>1.44E-2</v>
      </c>
      <c r="AE5">
        <v>-1.0524</v>
      </c>
      <c r="AF5">
        <v>0.81699999999999995</v>
      </c>
      <c r="AG5">
        <v>-5.9999999999999995E-4</v>
      </c>
      <c r="AH5">
        <v>-1.0524</v>
      </c>
      <c r="AI5">
        <v>1.0524</v>
      </c>
      <c r="AJ5">
        <v>0.81699999999999995</v>
      </c>
      <c r="AK5">
        <v>5.9999999999999995E-4</v>
      </c>
      <c r="AL5">
        <v>1.0524</v>
      </c>
      <c r="AM5">
        <v>-1.617</v>
      </c>
      <c r="AN5">
        <v>131.25399999999999</v>
      </c>
      <c r="AO5">
        <v>-6.0000000000000001E-3</v>
      </c>
      <c r="AP5">
        <v>-2.5000000000000001E-2</v>
      </c>
      <c r="AQ5">
        <v>-0.1</v>
      </c>
      <c r="AR5">
        <v>11</v>
      </c>
      <c r="AS5">
        <v>-6.0000000000000001E-3</v>
      </c>
      <c r="AT5">
        <v>-2.5000000000000001E-2</v>
      </c>
      <c r="AU5">
        <v>-0.219</v>
      </c>
      <c r="AV5">
        <v>-6.0000000000000001E-3</v>
      </c>
      <c r="AW5">
        <v>-2.5000000000000001E-2</v>
      </c>
      <c r="AX5">
        <v>2.5700000000000001E-2</v>
      </c>
      <c r="AY5">
        <v>-0.219</v>
      </c>
      <c r="AZ5">
        <v>0</v>
      </c>
      <c r="BA5">
        <v>0</v>
      </c>
      <c r="BB5">
        <v>0.11899999999999999</v>
      </c>
      <c r="BE5" t="s">
        <v>229</v>
      </c>
    </row>
    <row r="6" spans="1:57" x14ac:dyDescent="0.25">
      <c r="A6">
        <v>5</v>
      </c>
      <c r="B6" t="b">
        <v>0</v>
      </c>
      <c r="C6" t="s">
        <v>20</v>
      </c>
      <c r="D6" t="s">
        <v>230</v>
      </c>
      <c r="E6">
        <v>205.101</v>
      </c>
      <c r="F6">
        <v>9.8840000000000003</v>
      </c>
      <c r="H6">
        <v>12.05</v>
      </c>
      <c r="I6">
        <v>125.726</v>
      </c>
      <c r="K6">
        <v>165.66200000000001</v>
      </c>
      <c r="M6">
        <v>5.1948999999999996</v>
      </c>
      <c r="N6">
        <v>2.5999999999999999E-3</v>
      </c>
      <c r="O6">
        <v>-1.9870000000000001</v>
      </c>
      <c r="P6">
        <v>5.2008999999999999</v>
      </c>
      <c r="Q6">
        <v>2.76E-2</v>
      </c>
      <c r="R6">
        <v>-1.859</v>
      </c>
      <c r="S6">
        <v>-5.1000000000000004E-3</v>
      </c>
      <c r="T6">
        <v>2.5999999999999999E-3</v>
      </c>
      <c r="U6">
        <v>5.7000000000000002E-3</v>
      </c>
      <c r="V6">
        <v>5.2008999999999999</v>
      </c>
      <c r="W6">
        <v>2.76E-2</v>
      </c>
      <c r="X6">
        <v>5.2009999999999996</v>
      </c>
      <c r="Y6">
        <v>74.643000000000001</v>
      </c>
      <c r="Z6">
        <v>-1E-3</v>
      </c>
      <c r="AA6">
        <v>0</v>
      </c>
      <c r="AB6">
        <v>-0.96</v>
      </c>
      <c r="AC6">
        <v>6</v>
      </c>
      <c r="AD6">
        <v>1.47E-2</v>
      </c>
      <c r="AE6">
        <v>-1.0558000000000001</v>
      </c>
      <c r="AF6">
        <v>0.191</v>
      </c>
      <c r="AG6">
        <v>-2.9999999999999997E-4</v>
      </c>
      <c r="AH6">
        <v>-1.0558000000000001</v>
      </c>
      <c r="AI6">
        <v>1.0558000000000001</v>
      </c>
      <c r="AJ6">
        <v>0.191</v>
      </c>
      <c r="AK6">
        <v>-6.9999999999999999E-4</v>
      </c>
      <c r="AL6">
        <v>1.0558000000000001</v>
      </c>
      <c r="AM6">
        <v>-1.151</v>
      </c>
      <c r="AN6">
        <v>125.724</v>
      </c>
      <c r="AO6">
        <v>-5.0000000000000001E-3</v>
      </c>
      <c r="AP6">
        <v>-2.5000000000000001E-2</v>
      </c>
      <c r="AQ6">
        <v>-0.03</v>
      </c>
      <c r="AR6">
        <v>11</v>
      </c>
      <c r="AS6">
        <v>-5.1999999999999998E-3</v>
      </c>
      <c r="AT6">
        <v>-2.5100000000000001E-2</v>
      </c>
      <c r="AU6">
        <v>-0.128</v>
      </c>
      <c r="AV6">
        <v>-5.1999999999999998E-3</v>
      </c>
      <c r="AW6">
        <v>-2.5100000000000001E-2</v>
      </c>
      <c r="AX6">
        <v>2.5600000000000001E-2</v>
      </c>
      <c r="AY6">
        <v>-0.128</v>
      </c>
      <c r="AZ6">
        <v>2.0000000000000001E-4</v>
      </c>
      <c r="BA6">
        <v>1E-4</v>
      </c>
      <c r="BB6">
        <v>9.8000000000000004E-2</v>
      </c>
      <c r="BE6" t="s">
        <v>231</v>
      </c>
    </row>
    <row r="7" spans="1:57" x14ac:dyDescent="0.25">
      <c r="A7">
        <v>6</v>
      </c>
      <c r="B7" t="b">
        <v>1</v>
      </c>
      <c r="E7">
        <v>258.70999999999998</v>
      </c>
      <c r="F7">
        <v>9.8849999999999998</v>
      </c>
      <c r="G7">
        <v>258.70800000000003</v>
      </c>
      <c r="H7">
        <v>14.411</v>
      </c>
      <c r="I7">
        <v>125.08199999999999</v>
      </c>
      <c r="J7">
        <v>191.971</v>
      </c>
      <c r="K7">
        <v>165.023</v>
      </c>
      <c r="L7">
        <v>257.70100000000002</v>
      </c>
      <c r="M7">
        <v>5.2089999999999996</v>
      </c>
      <c r="N7">
        <v>-7.4999999999999997E-2</v>
      </c>
      <c r="O7">
        <v>6.74</v>
      </c>
      <c r="P7">
        <v>-1E-4</v>
      </c>
      <c r="Q7">
        <v>0.10630000000000001</v>
      </c>
      <c r="R7">
        <v>0.01</v>
      </c>
      <c r="S7">
        <v>8.9999999999999993E-3</v>
      </c>
      <c r="T7">
        <v>-7.4999999999999997E-2</v>
      </c>
      <c r="U7">
        <v>7.5600000000000001E-2</v>
      </c>
      <c r="V7">
        <v>-1E-4</v>
      </c>
      <c r="W7">
        <v>0.10630000000000001</v>
      </c>
      <c r="X7">
        <v>0.10630000000000001</v>
      </c>
      <c r="Y7">
        <v>74.188999999999993</v>
      </c>
      <c r="Z7">
        <v>8.0000000000000002E-3</v>
      </c>
      <c r="AA7">
        <v>0</v>
      </c>
      <c r="AB7">
        <v>0.17</v>
      </c>
      <c r="AC7">
        <v>6</v>
      </c>
      <c r="AD7">
        <v>1.2500000000000001E-2</v>
      </c>
      <c r="AE7">
        <v>-1.0523</v>
      </c>
      <c r="AF7">
        <v>-0.157</v>
      </c>
      <c r="AG7">
        <v>-2.5000000000000001E-3</v>
      </c>
      <c r="AH7">
        <v>-1.0523</v>
      </c>
      <c r="AI7">
        <v>1.0523</v>
      </c>
      <c r="AJ7">
        <v>-0.157</v>
      </c>
      <c r="AK7">
        <v>1.0500000000000001E-2</v>
      </c>
      <c r="AL7">
        <v>1.0523</v>
      </c>
      <c r="AM7">
        <v>0.32700000000000001</v>
      </c>
      <c r="AN7">
        <v>125.029</v>
      </c>
      <c r="AO7">
        <v>7.0000000000000001E-3</v>
      </c>
      <c r="AP7">
        <v>-2.5000000000000001E-2</v>
      </c>
      <c r="AQ7">
        <v>-0.1</v>
      </c>
      <c r="AR7">
        <v>10</v>
      </c>
      <c r="AS7">
        <v>6.3E-3</v>
      </c>
      <c r="AT7">
        <v>-2.5100000000000001E-2</v>
      </c>
      <c r="AU7">
        <v>-0.16800000000000001</v>
      </c>
      <c r="AV7">
        <v>6.3E-3</v>
      </c>
      <c r="AW7">
        <v>-2.5100000000000001E-2</v>
      </c>
      <c r="AX7">
        <v>2.58E-2</v>
      </c>
      <c r="AY7">
        <v>-0.16800000000000001</v>
      </c>
      <c r="AZ7">
        <v>6.9999999999999999E-4</v>
      </c>
      <c r="BA7">
        <v>1E-4</v>
      </c>
      <c r="BB7">
        <v>6.8000000000000005E-2</v>
      </c>
      <c r="BE7" t="s">
        <v>232</v>
      </c>
    </row>
    <row r="8" spans="1:57" x14ac:dyDescent="0.25">
      <c r="A8">
        <v>7</v>
      </c>
      <c r="B8" t="b">
        <v>1</v>
      </c>
      <c r="E8">
        <v>266.34899999999999</v>
      </c>
      <c r="F8">
        <v>9.84</v>
      </c>
      <c r="G8">
        <v>266.346</v>
      </c>
      <c r="H8">
        <v>12.006</v>
      </c>
      <c r="I8">
        <v>128.33199999999999</v>
      </c>
      <c r="J8">
        <v>199.37</v>
      </c>
      <c r="K8">
        <v>169.13300000000001</v>
      </c>
      <c r="L8">
        <v>265.33800000000002</v>
      </c>
      <c r="M8">
        <v>5.1966000000000001</v>
      </c>
      <c r="N8">
        <v>-3.2199999999999999E-2</v>
      </c>
      <c r="O8">
        <v>-1.472</v>
      </c>
      <c r="P8">
        <v>8.9999999999999998E-4</v>
      </c>
      <c r="Q8">
        <v>0.11</v>
      </c>
      <c r="R8">
        <v>-0.28000000000000003</v>
      </c>
      <c r="S8">
        <v>-3.3999999999999998E-3</v>
      </c>
      <c r="T8">
        <v>-3.2199999999999999E-2</v>
      </c>
      <c r="U8">
        <v>3.2399999999999998E-2</v>
      </c>
      <c r="V8">
        <v>8.9999999999999998E-4</v>
      </c>
      <c r="W8">
        <v>0.11</v>
      </c>
      <c r="X8">
        <v>0.11</v>
      </c>
      <c r="Y8">
        <v>74.641999999999996</v>
      </c>
      <c r="Z8">
        <v>6.0000000000000001E-3</v>
      </c>
      <c r="AA8">
        <v>0</v>
      </c>
      <c r="AB8">
        <v>-0.45</v>
      </c>
      <c r="AC8">
        <v>6</v>
      </c>
      <c r="AD8">
        <v>1.6899999999999998E-2</v>
      </c>
      <c r="AE8">
        <v>-1.0531999999999999</v>
      </c>
      <c r="AF8">
        <v>-5.7000000000000002E-2</v>
      </c>
      <c r="AG8">
        <v>1.9E-3</v>
      </c>
      <c r="AH8">
        <v>-1.0531999999999999</v>
      </c>
      <c r="AI8">
        <v>1.0531999999999999</v>
      </c>
      <c r="AJ8">
        <v>-5.7000000000000002E-2</v>
      </c>
      <c r="AK8">
        <v>4.1000000000000003E-3</v>
      </c>
      <c r="AL8">
        <v>1.0531999999999999</v>
      </c>
      <c r="AM8">
        <v>-0.39300000000000002</v>
      </c>
      <c r="AN8">
        <v>128.33000000000001</v>
      </c>
      <c r="AO8">
        <v>5.0000000000000001E-3</v>
      </c>
      <c r="AP8">
        <v>-2.5000000000000001E-2</v>
      </c>
      <c r="AQ8">
        <v>-0.06</v>
      </c>
      <c r="AR8">
        <v>10</v>
      </c>
      <c r="AS8">
        <v>5.3E-3</v>
      </c>
      <c r="AT8">
        <v>-2.4899999999999999E-2</v>
      </c>
      <c r="AU8">
        <v>-0.16400000000000001</v>
      </c>
      <c r="AV8">
        <v>5.3E-3</v>
      </c>
      <c r="AW8">
        <v>-2.4899999999999999E-2</v>
      </c>
      <c r="AX8">
        <v>2.5499999999999998E-2</v>
      </c>
      <c r="AY8">
        <v>-0.16400000000000001</v>
      </c>
      <c r="AZ8">
        <v>-2.9999999999999997E-4</v>
      </c>
      <c r="BA8">
        <v>-1E-4</v>
      </c>
      <c r="BB8">
        <v>0.104</v>
      </c>
      <c r="BE8" t="s">
        <v>233</v>
      </c>
    </row>
    <row r="9" spans="1:57" x14ac:dyDescent="0.25">
      <c r="A9">
        <v>8</v>
      </c>
      <c r="B9" t="b">
        <v>1</v>
      </c>
      <c r="E9">
        <v>258.05500000000001</v>
      </c>
      <c r="F9">
        <v>9.8369999999999997</v>
      </c>
      <c r="G9">
        <v>258.053</v>
      </c>
      <c r="H9">
        <v>13.257999999999999</v>
      </c>
      <c r="I9">
        <v>123.789</v>
      </c>
      <c r="J9">
        <v>191.22300000000001</v>
      </c>
      <c r="K9">
        <v>163.87299999999999</v>
      </c>
      <c r="L9">
        <v>257.04599999999999</v>
      </c>
      <c r="M9">
        <v>5.2058999999999997</v>
      </c>
      <c r="N9">
        <v>-3.95E-2</v>
      </c>
      <c r="O9">
        <v>-3.0779999999999998</v>
      </c>
      <c r="P9">
        <v>-5.0000000000000001E-4</v>
      </c>
      <c r="Q9">
        <v>0.1031</v>
      </c>
      <c r="R9">
        <v>6.7000000000000004E-2</v>
      </c>
      <c r="S9">
        <v>5.8999999999999999E-3</v>
      </c>
      <c r="T9">
        <v>-3.95E-2</v>
      </c>
      <c r="U9">
        <v>0.04</v>
      </c>
      <c r="V9">
        <v>-5.0000000000000001E-4</v>
      </c>
      <c r="W9">
        <v>0.1031</v>
      </c>
      <c r="X9">
        <v>0.1031</v>
      </c>
      <c r="Y9">
        <v>73.504000000000005</v>
      </c>
      <c r="Z9">
        <v>5.0000000000000001E-3</v>
      </c>
      <c r="AA9">
        <v>0</v>
      </c>
      <c r="AB9">
        <v>-0.74</v>
      </c>
      <c r="AC9">
        <v>6</v>
      </c>
      <c r="AD9">
        <v>1.7500000000000002E-2</v>
      </c>
      <c r="AE9">
        <v>-1.0422</v>
      </c>
      <c r="AF9">
        <v>0.373</v>
      </c>
      <c r="AG9">
        <v>2.5000000000000001E-3</v>
      </c>
      <c r="AH9">
        <v>-1.0422</v>
      </c>
      <c r="AI9">
        <v>1.0422</v>
      </c>
      <c r="AJ9">
        <v>0.373</v>
      </c>
      <c r="AK9">
        <v>2.5000000000000001E-3</v>
      </c>
      <c r="AL9">
        <v>1.0422</v>
      </c>
      <c r="AM9">
        <v>-1.113</v>
      </c>
      <c r="AN9">
        <v>123.735</v>
      </c>
      <c r="AO9">
        <v>7.0000000000000001E-3</v>
      </c>
      <c r="AP9">
        <v>-2.5000000000000001E-2</v>
      </c>
      <c r="AQ9">
        <v>-0.03</v>
      </c>
      <c r="AR9">
        <v>11</v>
      </c>
      <c r="AS9">
        <v>6.4999999999999997E-3</v>
      </c>
      <c r="AT9">
        <v>-2.4500000000000001E-2</v>
      </c>
      <c r="AU9">
        <v>-0.14099999999999999</v>
      </c>
      <c r="AV9">
        <v>6.4999999999999997E-3</v>
      </c>
      <c r="AW9">
        <v>-2.4500000000000001E-2</v>
      </c>
      <c r="AX9">
        <v>2.53E-2</v>
      </c>
      <c r="AY9">
        <v>-0.14099999999999999</v>
      </c>
      <c r="AZ9">
        <v>5.0000000000000001E-4</v>
      </c>
      <c r="BA9">
        <v>-5.0000000000000001E-4</v>
      </c>
      <c r="BB9">
        <v>0.111</v>
      </c>
      <c r="BE9" t="s">
        <v>234</v>
      </c>
    </row>
    <row r="10" spans="1:57" x14ac:dyDescent="0.25">
      <c r="A10">
        <v>9</v>
      </c>
      <c r="B10" t="b">
        <v>0</v>
      </c>
      <c r="C10" t="s">
        <v>21</v>
      </c>
      <c r="D10" t="s">
        <v>194</v>
      </c>
      <c r="E10">
        <v>420.04300000000001</v>
      </c>
      <c r="F10">
        <v>9.6910000000000007</v>
      </c>
      <c r="H10">
        <v>12.407</v>
      </c>
      <c r="I10">
        <v>176.66800000000001</v>
      </c>
      <c r="J10">
        <v>251.566</v>
      </c>
      <c r="K10">
        <v>222.45400000000001</v>
      </c>
      <c r="L10">
        <v>317.62700000000001</v>
      </c>
      <c r="M10">
        <v>5.2293000000000003</v>
      </c>
      <c r="N10">
        <v>-0.51639999999999997</v>
      </c>
      <c r="O10">
        <v>0.41299999999999998</v>
      </c>
      <c r="P10">
        <v>8.0000000000000004E-4</v>
      </c>
      <c r="Q10">
        <v>2.64E-2</v>
      </c>
      <c r="R10">
        <v>-0.44400000000000001</v>
      </c>
      <c r="S10">
        <v>2.93E-2</v>
      </c>
      <c r="T10">
        <v>-0.51639999999999997</v>
      </c>
      <c r="U10">
        <v>0.51719999999999999</v>
      </c>
      <c r="V10">
        <v>8.0000000000000004E-4</v>
      </c>
      <c r="W10">
        <v>2.64E-2</v>
      </c>
      <c r="X10">
        <v>2.64E-2</v>
      </c>
      <c r="Y10">
        <v>123.509</v>
      </c>
      <c r="Z10">
        <v>3.0000000000000001E-3</v>
      </c>
      <c r="AA10">
        <v>0</v>
      </c>
      <c r="AB10">
        <v>-0.8</v>
      </c>
      <c r="AC10">
        <v>5</v>
      </c>
      <c r="AD10">
        <v>2.46E-2</v>
      </c>
      <c r="AE10">
        <v>-1.0878000000000001</v>
      </c>
      <c r="AF10">
        <v>0.45600000000000002</v>
      </c>
      <c r="AG10">
        <v>9.5999999999999992E-3</v>
      </c>
      <c r="AH10">
        <v>-1.0878000000000001</v>
      </c>
      <c r="AI10">
        <v>1.0878000000000001</v>
      </c>
      <c r="AJ10">
        <v>0.45600000000000002</v>
      </c>
      <c r="AK10">
        <v>-6.6E-3</v>
      </c>
      <c r="AL10">
        <v>1.0878000000000001</v>
      </c>
      <c r="AM10">
        <v>-1.256</v>
      </c>
      <c r="AN10">
        <v>176.614</v>
      </c>
      <c r="AO10">
        <v>0.01</v>
      </c>
      <c r="AP10">
        <v>-2.5000000000000001E-2</v>
      </c>
      <c r="AQ10">
        <v>1.23</v>
      </c>
      <c r="AR10">
        <v>11</v>
      </c>
      <c r="AS10">
        <v>1.0699999999999999E-2</v>
      </c>
      <c r="AT10">
        <v>-2.5100000000000001E-2</v>
      </c>
      <c r="AU10">
        <v>1.1890000000000001</v>
      </c>
      <c r="AV10">
        <v>1.0699999999999999E-2</v>
      </c>
      <c r="AW10">
        <v>-2.5100000000000001E-2</v>
      </c>
      <c r="AX10">
        <v>2.7300000000000001E-2</v>
      </c>
      <c r="AY10">
        <v>1.1890000000000001</v>
      </c>
      <c r="AZ10">
        <v>-6.9999999999999999E-4</v>
      </c>
      <c r="BA10">
        <v>1E-4</v>
      </c>
      <c r="BB10">
        <v>4.1000000000000002E-2</v>
      </c>
      <c r="BE10" t="s">
        <v>235</v>
      </c>
    </row>
    <row r="11" spans="1:57" x14ac:dyDescent="0.25">
      <c r="A11">
        <v>10</v>
      </c>
      <c r="B11" t="b">
        <v>1</v>
      </c>
      <c r="E11">
        <v>261.863</v>
      </c>
      <c r="F11">
        <v>9.8919999999999995</v>
      </c>
      <c r="G11">
        <v>261.86099999999999</v>
      </c>
      <c r="H11">
        <v>12.058</v>
      </c>
      <c r="I11">
        <v>125.377</v>
      </c>
      <c r="J11">
        <v>195.38399999999999</v>
      </c>
      <c r="K11">
        <v>165.16399999999999</v>
      </c>
      <c r="L11">
        <v>260.85399999999998</v>
      </c>
      <c r="M11">
        <v>5.2111000000000001</v>
      </c>
      <c r="N11">
        <v>-2.3099999999999999E-2</v>
      </c>
      <c r="O11">
        <v>-5.0449999999999999</v>
      </c>
      <c r="P11">
        <v>0</v>
      </c>
      <c r="Q11">
        <v>0.10290000000000001</v>
      </c>
      <c r="R11">
        <v>-4.5999999999999999E-2</v>
      </c>
      <c r="S11">
        <v>1.11E-2</v>
      </c>
      <c r="T11">
        <v>-2.3099999999999999E-2</v>
      </c>
      <c r="U11">
        <v>2.5700000000000001E-2</v>
      </c>
      <c r="V11">
        <v>0</v>
      </c>
      <c r="W11">
        <v>0.10290000000000001</v>
      </c>
      <c r="X11">
        <v>0.10290000000000001</v>
      </c>
      <c r="Y11">
        <v>73.537999999999997</v>
      </c>
      <c r="Z11">
        <v>4.0000000000000001E-3</v>
      </c>
      <c r="AA11">
        <v>0</v>
      </c>
      <c r="AB11">
        <v>0.8</v>
      </c>
      <c r="AC11">
        <v>6</v>
      </c>
      <c r="AD11">
        <v>1.5299999999999999E-2</v>
      </c>
      <c r="AE11">
        <v>-1.0528</v>
      </c>
      <c r="AF11">
        <v>0.83699999999999997</v>
      </c>
      <c r="AG11">
        <v>2.9999999999999997E-4</v>
      </c>
      <c r="AH11">
        <v>-1.0528</v>
      </c>
      <c r="AI11">
        <v>1.0528</v>
      </c>
      <c r="AJ11">
        <v>0.83699999999999997</v>
      </c>
      <c r="AK11">
        <v>3.7000000000000002E-3</v>
      </c>
      <c r="AL11">
        <v>1.0528</v>
      </c>
      <c r="AM11">
        <v>-3.6999999999999998E-2</v>
      </c>
      <c r="AN11">
        <v>125.325</v>
      </c>
      <c r="AO11">
        <v>4.0000000000000001E-3</v>
      </c>
      <c r="AP11">
        <v>-2.5000000000000001E-2</v>
      </c>
      <c r="AQ11">
        <v>-0.06</v>
      </c>
      <c r="AR11">
        <v>10</v>
      </c>
      <c r="AS11">
        <v>4.4999999999999997E-3</v>
      </c>
      <c r="AT11">
        <v>-2.52E-2</v>
      </c>
      <c r="AU11">
        <v>-0.111</v>
      </c>
      <c r="AV11">
        <v>4.4999999999999997E-3</v>
      </c>
      <c r="AW11">
        <v>-2.52E-2</v>
      </c>
      <c r="AX11">
        <v>2.5600000000000001E-2</v>
      </c>
      <c r="AY11">
        <v>-0.111</v>
      </c>
      <c r="AZ11">
        <v>-5.0000000000000001E-4</v>
      </c>
      <c r="BA11">
        <v>2.0000000000000001E-4</v>
      </c>
      <c r="BB11">
        <v>5.0999999999999997E-2</v>
      </c>
      <c r="BE11" t="s">
        <v>236</v>
      </c>
    </row>
    <row r="12" spans="1:57" x14ac:dyDescent="0.25">
      <c r="A12">
        <v>11</v>
      </c>
      <c r="B12" t="b">
        <v>0</v>
      </c>
      <c r="C12" t="s">
        <v>20</v>
      </c>
      <c r="D12" t="s">
        <v>237</v>
      </c>
      <c r="E12">
        <v>203.16300000000001</v>
      </c>
      <c r="F12">
        <v>9.9350000000000005</v>
      </c>
      <c r="H12">
        <v>12.102</v>
      </c>
      <c r="I12">
        <v>124.374</v>
      </c>
      <c r="K12">
        <v>163.72</v>
      </c>
      <c r="M12">
        <v>5.2061999999999999</v>
      </c>
      <c r="N12">
        <v>4.3E-3</v>
      </c>
      <c r="O12">
        <v>-5.4539999999999997</v>
      </c>
      <c r="P12">
        <v>5.2024999999999997</v>
      </c>
      <c r="Q12">
        <v>2.93E-2</v>
      </c>
      <c r="R12">
        <v>-5.3109999999999999</v>
      </c>
      <c r="S12">
        <v>6.1999999999999998E-3</v>
      </c>
      <c r="T12">
        <v>4.3E-3</v>
      </c>
      <c r="U12">
        <v>7.6E-3</v>
      </c>
      <c r="V12">
        <v>5.2024999999999997</v>
      </c>
      <c r="W12">
        <v>2.93E-2</v>
      </c>
      <c r="X12">
        <v>5.2026000000000003</v>
      </c>
      <c r="Y12">
        <v>73.552999999999997</v>
      </c>
      <c r="Z12">
        <v>6.0000000000000001E-3</v>
      </c>
      <c r="AA12">
        <v>0</v>
      </c>
      <c r="AB12">
        <v>0.83</v>
      </c>
      <c r="AC12">
        <v>6</v>
      </c>
      <c r="AD12">
        <v>1.54E-2</v>
      </c>
      <c r="AE12">
        <v>-1.0486</v>
      </c>
      <c r="AF12">
        <v>0.90300000000000002</v>
      </c>
      <c r="AG12">
        <v>4.0000000000000002E-4</v>
      </c>
      <c r="AH12">
        <v>-1.0486</v>
      </c>
      <c r="AI12">
        <v>1.0486</v>
      </c>
      <c r="AJ12">
        <v>0.90300000000000002</v>
      </c>
      <c r="AK12">
        <v>5.5999999999999999E-3</v>
      </c>
      <c r="AL12">
        <v>1.0486</v>
      </c>
      <c r="AM12">
        <v>-7.2999999999999995E-2</v>
      </c>
      <c r="AN12">
        <v>124.372</v>
      </c>
      <c r="AO12">
        <v>7.0000000000000001E-3</v>
      </c>
      <c r="AP12">
        <v>-2.5000000000000001E-2</v>
      </c>
      <c r="AQ12">
        <v>0</v>
      </c>
      <c r="AR12">
        <v>11</v>
      </c>
      <c r="AS12">
        <v>6.0000000000000001E-3</v>
      </c>
      <c r="AT12">
        <v>-2.4500000000000001E-2</v>
      </c>
      <c r="AU12">
        <v>-0.14399999999999999</v>
      </c>
      <c r="AV12">
        <v>6.0000000000000001E-3</v>
      </c>
      <c r="AW12">
        <v>-2.4500000000000001E-2</v>
      </c>
      <c r="AX12">
        <v>2.52E-2</v>
      </c>
      <c r="AY12">
        <v>-0.14399999999999999</v>
      </c>
      <c r="AZ12">
        <v>1E-3</v>
      </c>
      <c r="BA12">
        <v>-5.0000000000000001E-4</v>
      </c>
      <c r="BB12">
        <v>0.14399999999999999</v>
      </c>
      <c r="BE12" t="s">
        <v>237</v>
      </c>
    </row>
    <row r="13" spans="1:57" x14ac:dyDescent="0.25">
      <c r="A13">
        <v>12</v>
      </c>
      <c r="B13" t="b">
        <v>0</v>
      </c>
      <c r="C13" t="s">
        <v>31</v>
      </c>
      <c r="D13" t="s">
        <v>238</v>
      </c>
      <c r="E13">
        <v>239.04499999999999</v>
      </c>
      <c r="F13">
        <v>9.7840000000000007</v>
      </c>
      <c r="H13">
        <v>13.464</v>
      </c>
      <c r="I13">
        <v>128.983</v>
      </c>
      <c r="M13">
        <v>5.1379999999999999</v>
      </c>
      <c r="N13">
        <v>1.3779999999999999</v>
      </c>
      <c r="O13">
        <v>-117.934</v>
      </c>
      <c r="P13">
        <v>5.1618000000000004</v>
      </c>
      <c r="Q13">
        <v>1.3696999999999999</v>
      </c>
      <c r="R13">
        <v>-117.764</v>
      </c>
      <c r="S13">
        <v>-6.2E-2</v>
      </c>
      <c r="T13">
        <v>1.3779999999999999</v>
      </c>
      <c r="U13">
        <v>1.3794</v>
      </c>
      <c r="V13">
        <v>5.1618000000000004</v>
      </c>
      <c r="W13">
        <v>1.3696999999999999</v>
      </c>
      <c r="X13">
        <v>5.3403999999999998</v>
      </c>
      <c r="Y13">
        <v>75.623999999999995</v>
      </c>
      <c r="Z13">
        <v>-2E-3</v>
      </c>
      <c r="AA13">
        <v>0</v>
      </c>
      <c r="AB13">
        <v>-0.11</v>
      </c>
      <c r="AC13">
        <v>6</v>
      </c>
      <c r="AD13">
        <v>9.7999999999999997E-3</v>
      </c>
      <c r="AE13">
        <v>-1.0499000000000001</v>
      </c>
      <c r="AF13">
        <v>0.57099999999999995</v>
      </c>
      <c r="AG13">
        <v>-5.1999999999999998E-3</v>
      </c>
      <c r="AH13">
        <v>-1.0499000000000001</v>
      </c>
      <c r="AI13">
        <v>1.0499000000000001</v>
      </c>
      <c r="AJ13">
        <v>0.57099999999999995</v>
      </c>
      <c r="AK13">
        <v>3.2000000000000002E-3</v>
      </c>
      <c r="AL13">
        <v>1.0499000000000001</v>
      </c>
      <c r="AM13">
        <v>-0.68100000000000005</v>
      </c>
      <c r="AN13">
        <v>128.98099999999999</v>
      </c>
      <c r="AO13">
        <v>4.0000000000000001E-3</v>
      </c>
      <c r="AP13">
        <v>-2.5000000000000001E-2</v>
      </c>
      <c r="AQ13">
        <v>-0.08</v>
      </c>
      <c r="AR13">
        <v>10</v>
      </c>
      <c r="AS13">
        <v>3.7000000000000002E-3</v>
      </c>
      <c r="AT13">
        <v>-2.4899999999999999E-2</v>
      </c>
      <c r="AU13">
        <v>-0.16900000000000001</v>
      </c>
      <c r="AV13">
        <v>3.7000000000000002E-3</v>
      </c>
      <c r="AW13">
        <v>-2.4899999999999999E-2</v>
      </c>
      <c r="AX13">
        <v>2.52E-2</v>
      </c>
      <c r="AY13">
        <v>-0.16900000000000001</v>
      </c>
      <c r="AZ13">
        <v>2.9999999999999997E-4</v>
      </c>
      <c r="BA13">
        <v>-1E-4</v>
      </c>
      <c r="BB13">
        <v>8.8999999999999996E-2</v>
      </c>
      <c r="BE13" t="s">
        <v>239</v>
      </c>
    </row>
    <row r="14" spans="1:57" x14ac:dyDescent="0.25">
      <c r="A14">
        <v>13</v>
      </c>
      <c r="B14" t="b">
        <v>1</v>
      </c>
      <c r="E14">
        <v>259.62099999999998</v>
      </c>
      <c r="F14">
        <v>9.6839999999999993</v>
      </c>
      <c r="G14">
        <v>259.61900000000003</v>
      </c>
      <c r="H14">
        <v>12.35</v>
      </c>
      <c r="I14">
        <v>127.53100000000001</v>
      </c>
      <c r="J14">
        <v>192.50299999999999</v>
      </c>
      <c r="K14">
        <v>167.46899999999999</v>
      </c>
      <c r="L14">
        <v>258.61200000000002</v>
      </c>
      <c r="M14">
        <v>5.2072000000000003</v>
      </c>
      <c r="N14">
        <v>-8.9499999999999996E-2</v>
      </c>
      <c r="O14">
        <v>9.1519999999999992</v>
      </c>
      <c r="P14">
        <v>2.0000000000000001E-4</v>
      </c>
      <c r="Q14">
        <v>9.7500000000000003E-2</v>
      </c>
      <c r="R14">
        <v>-5.6000000000000001E-2</v>
      </c>
      <c r="S14">
        <v>7.1999999999999998E-3</v>
      </c>
      <c r="T14">
        <v>-8.9499999999999996E-2</v>
      </c>
      <c r="U14">
        <v>8.9700000000000002E-2</v>
      </c>
      <c r="V14">
        <v>2.0000000000000001E-4</v>
      </c>
      <c r="W14">
        <v>9.7500000000000003E-2</v>
      </c>
      <c r="X14">
        <v>9.7500000000000003E-2</v>
      </c>
      <c r="Y14">
        <v>77.412000000000006</v>
      </c>
      <c r="Z14">
        <v>6.0000000000000001E-3</v>
      </c>
      <c r="AA14">
        <v>0</v>
      </c>
      <c r="AB14">
        <v>-0.09</v>
      </c>
      <c r="AC14">
        <v>6</v>
      </c>
      <c r="AD14">
        <v>1.7000000000000001E-2</v>
      </c>
      <c r="AE14">
        <v>-1.0529999999999999</v>
      </c>
      <c r="AF14">
        <v>0.66900000000000004</v>
      </c>
      <c r="AG14">
        <v>2E-3</v>
      </c>
      <c r="AH14">
        <v>-1.0529999999999999</v>
      </c>
      <c r="AI14">
        <v>1.0529999999999999</v>
      </c>
      <c r="AJ14">
        <v>0.66900000000000004</v>
      </c>
      <c r="AK14">
        <v>4.0000000000000001E-3</v>
      </c>
      <c r="AL14">
        <v>1.0529999999999999</v>
      </c>
      <c r="AM14">
        <v>-0.75900000000000001</v>
      </c>
      <c r="AN14">
        <v>127.529</v>
      </c>
      <c r="AO14">
        <v>8.0000000000000002E-3</v>
      </c>
      <c r="AP14">
        <v>-2.5000000000000001E-2</v>
      </c>
      <c r="AQ14">
        <v>-0.01</v>
      </c>
      <c r="AR14">
        <v>11</v>
      </c>
      <c r="AS14">
        <v>7.7999999999999996E-3</v>
      </c>
      <c r="AT14">
        <v>-2.4799999999999999E-2</v>
      </c>
      <c r="AU14">
        <v>-7.3999999999999996E-2</v>
      </c>
      <c r="AV14">
        <v>7.7999999999999996E-3</v>
      </c>
      <c r="AW14">
        <v>-2.4799999999999999E-2</v>
      </c>
      <c r="AX14">
        <v>2.5999999999999999E-2</v>
      </c>
      <c r="AY14">
        <v>-7.3999999999999996E-2</v>
      </c>
      <c r="AZ14">
        <v>2.0000000000000001E-4</v>
      </c>
      <c r="BA14">
        <v>-2.0000000000000001E-4</v>
      </c>
      <c r="BB14">
        <v>6.4000000000000001E-2</v>
      </c>
      <c r="BE14" t="s">
        <v>240</v>
      </c>
    </row>
    <row r="15" spans="1:57" x14ac:dyDescent="0.25">
      <c r="A15">
        <v>14</v>
      </c>
      <c r="B15" t="b">
        <v>1</v>
      </c>
      <c r="E15">
        <v>254.851</v>
      </c>
      <c r="F15">
        <v>9.9359999999999999</v>
      </c>
      <c r="G15">
        <v>254.84899999999999</v>
      </c>
      <c r="H15">
        <v>12.103999999999999</v>
      </c>
      <c r="I15">
        <v>123.697</v>
      </c>
      <c r="J15">
        <v>188.06399999999999</v>
      </c>
      <c r="K15">
        <v>162.68100000000001</v>
      </c>
      <c r="L15">
        <v>253.84299999999999</v>
      </c>
      <c r="M15">
        <v>5.1970000000000001</v>
      </c>
      <c r="N15">
        <v>-0.16120000000000001</v>
      </c>
      <c r="O15">
        <v>8.8999999999999996E-2</v>
      </c>
      <c r="P15">
        <v>-1.1999999999999999E-3</v>
      </c>
      <c r="Q15">
        <v>9.8400000000000001E-2</v>
      </c>
      <c r="R15">
        <v>0.33700000000000002</v>
      </c>
      <c r="S15">
        <v>-3.0000000000000001E-3</v>
      </c>
      <c r="T15">
        <v>-0.16120000000000001</v>
      </c>
      <c r="U15">
        <v>0.16120000000000001</v>
      </c>
      <c r="V15">
        <v>-1.1999999999999999E-3</v>
      </c>
      <c r="W15">
        <v>9.8400000000000001E-2</v>
      </c>
      <c r="X15">
        <v>9.8400000000000001E-2</v>
      </c>
      <c r="Y15">
        <v>73.881</v>
      </c>
      <c r="Z15">
        <v>7.0000000000000001E-3</v>
      </c>
      <c r="AA15">
        <v>0</v>
      </c>
      <c r="AB15">
        <v>-0.09</v>
      </c>
      <c r="AC15">
        <v>6</v>
      </c>
      <c r="AD15">
        <v>1.9E-2</v>
      </c>
      <c r="AE15">
        <v>-1.0619000000000001</v>
      </c>
      <c r="AF15">
        <v>1.696</v>
      </c>
      <c r="AG15">
        <v>4.0000000000000001E-3</v>
      </c>
      <c r="AH15">
        <v>-1.0619000000000001</v>
      </c>
      <c r="AI15">
        <v>1.0619000000000001</v>
      </c>
      <c r="AJ15">
        <v>1.696</v>
      </c>
      <c r="AK15">
        <v>3.0000000000000001E-3</v>
      </c>
      <c r="AL15">
        <v>1.0619000000000001</v>
      </c>
      <c r="AM15">
        <v>-1.786</v>
      </c>
      <c r="AN15">
        <v>123.645</v>
      </c>
      <c r="AO15">
        <v>-6.0000000000000001E-3</v>
      </c>
      <c r="AP15">
        <v>-2.5000000000000001E-2</v>
      </c>
      <c r="AQ15">
        <v>-0.18</v>
      </c>
      <c r="AR15">
        <v>11</v>
      </c>
      <c r="AS15">
        <v>-6.6E-3</v>
      </c>
      <c r="AT15">
        <v>-2.47E-2</v>
      </c>
      <c r="AU15">
        <v>-0.255</v>
      </c>
      <c r="AV15">
        <v>-6.6E-3</v>
      </c>
      <c r="AW15">
        <v>-2.47E-2</v>
      </c>
      <c r="AX15">
        <v>2.5600000000000001E-2</v>
      </c>
      <c r="AY15">
        <v>-0.255</v>
      </c>
      <c r="AZ15">
        <v>5.9999999999999995E-4</v>
      </c>
      <c r="BA15">
        <v>-2.9999999999999997E-4</v>
      </c>
      <c r="BB15">
        <v>7.4999999999999997E-2</v>
      </c>
      <c r="BE15" t="s">
        <v>241</v>
      </c>
    </row>
    <row r="16" spans="1:57" x14ac:dyDescent="0.25">
      <c r="A16">
        <v>15</v>
      </c>
      <c r="B16" t="b">
        <v>0</v>
      </c>
      <c r="C16" t="s">
        <v>242</v>
      </c>
      <c r="D16" t="s">
        <v>243</v>
      </c>
      <c r="E16">
        <v>154.221</v>
      </c>
      <c r="F16">
        <v>9.9469999999999992</v>
      </c>
      <c r="H16">
        <v>12.614000000000001</v>
      </c>
      <c r="M16">
        <v>2.4849000000000001</v>
      </c>
      <c r="N16">
        <v>-7.7899999999999997E-2</v>
      </c>
      <c r="O16">
        <v>-0.30499999999999999</v>
      </c>
      <c r="P16">
        <v>2.3652000000000002</v>
      </c>
      <c r="Q16">
        <v>1.3196000000000001</v>
      </c>
      <c r="R16">
        <v>-0.126</v>
      </c>
      <c r="S16">
        <v>-2.7151000000000001</v>
      </c>
      <c r="T16">
        <v>-7.7899999999999997E-2</v>
      </c>
      <c r="U16">
        <v>2.7162000000000002</v>
      </c>
      <c r="V16">
        <v>2.3652000000000002</v>
      </c>
      <c r="W16">
        <v>1.3196000000000001</v>
      </c>
      <c r="X16">
        <v>2.7084000000000001</v>
      </c>
      <c r="BE16" t="s">
        <v>244</v>
      </c>
    </row>
    <row r="17" spans="1:57" x14ac:dyDescent="0.25">
      <c r="A17">
        <v>16</v>
      </c>
      <c r="B17" t="b">
        <v>1</v>
      </c>
      <c r="E17">
        <v>267.32600000000002</v>
      </c>
      <c r="F17">
        <v>9.8350000000000009</v>
      </c>
      <c r="G17">
        <v>267.32400000000001</v>
      </c>
      <c r="H17">
        <v>13.505000000000001</v>
      </c>
      <c r="I17">
        <v>130.345</v>
      </c>
      <c r="J17">
        <v>200.40899999999999</v>
      </c>
      <c r="K17">
        <v>170.62700000000001</v>
      </c>
      <c r="L17">
        <v>266.31700000000001</v>
      </c>
      <c r="M17">
        <v>5.2035999999999998</v>
      </c>
      <c r="N17">
        <v>-3.8199999999999998E-2</v>
      </c>
      <c r="O17">
        <v>-2.7349999999999999</v>
      </c>
      <c r="P17">
        <v>-5.0000000000000001E-4</v>
      </c>
      <c r="Q17">
        <v>9.5799999999999996E-2</v>
      </c>
      <c r="R17">
        <v>0.01</v>
      </c>
      <c r="S17">
        <v>3.5999999999999999E-3</v>
      </c>
      <c r="T17">
        <v>-3.8199999999999998E-2</v>
      </c>
      <c r="U17">
        <v>3.8399999999999997E-2</v>
      </c>
      <c r="V17">
        <v>-5.0000000000000001E-4</v>
      </c>
      <c r="W17">
        <v>9.5799999999999996E-2</v>
      </c>
      <c r="X17">
        <v>9.5799999999999996E-2</v>
      </c>
      <c r="Y17">
        <v>79.768000000000001</v>
      </c>
      <c r="Z17">
        <v>-5.0000000000000001E-3</v>
      </c>
      <c r="AA17">
        <v>0</v>
      </c>
      <c r="AB17">
        <v>0.5</v>
      </c>
      <c r="AC17">
        <v>6</v>
      </c>
      <c r="AD17">
        <v>1.14E-2</v>
      </c>
      <c r="AE17">
        <v>-1.0548999999999999</v>
      </c>
      <c r="AF17">
        <v>1.585</v>
      </c>
      <c r="AG17">
        <v>-3.5999999999999999E-3</v>
      </c>
      <c r="AH17">
        <v>-1.0548999999999999</v>
      </c>
      <c r="AI17">
        <v>1.0548999999999999</v>
      </c>
      <c r="AJ17">
        <v>1.585</v>
      </c>
      <c r="AK17">
        <v>-1.4E-3</v>
      </c>
      <c r="AL17">
        <v>1.0548999999999999</v>
      </c>
      <c r="AM17">
        <v>-1.085</v>
      </c>
      <c r="AN17">
        <v>130.34299999999999</v>
      </c>
      <c r="AO17">
        <v>-2E-3</v>
      </c>
      <c r="AP17">
        <v>-2.5000000000000001E-2</v>
      </c>
      <c r="AQ17">
        <v>-0.04</v>
      </c>
      <c r="AR17">
        <v>10</v>
      </c>
      <c r="AS17">
        <v>-1.6999999999999999E-3</v>
      </c>
      <c r="AT17">
        <v>-2.4899999999999999E-2</v>
      </c>
      <c r="AU17">
        <v>-0.14099999999999999</v>
      </c>
      <c r="AV17">
        <v>-1.6999999999999999E-3</v>
      </c>
      <c r="AW17">
        <v>-2.4899999999999999E-2</v>
      </c>
      <c r="AX17">
        <v>2.5000000000000001E-2</v>
      </c>
      <c r="AY17">
        <v>-0.14099999999999999</v>
      </c>
      <c r="AZ17">
        <v>-2.9999999999999997E-4</v>
      </c>
      <c r="BA17">
        <v>-1E-4</v>
      </c>
      <c r="BB17">
        <v>0.10100000000000001</v>
      </c>
      <c r="BE17" t="s">
        <v>245</v>
      </c>
    </row>
    <row r="18" spans="1:57" x14ac:dyDescent="0.25">
      <c r="A18">
        <v>17</v>
      </c>
      <c r="B18" t="b">
        <v>1</v>
      </c>
      <c r="E18">
        <v>253.126</v>
      </c>
      <c r="F18">
        <v>9.7360000000000007</v>
      </c>
      <c r="G18">
        <v>253.12299999999999</v>
      </c>
      <c r="H18">
        <v>12.404</v>
      </c>
      <c r="I18">
        <v>120.14100000000001</v>
      </c>
      <c r="J18">
        <v>186.053</v>
      </c>
      <c r="K18">
        <v>159.96199999999999</v>
      </c>
      <c r="L18">
        <v>252.11600000000001</v>
      </c>
      <c r="M18">
        <v>5.1988000000000003</v>
      </c>
      <c r="N18">
        <v>-8.72E-2</v>
      </c>
      <c r="O18">
        <v>7.2190000000000003</v>
      </c>
      <c r="P18">
        <v>-1E-4</v>
      </c>
      <c r="Q18">
        <v>9.9099999999999994E-2</v>
      </c>
      <c r="R18">
        <v>1.2999999999999999E-2</v>
      </c>
      <c r="S18">
        <v>-1.1999999999999999E-3</v>
      </c>
      <c r="T18">
        <v>-8.72E-2</v>
      </c>
      <c r="U18">
        <v>8.7300000000000003E-2</v>
      </c>
      <c r="V18">
        <v>-1E-4</v>
      </c>
      <c r="W18">
        <v>9.9099999999999994E-2</v>
      </c>
      <c r="X18">
        <v>9.9099999999999994E-2</v>
      </c>
      <c r="Y18">
        <v>74.040000000000006</v>
      </c>
      <c r="Z18">
        <v>7.0000000000000001E-3</v>
      </c>
      <c r="AA18">
        <v>0</v>
      </c>
      <c r="AB18">
        <v>-0.03</v>
      </c>
      <c r="AC18">
        <v>6</v>
      </c>
      <c r="AD18">
        <v>1.6400000000000001E-2</v>
      </c>
      <c r="AE18">
        <v>-1.0567</v>
      </c>
      <c r="AF18">
        <v>0.39400000000000002</v>
      </c>
      <c r="AG18">
        <v>1.4E-3</v>
      </c>
      <c r="AH18">
        <v>-1.0567</v>
      </c>
      <c r="AI18">
        <v>1.0567</v>
      </c>
      <c r="AJ18">
        <v>0.39400000000000002</v>
      </c>
      <c r="AK18">
        <v>5.5999999999999999E-3</v>
      </c>
      <c r="AL18">
        <v>1.0567</v>
      </c>
      <c r="AM18">
        <v>-0.42399999999999999</v>
      </c>
      <c r="AN18">
        <v>120.089</v>
      </c>
      <c r="AO18">
        <v>-3.0000000000000001E-3</v>
      </c>
      <c r="AP18">
        <v>-2.5000000000000001E-2</v>
      </c>
      <c r="AQ18">
        <v>-0.23</v>
      </c>
      <c r="AR18">
        <v>11</v>
      </c>
      <c r="AS18">
        <v>-3.5999999999999999E-3</v>
      </c>
      <c r="AT18">
        <v>-2.4799999999999999E-2</v>
      </c>
      <c r="AU18">
        <v>-0.28399999999999997</v>
      </c>
      <c r="AV18">
        <v>-3.5999999999999999E-3</v>
      </c>
      <c r="AW18">
        <v>-2.4799999999999999E-2</v>
      </c>
      <c r="AX18">
        <v>2.5100000000000001E-2</v>
      </c>
      <c r="AY18">
        <v>-0.28399999999999997</v>
      </c>
      <c r="AZ18">
        <v>5.9999999999999995E-4</v>
      </c>
      <c r="BA18">
        <v>-2.0000000000000001E-4</v>
      </c>
      <c r="BB18">
        <v>5.3999999999999999E-2</v>
      </c>
      <c r="BE18" t="s">
        <v>246</v>
      </c>
    </row>
    <row r="19" spans="1:57" x14ac:dyDescent="0.25">
      <c r="A19">
        <v>18</v>
      </c>
      <c r="B19" t="b">
        <v>1</v>
      </c>
      <c r="E19">
        <v>263.18700000000001</v>
      </c>
      <c r="F19">
        <v>9.8390000000000004</v>
      </c>
      <c r="G19">
        <v>263.185</v>
      </c>
      <c r="H19">
        <v>13.365</v>
      </c>
      <c r="I19">
        <v>126.511</v>
      </c>
      <c r="J19">
        <v>197.107</v>
      </c>
      <c r="K19">
        <v>167.49600000000001</v>
      </c>
      <c r="L19">
        <v>262.17899999999997</v>
      </c>
      <c r="M19">
        <v>5.2022000000000004</v>
      </c>
      <c r="N19">
        <v>-2.87E-2</v>
      </c>
      <c r="O19">
        <v>-1.9059999999999999</v>
      </c>
      <c r="P19">
        <v>5.0000000000000001E-4</v>
      </c>
      <c r="Q19">
        <v>0.10829999999999999</v>
      </c>
      <c r="R19">
        <v>-6.2E-2</v>
      </c>
      <c r="S19">
        <v>2.2000000000000001E-3</v>
      </c>
      <c r="T19">
        <v>-2.87E-2</v>
      </c>
      <c r="U19">
        <v>2.8799999999999999E-2</v>
      </c>
      <c r="V19">
        <v>5.0000000000000001E-4</v>
      </c>
      <c r="W19">
        <v>0.10829999999999999</v>
      </c>
      <c r="X19">
        <v>0.10829999999999999</v>
      </c>
      <c r="Y19">
        <v>74.054000000000002</v>
      </c>
      <c r="Z19">
        <v>4.0000000000000001E-3</v>
      </c>
      <c r="AA19">
        <v>0</v>
      </c>
      <c r="AB19">
        <v>-0.65</v>
      </c>
      <c r="AC19">
        <v>6</v>
      </c>
      <c r="AD19">
        <v>1.2800000000000001E-2</v>
      </c>
      <c r="AE19">
        <v>-1.0543</v>
      </c>
      <c r="AF19">
        <v>0.52600000000000002</v>
      </c>
      <c r="AG19">
        <v>-2.2000000000000001E-3</v>
      </c>
      <c r="AH19">
        <v>-1.0543</v>
      </c>
      <c r="AI19">
        <v>1.0543</v>
      </c>
      <c r="AJ19">
        <v>0.52600000000000002</v>
      </c>
      <c r="AK19">
        <v>6.1999999999999998E-3</v>
      </c>
      <c r="AL19">
        <v>1.0543</v>
      </c>
      <c r="AM19">
        <v>-1.1759999999999999</v>
      </c>
      <c r="AN19">
        <v>126.459</v>
      </c>
      <c r="AO19">
        <v>5.0000000000000001E-3</v>
      </c>
      <c r="AP19">
        <v>-2.5000000000000001E-2</v>
      </c>
      <c r="AQ19">
        <v>-0.14000000000000001</v>
      </c>
      <c r="AR19">
        <v>10</v>
      </c>
      <c r="AS19">
        <v>5.1000000000000004E-3</v>
      </c>
      <c r="AT19">
        <v>-2.5000000000000001E-2</v>
      </c>
      <c r="AU19">
        <v>-0.223</v>
      </c>
      <c r="AV19">
        <v>5.1000000000000004E-3</v>
      </c>
      <c r="AW19">
        <v>-2.5000000000000001E-2</v>
      </c>
      <c r="AX19">
        <v>2.5499999999999998E-2</v>
      </c>
      <c r="AY19">
        <v>-0.223</v>
      </c>
      <c r="AZ19">
        <v>-1E-4</v>
      </c>
      <c r="BA19">
        <v>0</v>
      </c>
      <c r="BB19">
        <v>8.3000000000000004E-2</v>
      </c>
      <c r="BE19" t="s">
        <v>247</v>
      </c>
    </row>
    <row r="20" spans="1:57" x14ac:dyDescent="0.25">
      <c r="A20">
        <v>19</v>
      </c>
      <c r="B20" t="b">
        <v>1</v>
      </c>
      <c r="E20">
        <v>260.40199999999999</v>
      </c>
      <c r="F20">
        <v>9.6940000000000008</v>
      </c>
      <c r="G20">
        <v>260.39999999999998</v>
      </c>
      <c r="H20">
        <v>12.114000000000001</v>
      </c>
      <c r="I20">
        <v>128.31100000000001</v>
      </c>
      <c r="J20">
        <v>194.79</v>
      </c>
      <c r="K20">
        <v>169.25399999999999</v>
      </c>
      <c r="L20">
        <v>259.392</v>
      </c>
      <c r="M20">
        <v>5.1889000000000003</v>
      </c>
      <c r="N20">
        <v>-7.5300000000000006E-2</v>
      </c>
      <c r="O20">
        <v>-6.4779999999999998</v>
      </c>
      <c r="P20">
        <v>8.0000000000000004E-4</v>
      </c>
      <c r="Q20">
        <v>0.11260000000000001</v>
      </c>
      <c r="R20">
        <v>-0.26800000000000002</v>
      </c>
      <c r="S20">
        <v>-1.11E-2</v>
      </c>
      <c r="T20">
        <v>-7.5300000000000006E-2</v>
      </c>
      <c r="U20">
        <v>7.6100000000000001E-2</v>
      </c>
      <c r="V20">
        <v>8.0000000000000004E-4</v>
      </c>
      <c r="W20">
        <v>0.11260000000000001</v>
      </c>
      <c r="X20">
        <v>0.11260000000000001</v>
      </c>
      <c r="Y20">
        <v>79.95</v>
      </c>
      <c r="Z20">
        <v>-4.0000000000000001E-3</v>
      </c>
      <c r="AA20">
        <v>0</v>
      </c>
      <c r="AB20">
        <v>0.46</v>
      </c>
      <c r="AC20">
        <v>6</v>
      </c>
      <c r="AD20">
        <v>7.6E-3</v>
      </c>
      <c r="AE20">
        <v>-1.0596000000000001</v>
      </c>
      <c r="AF20">
        <v>0.42899999999999999</v>
      </c>
      <c r="AG20">
        <v>-7.4000000000000003E-3</v>
      </c>
      <c r="AH20">
        <v>-1.0596000000000001</v>
      </c>
      <c r="AI20">
        <v>1.0596000000000001</v>
      </c>
      <c r="AJ20">
        <v>0.42899999999999999</v>
      </c>
      <c r="AK20">
        <v>3.3999999999999998E-3</v>
      </c>
      <c r="AL20">
        <v>1.0596000000000001</v>
      </c>
      <c r="AM20">
        <v>3.1E-2</v>
      </c>
      <c r="AN20">
        <v>128.309</v>
      </c>
      <c r="AO20">
        <v>2E-3</v>
      </c>
      <c r="AP20">
        <v>-2.5000000000000001E-2</v>
      </c>
      <c r="AQ20">
        <v>0.15</v>
      </c>
      <c r="AR20">
        <v>10</v>
      </c>
      <c r="AS20">
        <v>2.5000000000000001E-3</v>
      </c>
      <c r="AT20">
        <v>-2.4799999999999999E-2</v>
      </c>
      <c r="AU20">
        <v>4.3999999999999997E-2</v>
      </c>
      <c r="AV20">
        <v>2.5000000000000001E-3</v>
      </c>
      <c r="AW20">
        <v>-2.4799999999999999E-2</v>
      </c>
      <c r="AX20">
        <v>2.5000000000000001E-2</v>
      </c>
      <c r="AY20">
        <v>4.3999999999999997E-2</v>
      </c>
      <c r="AZ20">
        <v>-5.0000000000000001E-4</v>
      </c>
      <c r="BA20">
        <v>-2.0000000000000001E-4</v>
      </c>
      <c r="BB20">
        <v>0.106</v>
      </c>
      <c r="BE20" t="s">
        <v>248</v>
      </c>
    </row>
    <row r="21" spans="1:57" x14ac:dyDescent="0.25">
      <c r="A21">
        <v>20</v>
      </c>
      <c r="B21" t="b">
        <v>0</v>
      </c>
      <c r="C21" t="s">
        <v>20</v>
      </c>
      <c r="D21" t="s">
        <v>249</v>
      </c>
      <c r="E21">
        <v>211.684</v>
      </c>
      <c r="F21">
        <v>9.7859999999999996</v>
      </c>
      <c r="H21">
        <v>12.101000000000001</v>
      </c>
      <c r="I21">
        <v>124.83499999999999</v>
      </c>
      <c r="K21">
        <v>172.28200000000001</v>
      </c>
      <c r="M21">
        <v>5.1933999999999996</v>
      </c>
      <c r="N21">
        <v>5.1000000000000004E-3</v>
      </c>
      <c r="O21">
        <v>-5.8</v>
      </c>
      <c r="P21">
        <v>5.2027000000000001</v>
      </c>
      <c r="Q21">
        <v>2.9100000000000001E-2</v>
      </c>
      <c r="R21">
        <v>-5.7229999999999999</v>
      </c>
      <c r="S21">
        <v>-6.6E-3</v>
      </c>
      <c r="T21">
        <v>5.1000000000000004E-3</v>
      </c>
      <c r="U21">
        <v>8.3000000000000001E-3</v>
      </c>
      <c r="V21">
        <v>5.2027000000000001</v>
      </c>
      <c r="W21">
        <v>2.9100000000000001E-2</v>
      </c>
      <c r="X21">
        <v>5.2027999999999999</v>
      </c>
      <c r="Y21">
        <v>76.064999999999998</v>
      </c>
      <c r="Z21">
        <v>-2E-3</v>
      </c>
      <c r="AA21">
        <v>0</v>
      </c>
      <c r="AB21">
        <v>0.81</v>
      </c>
      <c r="AC21">
        <v>6</v>
      </c>
      <c r="AD21">
        <v>1.1299999999999999E-2</v>
      </c>
      <c r="AE21">
        <v>-1.0567</v>
      </c>
      <c r="AF21">
        <v>1.5369999999999999</v>
      </c>
      <c r="AG21">
        <v>-3.7000000000000002E-3</v>
      </c>
      <c r="AH21">
        <v>-1.0567</v>
      </c>
      <c r="AI21">
        <v>1.0567</v>
      </c>
      <c r="AJ21">
        <v>1.5369999999999999</v>
      </c>
      <c r="AK21">
        <v>1.6999999999999999E-3</v>
      </c>
      <c r="AL21">
        <v>1.0567</v>
      </c>
      <c r="AM21">
        <v>-0.72699999999999998</v>
      </c>
      <c r="AN21">
        <v>124.834</v>
      </c>
      <c r="AO21">
        <v>-7.0000000000000001E-3</v>
      </c>
      <c r="AP21">
        <v>-2.5000000000000001E-2</v>
      </c>
      <c r="AQ21">
        <v>0</v>
      </c>
      <c r="AR21">
        <v>11</v>
      </c>
      <c r="AS21">
        <v>-6.7999999999999996E-3</v>
      </c>
      <c r="AT21">
        <v>-2.4799999999999999E-2</v>
      </c>
      <c r="AU21">
        <v>-7.6999999999999999E-2</v>
      </c>
      <c r="AV21">
        <v>-6.7999999999999996E-3</v>
      </c>
      <c r="AW21">
        <v>-2.4799999999999999E-2</v>
      </c>
      <c r="AX21">
        <v>2.5700000000000001E-2</v>
      </c>
      <c r="AY21">
        <v>-7.6999999999999999E-2</v>
      </c>
      <c r="AZ21">
        <v>-2.0000000000000001E-4</v>
      </c>
      <c r="BA21">
        <v>-2.0000000000000001E-4</v>
      </c>
      <c r="BB21">
        <v>7.6999999999999999E-2</v>
      </c>
      <c r="BE21" t="s">
        <v>250</v>
      </c>
    </row>
    <row r="22" spans="1:57" x14ac:dyDescent="0.25">
      <c r="A22">
        <v>21</v>
      </c>
      <c r="B22" t="b">
        <v>0</v>
      </c>
      <c r="C22" t="s">
        <v>251</v>
      </c>
      <c r="D22" t="s">
        <v>252</v>
      </c>
      <c r="E22">
        <v>200.839</v>
      </c>
      <c r="F22">
        <v>9.8879999999999999</v>
      </c>
      <c r="H22">
        <v>12.055</v>
      </c>
      <c r="I22">
        <v>122.806</v>
      </c>
      <c r="K22">
        <v>163.15600000000001</v>
      </c>
      <c r="M22">
        <v>5.1942000000000004</v>
      </c>
      <c r="N22">
        <v>6.9999999999999999E-4</v>
      </c>
      <c r="O22">
        <v>-1.9890000000000001</v>
      </c>
      <c r="P22">
        <v>5.2008999999999999</v>
      </c>
      <c r="Q22">
        <v>2.52E-2</v>
      </c>
      <c r="R22">
        <v>-1.905</v>
      </c>
      <c r="S22">
        <v>-5.7999999999999996E-3</v>
      </c>
      <c r="T22">
        <v>6.9999999999999999E-4</v>
      </c>
      <c r="U22">
        <v>5.7999999999999996E-3</v>
      </c>
      <c r="V22">
        <v>5.2008999999999999</v>
      </c>
      <c r="W22">
        <v>2.52E-2</v>
      </c>
      <c r="X22">
        <v>5.2009999999999996</v>
      </c>
      <c r="Y22">
        <v>74.001999999999995</v>
      </c>
      <c r="Z22">
        <v>-3.0000000000000001E-3</v>
      </c>
      <c r="AA22">
        <v>0</v>
      </c>
      <c r="AB22">
        <v>-0.4</v>
      </c>
      <c r="AC22">
        <v>6</v>
      </c>
      <c r="AD22">
        <v>1.15E-2</v>
      </c>
      <c r="AE22">
        <v>-1.0630999999999999</v>
      </c>
      <c r="AF22">
        <v>0.85899999999999999</v>
      </c>
      <c r="AG22">
        <v>-3.5000000000000001E-3</v>
      </c>
      <c r="AH22">
        <v>-1.0630999999999999</v>
      </c>
      <c r="AI22">
        <v>1.0630999999999999</v>
      </c>
      <c r="AJ22">
        <v>0.85899999999999999</v>
      </c>
      <c r="AK22">
        <v>5.0000000000000001E-4</v>
      </c>
      <c r="AL22">
        <v>1.0630999999999999</v>
      </c>
      <c r="AM22">
        <v>-1.2589999999999999</v>
      </c>
      <c r="AN22">
        <v>122.804</v>
      </c>
      <c r="AO22">
        <v>-5.0000000000000001E-3</v>
      </c>
      <c r="AP22">
        <v>-2.5000000000000001E-2</v>
      </c>
      <c r="AQ22">
        <v>0.02</v>
      </c>
      <c r="AR22">
        <v>11</v>
      </c>
      <c r="AS22">
        <v>-5.8999999999999999E-3</v>
      </c>
      <c r="AT22">
        <v>-2.47E-2</v>
      </c>
      <c r="AU22">
        <v>-8.4000000000000005E-2</v>
      </c>
      <c r="AV22">
        <v>-5.8999999999999999E-3</v>
      </c>
      <c r="AW22">
        <v>-2.47E-2</v>
      </c>
      <c r="AX22">
        <v>2.5399999999999999E-2</v>
      </c>
      <c r="AY22">
        <v>-8.4000000000000005E-2</v>
      </c>
      <c r="AZ22">
        <v>8.9999999999999998E-4</v>
      </c>
      <c r="BA22">
        <v>-2.9999999999999997E-4</v>
      </c>
      <c r="BB22">
        <v>0.104</v>
      </c>
      <c r="BE22" t="s">
        <v>253</v>
      </c>
    </row>
    <row r="23" spans="1:57" x14ac:dyDescent="0.25">
      <c r="A23">
        <v>22</v>
      </c>
      <c r="B23" t="b">
        <v>1</v>
      </c>
      <c r="E23">
        <v>274.303</v>
      </c>
      <c r="F23">
        <v>10.193</v>
      </c>
      <c r="G23">
        <v>274.3</v>
      </c>
      <c r="H23">
        <v>12.364000000000001</v>
      </c>
      <c r="I23">
        <v>139.53800000000001</v>
      </c>
      <c r="J23">
        <v>207.553</v>
      </c>
      <c r="K23">
        <v>180.095</v>
      </c>
      <c r="L23">
        <v>273.29300000000001</v>
      </c>
      <c r="M23">
        <v>5.2096999999999998</v>
      </c>
      <c r="N23">
        <v>-3.4500000000000003E-2</v>
      </c>
      <c r="O23">
        <v>-3.4049999999999998</v>
      </c>
      <c r="P23">
        <v>-2.0000000000000001E-4</v>
      </c>
      <c r="Q23">
        <v>0.10979999999999999</v>
      </c>
      <c r="R23">
        <v>3.0000000000000001E-3</v>
      </c>
      <c r="S23">
        <v>9.7000000000000003E-3</v>
      </c>
      <c r="T23">
        <v>-3.4500000000000003E-2</v>
      </c>
      <c r="U23">
        <v>3.5900000000000001E-2</v>
      </c>
      <c r="V23">
        <v>-2.0000000000000001E-4</v>
      </c>
      <c r="W23">
        <v>0.10979999999999999</v>
      </c>
      <c r="X23">
        <v>0.10979999999999999</v>
      </c>
      <c r="Y23">
        <v>88.153999999999996</v>
      </c>
      <c r="Z23">
        <v>-5.0000000000000001E-3</v>
      </c>
      <c r="AA23">
        <v>0</v>
      </c>
      <c r="AB23">
        <v>0.83</v>
      </c>
      <c r="AC23">
        <v>5</v>
      </c>
      <c r="AD23">
        <v>1.06E-2</v>
      </c>
      <c r="AE23">
        <v>-1.0542</v>
      </c>
      <c r="AF23">
        <v>0.98599999999999999</v>
      </c>
      <c r="AG23">
        <v>-4.4000000000000003E-3</v>
      </c>
      <c r="AH23">
        <v>-1.0542</v>
      </c>
      <c r="AI23">
        <v>1.0542</v>
      </c>
      <c r="AJ23">
        <v>0.98599999999999999</v>
      </c>
      <c r="AK23">
        <v>-5.9999999999999995E-4</v>
      </c>
      <c r="AL23">
        <v>1.0542</v>
      </c>
      <c r="AM23">
        <v>-0.156</v>
      </c>
      <c r="AN23">
        <v>139.48599999999999</v>
      </c>
      <c r="AO23">
        <v>7.0000000000000001E-3</v>
      </c>
      <c r="AP23">
        <v>-2.5000000000000001E-2</v>
      </c>
      <c r="AQ23">
        <v>0.02</v>
      </c>
      <c r="AR23">
        <v>11</v>
      </c>
      <c r="AS23">
        <v>5.7999999999999996E-3</v>
      </c>
      <c r="AT23">
        <v>-2.46E-2</v>
      </c>
      <c r="AU23">
        <v>-9.8000000000000004E-2</v>
      </c>
      <c r="AV23">
        <v>5.7999999999999996E-3</v>
      </c>
      <c r="AW23">
        <v>-2.46E-2</v>
      </c>
      <c r="AX23">
        <v>2.53E-2</v>
      </c>
      <c r="AY23">
        <v>-9.8000000000000004E-2</v>
      </c>
      <c r="AZ23">
        <v>1.1999999999999999E-3</v>
      </c>
      <c r="BA23">
        <v>-4.0000000000000002E-4</v>
      </c>
      <c r="BB23">
        <v>0.11799999999999999</v>
      </c>
      <c r="BE23" t="s">
        <v>254</v>
      </c>
    </row>
    <row r="24" spans="1:57" x14ac:dyDescent="0.25">
      <c r="A24">
        <v>23</v>
      </c>
      <c r="B24" t="b">
        <v>1</v>
      </c>
      <c r="E24">
        <v>265.05700000000002</v>
      </c>
      <c r="F24">
        <v>9.7910000000000004</v>
      </c>
      <c r="G24">
        <v>265.05500000000001</v>
      </c>
      <c r="H24">
        <v>13.208</v>
      </c>
      <c r="I24">
        <v>126.93600000000001</v>
      </c>
      <c r="J24">
        <v>199.126</v>
      </c>
      <c r="K24">
        <v>167.85300000000001</v>
      </c>
      <c r="L24">
        <v>264.04899999999998</v>
      </c>
      <c r="M24">
        <v>5.2027999999999999</v>
      </c>
      <c r="N24">
        <v>-3.4099999999999998E-2</v>
      </c>
      <c r="O24">
        <v>-0.496</v>
      </c>
      <c r="P24">
        <v>2.0000000000000001E-4</v>
      </c>
      <c r="Q24">
        <v>0.109</v>
      </c>
      <c r="R24">
        <v>4.0000000000000001E-3</v>
      </c>
      <c r="S24">
        <v>2.8E-3</v>
      </c>
      <c r="T24">
        <v>-3.4099999999999998E-2</v>
      </c>
      <c r="U24">
        <v>3.4200000000000001E-2</v>
      </c>
      <c r="V24">
        <v>2.0000000000000001E-4</v>
      </c>
      <c r="W24">
        <v>0.109</v>
      </c>
      <c r="X24">
        <v>0.109</v>
      </c>
      <c r="Y24">
        <v>76.311000000000007</v>
      </c>
      <c r="Z24">
        <v>8.0000000000000002E-3</v>
      </c>
      <c r="AA24">
        <v>0</v>
      </c>
      <c r="AB24">
        <v>0.13</v>
      </c>
      <c r="AC24">
        <v>6</v>
      </c>
      <c r="AD24">
        <v>1.8599999999999998E-2</v>
      </c>
      <c r="AE24">
        <v>-1.0581</v>
      </c>
      <c r="AF24">
        <v>0.434</v>
      </c>
      <c r="AG24">
        <v>3.5999999999999999E-3</v>
      </c>
      <c r="AH24">
        <v>-1.0581</v>
      </c>
      <c r="AI24">
        <v>1.0581</v>
      </c>
      <c r="AJ24">
        <v>0.434</v>
      </c>
      <c r="AK24">
        <v>4.4000000000000003E-3</v>
      </c>
      <c r="AL24">
        <v>1.0581</v>
      </c>
      <c r="AM24">
        <v>-0.30399999999999999</v>
      </c>
      <c r="AN24">
        <v>126.884</v>
      </c>
      <c r="AO24">
        <v>8.0000000000000002E-3</v>
      </c>
      <c r="AP24">
        <v>-2.5000000000000001E-2</v>
      </c>
      <c r="AQ24">
        <v>0.03</v>
      </c>
      <c r="AR24">
        <v>11</v>
      </c>
      <c r="AS24">
        <v>6.8999999999999999E-3</v>
      </c>
      <c r="AT24">
        <v>-2.4500000000000001E-2</v>
      </c>
      <c r="AU24">
        <v>-0.17399999999999999</v>
      </c>
      <c r="AV24">
        <v>6.8999999999999999E-3</v>
      </c>
      <c r="AW24">
        <v>-2.4500000000000001E-2</v>
      </c>
      <c r="AX24">
        <v>2.5399999999999999E-2</v>
      </c>
      <c r="AY24">
        <v>-0.17399999999999999</v>
      </c>
      <c r="AZ24">
        <v>1.1000000000000001E-3</v>
      </c>
      <c r="BA24">
        <v>-5.0000000000000001E-4</v>
      </c>
      <c r="BB24">
        <v>0.20399999999999999</v>
      </c>
      <c r="BE24" t="s">
        <v>255</v>
      </c>
    </row>
    <row r="25" spans="1:57" x14ac:dyDescent="0.25">
      <c r="A25">
        <v>24</v>
      </c>
      <c r="B25" t="b">
        <v>1</v>
      </c>
      <c r="E25">
        <v>273.25</v>
      </c>
      <c r="F25">
        <v>9.7370000000000001</v>
      </c>
      <c r="G25">
        <v>273.24799999999999</v>
      </c>
      <c r="H25">
        <v>17.405000000000001</v>
      </c>
      <c r="I25">
        <v>136.28</v>
      </c>
      <c r="J25">
        <v>205.976</v>
      </c>
      <c r="K25">
        <v>176.05600000000001</v>
      </c>
      <c r="L25">
        <v>272.24</v>
      </c>
      <c r="M25">
        <v>5.1965000000000003</v>
      </c>
      <c r="N25">
        <v>-0.1885</v>
      </c>
      <c r="O25">
        <v>0.57299999999999995</v>
      </c>
      <c r="P25">
        <v>0</v>
      </c>
      <c r="Q25">
        <v>9.4399999999999998E-2</v>
      </c>
      <c r="R25">
        <v>-3.0000000000000001E-3</v>
      </c>
      <c r="S25">
        <v>-3.5000000000000001E-3</v>
      </c>
      <c r="T25">
        <v>-0.1885</v>
      </c>
      <c r="U25">
        <v>0.1885</v>
      </c>
      <c r="V25">
        <v>0</v>
      </c>
      <c r="W25">
        <v>9.4399999999999998E-2</v>
      </c>
      <c r="X25">
        <v>9.4399999999999998E-2</v>
      </c>
      <c r="Y25">
        <v>86.043999999999997</v>
      </c>
      <c r="Z25">
        <v>-3.0000000000000001E-3</v>
      </c>
      <c r="AA25">
        <v>0</v>
      </c>
      <c r="AB25">
        <v>0.32</v>
      </c>
      <c r="AC25">
        <v>5</v>
      </c>
      <c r="AD25">
        <v>1.1599999999999999E-2</v>
      </c>
      <c r="AE25">
        <v>-1.0661</v>
      </c>
      <c r="AF25">
        <v>2.3380000000000001</v>
      </c>
      <c r="AG25">
        <v>-3.3999999999999998E-3</v>
      </c>
      <c r="AH25">
        <v>-1.0661</v>
      </c>
      <c r="AI25">
        <v>1.0661</v>
      </c>
      <c r="AJ25">
        <v>2.3380000000000001</v>
      </c>
      <c r="AK25">
        <v>4.0000000000000002E-4</v>
      </c>
      <c r="AL25">
        <v>1.0661</v>
      </c>
      <c r="AM25">
        <v>-2.0179999999999998</v>
      </c>
      <c r="AN25">
        <v>136.27799999999999</v>
      </c>
      <c r="AO25">
        <v>-7.0000000000000001E-3</v>
      </c>
      <c r="AP25">
        <v>-2.5000000000000001E-2</v>
      </c>
      <c r="AQ25">
        <v>-0.09</v>
      </c>
      <c r="AR25">
        <v>11</v>
      </c>
      <c r="AS25">
        <v>-6.6E-3</v>
      </c>
      <c r="AT25">
        <v>-2.4899999999999999E-2</v>
      </c>
      <c r="AU25">
        <v>-0.16900000000000001</v>
      </c>
      <c r="AV25">
        <v>-6.6E-3</v>
      </c>
      <c r="AW25">
        <v>-2.4899999999999999E-2</v>
      </c>
      <c r="AX25">
        <v>2.5700000000000001E-2</v>
      </c>
      <c r="AY25">
        <v>-0.16900000000000001</v>
      </c>
      <c r="AZ25">
        <v>-4.0000000000000002E-4</v>
      </c>
      <c r="BA25">
        <v>-1E-4</v>
      </c>
      <c r="BB25">
        <v>7.9000000000000001E-2</v>
      </c>
      <c r="BE25" t="s">
        <v>256</v>
      </c>
    </row>
    <row r="26" spans="1:57" x14ac:dyDescent="0.25">
      <c r="A26">
        <v>25</v>
      </c>
      <c r="B26" t="b">
        <v>0</v>
      </c>
      <c r="C26" t="s">
        <v>20</v>
      </c>
      <c r="D26" t="s">
        <v>257</v>
      </c>
      <c r="E26">
        <v>213.85599999999999</v>
      </c>
      <c r="F26">
        <v>9.89</v>
      </c>
      <c r="H26">
        <v>13.058</v>
      </c>
      <c r="I26">
        <v>134.23500000000001</v>
      </c>
      <c r="K26">
        <v>174.72800000000001</v>
      </c>
      <c r="M26">
        <v>5.2066999999999997</v>
      </c>
      <c r="N26">
        <v>2.8E-3</v>
      </c>
      <c r="O26">
        <v>0.23799999999999999</v>
      </c>
      <c r="P26">
        <v>5.1999000000000004</v>
      </c>
      <c r="Q26">
        <v>2.7E-2</v>
      </c>
      <c r="R26">
        <v>0.36899999999999999</v>
      </c>
      <c r="S26">
        <v>6.7000000000000002E-3</v>
      </c>
      <c r="T26">
        <v>2.8E-3</v>
      </c>
      <c r="U26">
        <v>7.3000000000000001E-3</v>
      </c>
      <c r="V26">
        <v>5.1999000000000004</v>
      </c>
      <c r="W26">
        <v>2.7E-2</v>
      </c>
      <c r="X26">
        <v>5.2</v>
      </c>
      <c r="Y26">
        <v>83.552999999999997</v>
      </c>
      <c r="Z26">
        <v>-5.0000000000000001E-3</v>
      </c>
      <c r="AA26">
        <v>0</v>
      </c>
      <c r="AB26">
        <v>0.27</v>
      </c>
      <c r="AC26">
        <v>4</v>
      </c>
      <c r="AD26">
        <v>7.4999999999999997E-3</v>
      </c>
      <c r="AE26">
        <v>-1.0680000000000001</v>
      </c>
      <c r="AF26">
        <v>1.075</v>
      </c>
      <c r="AG26">
        <v>-7.4999999999999997E-3</v>
      </c>
      <c r="AH26">
        <v>-1.0680000000000001</v>
      </c>
      <c r="AI26">
        <v>1.0681</v>
      </c>
      <c r="AJ26">
        <v>1.075</v>
      </c>
      <c r="AK26">
        <v>2.5000000000000001E-3</v>
      </c>
      <c r="AL26">
        <v>1.0680000000000001</v>
      </c>
      <c r="AM26">
        <v>-0.80500000000000005</v>
      </c>
      <c r="AN26">
        <v>134.233</v>
      </c>
      <c r="AO26">
        <v>8.0000000000000002E-3</v>
      </c>
      <c r="AP26">
        <v>-2.5000000000000001E-2</v>
      </c>
      <c r="AQ26">
        <v>0.01</v>
      </c>
      <c r="AR26">
        <v>11</v>
      </c>
      <c r="AS26">
        <v>6.6E-3</v>
      </c>
      <c r="AT26">
        <v>-2.4299999999999999E-2</v>
      </c>
      <c r="AU26">
        <v>-0.13100000000000001</v>
      </c>
      <c r="AV26">
        <v>6.6E-3</v>
      </c>
      <c r="AW26">
        <v>-2.4299999999999999E-2</v>
      </c>
      <c r="AX26">
        <v>2.5100000000000001E-2</v>
      </c>
      <c r="AY26">
        <v>-0.13100000000000001</v>
      </c>
      <c r="AZ26">
        <v>1.4E-3</v>
      </c>
      <c r="BA26">
        <v>-6.9999999999999999E-4</v>
      </c>
      <c r="BB26">
        <v>0.14099999999999999</v>
      </c>
      <c r="BE26" t="s">
        <v>258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0"/>
  <sheetViews>
    <sheetView workbookViewId="0">
      <selection activeCell="H12" sqref="H12"/>
    </sheetView>
  </sheetViews>
  <sheetFormatPr baseColWidth="10" defaultColWidth="9.140625" defaultRowHeight="15" x14ac:dyDescent="0.25"/>
  <cols>
    <col min="1" max="5" width="18" customWidth="1"/>
    <col min="6" max="6" width="40" customWidth="1"/>
    <col min="7" max="16" width="18" customWidth="1"/>
  </cols>
  <sheetData>
    <row r="1" spans="1:52" ht="30" x14ac:dyDescent="0.25">
      <c r="A1" s="2" t="s">
        <v>56</v>
      </c>
      <c r="B1" s="2" t="s">
        <v>73</v>
      </c>
      <c r="C1" s="2" t="s">
        <v>74</v>
      </c>
      <c r="D1" s="2" t="s">
        <v>22</v>
      </c>
      <c r="E1" s="2" t="s">
        <v>37</v>
      </c>
      <c r="F1" s="2" t="s">
        <v>67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x14ac:dyDescent="0.25">
      <c r="A2" s="1" t="str">
        <f t="shared" ref="A2:A33" si="0">"Baseline"</f>
        <v>Baseline</v>
      </c>
      <c r="B2" s="1" t="str">
        <f>'baseline_mission_results (2)'!A2</f>
        <v>1</v>
      </c>
      <c r="C2" s="1" t="str">
        <f>"Baseline-"&amp;'baseline_mission_results (2)'!A2</f>
        <v>Baseline-1</v>
      </c>
      <c r="D2" s="1" t="b">
        <f>'baseline_mission_results (2)'!B2</f>
        <v>1</v>
      </c>
      <c r="E2" s="1">
        <f>'baseline_mission_results (2)'!C2</f>
        <v>0</v>
      </c>
      <c r="F2" s="1">
        <f>'baseline_mission_results (2)'!D2</f>
        <v>0</v>
      </c>
      <c r="G2" s="1">
        <f>IF('baseline_mission_results (2)'!E2="","",'baseline_mission_results (2)'!E2)</f>
        <v>289.85399999999998</v>
      </c>
      <c r="H2" s="1">
        <f>IF('baseline_mission_results (2)'!F2="","",'baseline_mission_results (2)'!F2)</f>
        <v>9.2799999999999994</v>
      </c>
      <c r="I2" s="1">
        <f>IF('baseline_mission_results (2)'!G2="","",'baseline_mission_results (2)'!G2)</f>
        <v>289.85199999999998</v>
      </c>
      <c r="J2" s="1">
        <f>IF('baseline_mission_results (2)'!H2="","",'baseline_mission_results (2)'!H2)</f>
        <v>12.446</v>
      </c>
      <c r="K2" s="1">
        <f>IF('baseline_mission_results (2)'!I2="","",'baseline_mission_results (2)'!I2)</f>
        <v>120.994</v>
      </c>
      <c r="L2" s="1">
        <f>IF('baseline_mission_results (2)'!J2="","",'baseline_mission_results (2)'!J2)</f>
        <v>222.80500000000001</v>
      </c>
      <c r="M2" s="1">
        <f>IF('baseline_mission_results (2)'!K2="","",'baseline_mission_results (2)'!K2)</f>
        <v>195.203</v>
      </c>
      <c r="N2" s="1">
        <f>IF('baseline_mission_results (2)'!L2="","",'baseline_mission_results (2)'!L2)</f>
        <v>288.84500000000003</v>
      </c>
      <c r="O2" s="3">
        <f>IF(D2=TRUE,I2,"")</f>
        <v>289.85199999999998</v>
      </c>
      <c r="P2" s="3">
        <f t="shared" ref="P2:P33" si="1">G2</f>
        <v>289.85399999999998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1" t="str">
        <f t="shared" si="0"/>
        <v>Baseline</v>
      </c>
      <c r="B3" s="1" t="str">
        <f>'baseline_mission_results (2)'!A3</f>
        <v>2</v>
      </c>
      <c r="C3" s="1" t="str">
        <f>"Baseline-"&amp;'baseline_mission_results (2)'!A3</f>
        <v>Baseline-2</v>
      </c>
      <c r="D3" s="1" t="b">
        <f>'baseline_mission_results (2)'!B3</f>
        <v>1</v>
      </c>
      <c r="E3" s="1">
        <f>'baseline_mission_results (2)'!C3</f>
        <v>0</v>
      </c>
      <c r="F3" s="1">
        <f>'baseline_mission_results (2)'!D3</f>
        <v>0</v>
      </c>
      <c r="G3" s="1">
        <f>IF('baseline_mission_results (2)'!E3="","",'baseline_mission_results (2)'!E3)</f>
        <v>291.98099999999999</v>
      </c>
      <c r="H3" s="1">
        <f>IF('baseline_mission_results (2)'!F3="","",'baseline_mission_results (2)'!F3)</f>
        <v>9.24</v>
      </c>
      <c r="I3" s="1">
        <f>IF('baseline_mission_results (2)'!G3="","",'baseline_mission_results (2)'!G3)</f>
        <v>291.98</v>
      </c>
      <c r="J3" s="1">
        <f>IF('baseline_mission_results (2)'!H3="","",'baseline_mission_results (2)'!H3)</f>
        <v>16.905000000000001</v>
      </c>
      <c r="K3" s="1">
        <f>IF('baseline_mission_results (2)'!I3="","",'baseline_mission_results (2)'!I3)</f>
        <v>125.127</v>
      </c>
      <c r="L3" s="1">
        <f>IF('baseline_mission_results (2)'!J3="","",'baseline_mission_results (2)'!J3)</f>
        <v>225.60300000000001</v>
      </c>
      <c r="M3" s="1">
        <f>IF('baseline_mission_results (2)'!K3="","",'baseline_mission_results (2)'!K3)</f>
        <v>197.946</v>
      </c>
      <c r="N3" s="1">
        <f>IF('baseline_mission_results (2)'!L3="","",'baseline_mission_results (2)'!L3)</f>
        <v>290.97500000000002</v>
      </c>
      <c r="O3" s="3">
        <f t="shared" ref="O3:O66" si="2">IF(D3=TRUE,I3,"")</f>
        <v>291.98</v>
      </c>
      <c r="P3" s="3">
        <f t="shared" si="1"/>
        <v>291.98099999999999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 t="str">
        <f t="shared" si="0"/>
        <v>Baseline</v>
      </c>
      <c r="B4" s="1" t="str">
        <f>'baseline_mission_results (2)'!A4</f>
        <v>3</v>
      </c>
      <c r="C4" s="1" t="str">
        <f>"Baseline-"&amp;'baseline_mission_results (2)'!A4</f>
        <v>Baseline-3</v>
      </c>
      <c r="D4" s="1" t="b">
        <f>'baseline_mission_results (2)'!B4</f>
        <v>1</v>
      </c>
      <c r="E4" s="1">
        <f>'baseline_mission_results (2)'!C4</f>
        <v>0</v>
      </c>
      <c r="F4" s="1">
        <f>'baseline_mission_results (2)'!D4</f>
        <v>0</v>
      </c>
      <c r="G4" s="1">
        <f>IF('baseline_mission_results (2)'!E4="","",'baseline_mission_results (2)'!E4)</f>
        <v>280.73200000000003</v>
      </c>
      <c r="H4" s="1">
        <f>IF('baseline_mission_results (2)'!F4="","",'baseline_mission_results (2)'!F4)</f>
        <v>9.5350000000000001</v>
      </c>
      <c r="I4" s="1">
        <f>IF('baseline_mission_results (2)'!G4="","",'baseline_mission_results (2)'!G4)</f>
        <v>280.73099999999999</v>
      </c>
      <c r="J4" s="1">
        <f>IF('baseline_mission_results (2)'!H4="","",'baseline_mission_results (2)'!H4)</f>
        <v>17.202999999999999</v>
      </c>
      <c r="K4" s="1">
        <f>IF('baseline_mission_results (2)'!I4="","",'baseline_mission_results (2)'!I4)</f>
        <v>113.714</v>
      </c>
      <c r="L4" s="1">
        <f>IF('baseline_mission_results (2)'!J4="","",'baseline_mission_results (2)'!J4)</f>
        <v>213.904</v>
      </c>
      <c r="M4" s="1">
        <f>IF('baseline_mission_results (2)'!K4="","",'baseline_mission_results (2)'!K4)</f>
        <v>185.68799999999999</v>
      </c>
      <c r="N4" s="1">
        <f>IF('baseline_mission_results (2)'!L4="","",'baseline_mission_results (2)'!L4)</f>
        <v>279.72500000000002</v>
      </c>
      <c r="O4" s="3">
        <f t="shared" si="2"/>
        <v>280.73099999999999</v>
      </c>
      <c r="P4" s="3">
        <f t="shared" si="1"/>
        <v>280.73200000000003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 t="str">
        <f t="shared" si="0"/>
        <v>Baseline</v>
      </c>
      <c r="B5" s="1" t="str">
        <f>'baseline_mission_results (2)'!A5</f>
        <v>4</v>
      </c>
      <c r="C5" s="1" t="str">
        <f>"Baseline-"&amp;'baseline_mission_results (2)'!A5</f>
        <v>Baseline-4</v>
      </c>
      <c r="D5" s="1" t="b">
        <f>'baseline_mission_results (2)'!B5</f>
        <v>1</v>
      </c>
      <c r="E5" s="1">
        <f>'baseline_mission_results (2)'!C5</f>
        <v>0</v>
      </c>
      <c r="F5" s="1">
        <f>'baseline_mission_results (2)'!D5</f>
        <v>0</v>
      </c>
      <c r="G5" s="1">
        <f>IF('baseline_mission_results (2)'!E5="","",'baseline_mission_results (2)'!E5)</f>
        <v>282.65499999999997</v>
      </c>
      <c r="H5" s="1">
        <f>IF('baseline_mission_results (2)'!F5="","",'baseline_mission_results (2)'!F5)</f>
        <v>9.4350000000000005</v>
      </c>
      <c r="I5" s="1">
        <f>IF('baseline_mission_results (2)'!G5="","",'baseline_mission_results (2)'!G5)</f>
        <v>282.65300000000002</v>
      </c>
      <c r="J5" s="1">
        <f>IF('baseline_mission_results (2)'!H5="","",'baseline_mission_results (2)'!H5)</f>
        <v>13.601000000000001</v>
      </c>
      <c r="K5" s="1">
        <f>IF('baseline_mission_results (2)'!I5="","",'baseline_mission_results (2)'!I5)</f>
        <v>112.831</v>
      </c>
      <c r="L5" s="1">
        <f>IF('baseline_mission_results (2)'!J5="","",'baseline_mission_results (2)'!J5)</f>
        <v>215.97399999999999</v>
      </c>
      <c r="M5" s="1">
        <f>IF('baseline_mission_results (2)'!K5="","",'baseline_mission_results (2)'!K5)</f>
        <v>186.60300000000001</v>
      </c>
      <c r="N5" s="1">
        <f>IF('baseline_mission_results (2)'!L5="","",'baseline_mission_results (2)'!L5)</f>
        <v>281.64800000000002</v>
      </c>
      <c r="O5" s="3">
        <f t="shared" si="2"/>
        <v>282.65300000000002</v>
      </c>
      <c r="P5" s="3">
        <f t="shared" si="1"/>
        <v>282.65499999999997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75" x14ac:dyDescent="0.25">
      <c r="A6" s="1" t="str">
        <f t="shared" si="0"/>
        <v>Baseline</v>
      </c>
      <c r="B6" s="1" t="str">
        <f>'baseline_mission_results (2)'!A6</f>
        <v>5</v>
      </c>
      <c r="C6" s="1" t="str">
        <f>"Baseline-"&amp;'baseline_mission_results (2)'!A6</f>
        <v>Baseline-5</v>
      </c>
      <c r="D6" s="1" t="b">
        <f>'baseline_mission_results (2)'!B6</f>
        <v>0</v>
      </c>
      <c r="E6" s="1" t="str">
        <f>'baseline_mission_results (2)'!C6</f>
        <v>local_target_timeout</v>
      </c>
      <c r="F6" s="1" t="str">
        <f>'baseline_mission_results (2)'!D6</f>
        <v>[python3-22] [ERROR] [1779401884,165594121] [nav2_trolley_mission_controller]: Local target 'drop-off center' timed out: distance=0,029, yaw=+0,33 deg</v>
      </c>
      <c r="G6" s="1">
        <f>IF('baseline_mission_results (2)'!E6="","",'baseline_mission_results (2)'!E6)</f>
        <v>247.577</v>
      </c>
      <c r="H6" s="1">
        <f>IF('baseline_mission_results (2)'!F6="","",'baseline_mission_results (2)'!F6)</f>
        <v>9.3369999999999997</v>
      </c>
      <c r="I6" s="1" t="str">
        <f>IF('baseline_mission_results (2)'!G6="","",'baseline_mission_results (2)'!G6)</f>
        <v/>
      </c>
      <c r="J6" s="1">
        <f>IF('baseline_mission_results (2)'!H6="","",'baseline_mission_results (2)'!H6)</f>
        <v>17.001999999999999</v>
      </c>
      <c r="K6" s="1">
        <f>IF('baseline_mission_results (2)'!I6="","",'baseline_mission_results (2)'!I6)</f>
        <v>139.453</v>
      </c>
      <c r="L6" s="1" t="str">
        <f>IF('baseline_mission_results (2)'!J6="","",'baseline_mission_results (2)'!J6)</f>
        <v/>
      </c>
      <c r="M6" s="1">
        <f>IF('baseline_mission_results (2)'!K6="","",'baseline_mission_results (2)'!K6)</f>
        <v>211.61199999999999</v>
      </c>
      <c r="N6" s="1" t="str">
        <f>IF('baseline_mission_results (2)'!L6="","",'baseline_mission_results (2)'!L6)</f>
        <v/>
      </c>
      <c r="O6" s="3" t="str">
        <f t="shared" si="2"/>
        <v/>
      </c>
      <c r="P6" s="3">
        <f t="shared" si="1"/>
        <v>247.577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tr">
        <f t="shared" si="0"/>
        <v>Baseline</v>
      </c>
      <c r="B7" s="1" t="str">
        <f>'baseline_mission_results (2)'!A7</f>
        <v>6</v>
      </c>
      <c r="C7" s="1" t="str">
        <f>"Baseline-"&amp;'baseline_mission_results (2)'!A7</f>
        <v>Baseline-6</v>
      </c>
      <c r="D7" s="1" t="b">
        <f>'baseline_mission_results (2)'!B7</f>
        <v>1</v>
      </c>
      <c r="E7" s="1">
        <f>'baseline_mission_results (2)'!C7</f>
        <v>0</v>
      </c>
      <c r="F7" s="1">
        <f>'baseline_mission_results (2)'!D7</f>
        <v>0</v>
      </c>
      <c r="G7" s="1">
        <f>IF('baseline_mission_results (2)'!E7="","",'baseline_mission_results (2)'!E7)</f>
        <v>293.52699999999999</v>
      </c>
      <c r="H7" s="1">
        <f>IF('baseline_mission_results (2)'!F7="","",'baseline_mission_results (2)'!F7)</f>
        <v>9.2319999999999993</v>
      </c>
      <c r="I7" s="1">
        <f>IF('baseline_mission_results (2)'!G7="","",'baseline_mission_results (2)'!G7)</f>
        <v>293.52600000000001</v>
      </c>
      <c r="J7" s="1">
        <f>IF('baseline_mission_results (2)'!H7="","",'baseline_mission_results (2)'!H7)</f>
        <v>12.397</v>
      </c>
      <c r="K7" s="1">
        <f>IF('baseline_mission_results (2)'!I7="","",'baseline_mission_results (2)'!I7)</f>
        <v>118.964</v>
      </c>
      <c r="L7" s="1">
        <f>IF('baseline_mission_results (2)'!J7="","",'baseline_mission_results (2)'!J7)</f>
        <v>226.886</v>
      </c>
      <c r="M7" s="1">
        <f>IF('baseline_mission_results (2)'!K7="","",'baseline_mission_results (2)'!K7)</f>
        <v>196.45500000000001</v>
      </c>
      <c r="N7" s="1">
        <f>IF('baseline_mission_results (2)'!L7="","",'baseline_mission_results (2)'!L7)</f>
        <v>292.52</v>
      </c>
      <c r="O7" s="3">
        <f t="shared" si="2"/>
        <v>293.52600000000001</v>
      </c>
      <c r="P7" s="3">
        <f t="shared" si="1"/>
        <v>293.52699999999999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tr">
        <f t="shared" si="0"/>
        <v>Baseline</v>
      </c>
      <c r="B8" s="1" t="str">
        <f>'baseline_mission_results (2)'!A8</f>
        <v>7</v>
      </c>
      <c r="C8" s="1" t="str">
        <f>"Baseline-"&amp;'baseline_mission_results (2)'!A8</f>
        <v>Baseline-7</v>
      </c>
      <c r="D8" s="1" t="b">
        <f>'baseline_mission_results (2)'!B8</f>
        <v>1</v>
      </c>
      <c r="E8" s="1">
        <f>'baseline_mission_results (2)'!C8</f>
        <v>0</v>
      </c>
      <c r="F8" s="1">
        <f>'baseline_mission_results (2)'!D8</f>
        <v>0</v>
      </c>
      <c r="G8" s="1">
        <f>IF('baseline_mission_results (2)'!E8="","",'baseline_mission_results (2)'!E8)</f>
        <v>311.83800000000002</v>
      </c>
      <c r="H8" s="1">
        <f>IF('baseline_mission_results (2)'!F8="","",'baseline_mission_results (2)'!F8)</f>
        <v>9.4429999999999996</v>
      </c>
      <c r="I8" s="1">
        <f>IF('baseline_mission_results (2)'!G8="","",'baseline_mission_results (2)'!G8)</f>
        <v>311.83699999999999</v>
      </c>
      <c r="J8" s="1">
        <f>IF('baseline_mission_results (2)'!H8="","",'baseline_mission_results (2)'!H8)</f>
        <v>14.11</v>
      </c>
      <c r="K8" s="1">
        <f>IF('baseline_mission_results (2)'!I8="","",'baseline_mission_results (2)'!I8)</f>
        <v>132.50800000000001</v>
      </c>
      <c r="L8" s="1">
        <f>IF('baseline_mission_results (2)'!J8="","",'baseline_mission_results (2)'!J8)</f>
        <v>244.05099999999999</v>
      </c>
      <c r="M8" s="1">
        <f>IF('baseline_mission_results (2)'!K8="","",'baseline_mission_results (2)'!K8)</f>
        <v>208.24299999999999</v>
      </c>
      <c r="N8" s="1">
        <f>IF('baseline_mission_results (2)'!L8="","",'baseline_mission_results (2)'!L8)</f>
        <v>310.83100000000002</v>
      </c>
      <c r="O8" s="3">
        <f t="shared" si="2"/>
        <v>311.83699999999999</v>
      </c>
      <c r="P8" s="3">
        <f t="shared" si="1"/>
        <v>311.83800000000002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tr">
        <f t="shared" si="0"/>
        <v>Baseline</v>
      </c>
      <c r="B9" s="1" t="str">
        <f>'baseline_mission_results (2)'!A9</f>
        <v>8</v>
      </c>
      <c r="C9" s="1" t="str">
        <f>"Baseline-"&amp;'baseline_mission_results (2)'!A9</f>
        <v>Baseline-8</v>
      </c>
      <c r="D9" s="1" t="b">
        <f>'baseline_mission_results (2)'!B9</f>
        <v>1</v>
      </c>
      <c r="E9" s="1">
        <f>'baseline_mission_results (2)'!C9</f>
        <v>0</v>
      </c>
      <c r="F9" s="1">
        <f>'baseline_mission_results (2)'!D9</f>
        <v>0</v>
      </c>
      <c r="G9" s="1">
        <f>IF('baseline_mission_results (2)'!E9="","",'baseline_mission_results (2)'!E9)</f>
        <v>281.63499999999999</v>
      </c>
      <c r="H9" s="1">
        <f>IF('baseline_mission_results (2)'!F9="","",'baseline_mission_results (2)'!F9)</f>
        <v>9.3330000000000002</v>
      </c>
      <c r="I9" s="1">
        <f>IF('baseline_mission_results (2)'!G9="","",'baseline_mission_results (2)'!G9)</f>
        <v>281.63299999999998</v>
      </c>
      <c r="J9" s="1">
        <f>IF('baseline_mission_results (2)'!H9="","",'baseline_mission_results (2)'!H9)</f>
        <v>13.093</v>
      </c>
      <c r="K9" s="1">
        <f>IF('baseline_mission_results (2)'!I9="","",'baseline_mission_results (2)'!I9)</f>
        <v>115.185</v>
      </c>
      <c r="L9" s="1">
        <f>IF('baseline_mission_results (2)'!J9="","",'baseline_mission_results (2)'!J9)</f>
        <v>215.36</v>
      </c>
      <c r="M9" s="1">
        <f>IF('baseline_mission_results (2)'!K9="","",'baseline_mission_results (2)'!K9)</f>
        <v>186.59</v>
      </c>
      <c r="N9" s="1">
        <f>IF('baseline_mission_results (2)'!L9="","",'baseline_mission_results (2)'!L9)</f>
        <v>280.62799999999999</v>
      </c>
      <c r="O9" s="3">
        <f t="shared" si="2"/>
        <v>281.63299999999998</v>
      </c>
      <c r="P9" s="3">
        <f t="shared" si="1"/>
        <v>281.63499999999999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tr">
        <f t="shared" si="0"/>
        <v>Baseline</v>
      </c>
      <c r="B10" s="1" t="str">
        <f>'baseline_mission_results (2)'!A10</f>
        <v>9</v>
      </c>
      <c r="C10" s="1" t="str">
        <f>"Baseline-"&amp;'baseline_mission_results (2)'!A10</f>
        <v>Baseline-9</v>
      </c>
      <c r="D10" s="1" t="b">
        <f>'baseline_mission_results (2)'!B10</f>
        <v>1</v>
      </c>
      <c r="E10" s="1">
        <f>'baseline_mission_results (2)'!C10</f>
        <v>0</v>
      </c>
      <c r="F10" s="1">
        <f>'baseline_mission_results (2)'!D10</f>
        <v>0</v>
      </c>
      <c r="G10" s="1">
        <f>IF('baseline_mission_results (2)'!E10="","",'baseline_mission_results (2)'!E10)</f>
        <v>280.59100000000001</v>
      </c>
      <c r="H10" s="1">
        <f>IF('baseline_mission_results (2)'!F10="","",'baseline_mission_results (2)'!F10)</f>
        <v>9.1809999999999992</v>
      </c>
      <c r="I10" s="1">
        <f>IF('baseline_mission_results (2)'!G10="","",'baseline_mission_results (2)'!G10)</f>
        <v>280.589</v>
      </c>
      <c r="J10" s="1">
        <f>IF('baseline_mission_results (2)'!H10="","",'baseline_mission_results (2)'!H10)</f>
        <v>12.348000000000001</v>
      </c>
      <c r="K10" s="1">
        <f>IF('baseline_mission_results (2)'!I10="","",'baseline_mission_results (2)'!I10)</f>
        <v>114.71</v>
      </c>
      <c r="L10" s="1">
        <f>IF('baseline_mission_results (2)'!J10="","",'baseline_mission_results (2)'!J10)</f>
        <v>212.95099999999999</v>
      </c>
      <c r="M10" s="1">
        <f>IF('baseline_mission_results (2)'!K10="","",'baseline_mission_results (2)'!K10)</f>
        <v>188.499</v>
      </c>
      <c r="N10" s="1">
        <f>IF('baseline_mission_results (2)'!L10="","",'baseline_mission_results (2)'!L10)</f>
        <v>279.58199999999999</v>
      </c>
      <c r="O10" s="3">
        <f t="shared" si="2"/>
        <v>280.589</v>
      </c>
      <c r="P10" s="3">
        <f t="shared" si="1"/>
        <v>280.59100000000001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tr">
        <f t="shared" si="0"/>
        <v>Baseline</v>
      </c>
      <c r="B11" s="1" t="str">
        <f>'baseline_mission_results (2)'!A11</f>
        <v>10</v>
      </c>
      <c r="C11" s="1" t="str">
        <f>"Baseline-"&amp;'baseline_mission_results (2)'!A11</f>
        <v>Baseline-10</v>
      </c>
      <c r="D11" s="1" t="b">
        <f>'baseline_mission_results (2)'!B11</f>
        <v>1</v>
      </c>
      <c r="E11" s="1">
        <f>'baseline_mission_results (2)'!C11</f>
        <v>0</v>
      </c>
      <c r="F11" s="1">
        <f>'baseline_mission_results (2)'!D11</f>
        <v>0</v>
      </c>
      <c r="G11" s="1">
        <f>IF('baseline_mission_results (2)'!E11="","",'baseline_mission_results (2)'!E11)</f>
        <v>282.18299999999999</v>
      </c>
      <c r="H11" s="1">
        <f>IF('baseline_mission_results (2)'!F11="","",'baseline_mission_results (2)'!F11)</f>
        <v>9.1829999999999998</v>
      </c>
      <c r="I11" s="1">
        <f>IF('baseline_mission_results (2)'!G11="","",'baseline_mission_results (2)'!G11)</f>
        <v>282.18200000000002</v>
      </c>
      <c r="J11" s="1">
        <f>IF('baseline_mission_results (2)'!H11="","",'baseline_mission_results (2)'!H11)</f>
        <v>12.632</v>
      </c>
      <c r="K11" s="1">
        <f>IF('baseline_mission_results (2)'!I11="","",'baseline_mission_results (2)'!I11)</f>
        <v>115.92700000000001</v>
      </c>
      <c r="L11" s="1">
        <f>IF('baseline_mission_results (2)'!J11="","",'baseline_mission_results (2)'!J11)</f>
        <v>215.54900000000001</v>
      </c>
      <c r="M11" s="1">
        <f>IF('baseline_mission_results (2)'!K11="","",'baseline_mission_results (2)'!K11)</f>
        <v>188.13499999999999</v>
      </c>
      <c r="N11" s="1">
        <f>IF('baseline_mission_results (2)'!L11="","",'baseline_mission_results (2)'!L11)</f>
        <v>281.17599999999999</v>
      </c>
      <c r="O11" s="3">
        <f t="shared" si="2"/>
        <v>282.18200000000002</v>
      </c>
      <c r="P11" s="3">
        <f t="shared" si="1"/>
        <v>282.18299999999999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tr">
        <f t="shared" si="0"/>
        <v>Baseline</v>
      </c>
      <c r="B12" s="1" t="str">
        <f>'baseline_mission_results (2)'!A12</f>
        <v>11</v>
      </c>
      <c r="C12" s="1" t="str">
        <f>"Baseline-"&amp;'baseline_mission_results (2)'!A12</f>
        <v>Baseline-11</v>
      </c>
      <c r="D12" s="1" t="b">
        <f>'baseline_mission_results (2)'!B12</f>
        <v>1</v>
      </c>
      <c r="E12" s="1">
        <f>'baseline_mission_results (2)'!C12</f>
        <v>0</v>
      </c>
      <c r="F12" s="1">
        <f>'baseline_mission_results (2)'!D12</f>
        <v>0</v>
      </c>
      <c r="G12" s="1">
        <f>IF('baseline_mission_results (2)'!E12="","",'baseline_mission_results (2)'!E12)</f>
        <v>278.13099999999997</v>
      </c>
      <c r="H12" s="1">
        <f>IF('baseline_mission_results (2)'!F12="","",'baseline_mission_results (2)'!F12)</f>
        <v>9.4329999999999998</v>
      </c>
      <c r="I12" s="1">
        <f>IF('baseline_mission_results (2)'!G12="","",'baseline_mission_results (2)'!G12)</f>
        <v>278.12900000000002</v>
      </c>
      <c r="J12" s="1">
        <f>IF('baseline_mission_results (2)'!H12="","",'baseline_mission_results (2)'!H12)</f>
        <v>11.598000000000001</v>
      </c>
      <c r="K12" s="1">
        <f>IF('baseline_mission_results (2)'!I12="","",'baseline_mission_results (2)'!I12)</f>
        <v>109.611</v>
      </c>
      <c r="L12" s="1">
        <f>IF('baseline_mission_results (2)'!J12="","",'baseline_mission_results (2)'!J12)</f>
        <v>211.197</v>
      </c>
      <c r="M12" s="1">
        <f>IF('baseline_mission_results (2)'!K12="","",'baseline_mission_results (2)'!K12)</f>
        <v>185.59700000000001</v>
      </c>
      <c r="N12" s="1">
        <f>IF('baseline_mission_results (2)'!L12="","",'baseline_mission_results (2)'!L12)</f>
        <v>277.12400000000002</v>
      </c>
      <c r="O12" s="3">
        <f t="shared" si="2"/>
        <v>278.12900000000002</v>
      </c>
      <c r="P12" s="3">
        <f t="shared" si="1"/>
        <v>278.13099999999997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45" x14ac:dyDescent="0.25">
      <c r="A13" s="1" t="str">
        <f t="shared" si="0"/>
        <v>Baseline</v>
      </c>
      <c r="B13" s="1" t="str">
        <f>'baseline_mission_results (2)'!A13</f>
        <v>12</v>
      </c>
      <c r="C13" s="1" t="str">
        <f>"Baseline-"&amp;'baseline_mission_results (2)'!A13</f>
        <v>Baseline-12</v>
      </c>
      <c r="D13" s="1" t="b">
        <f>'baseline_mission_results (2)'!B13</f>
        <v>0</v>
      </c>
      <c r="E13" s="1" t="str">
        <f>'baseline_mission_results (2)'!C13</f>
        <v>run_timeout</v>
      </c>
      <c r="F13" s="1" t="str">
        <f>'baseline_mission_results (2)'!D13</f>
        <v>Robot did not return to charging while trolley remained in orange drop-off before timeout,</v>
      </c>
      <c r="G13" s="1">
        <f>IF('baseline_mission_results (2)'!E13="","",'baseline_mission_results (2)'!E13)</f>
        <v>420.00400000000002</v>
      </c>
      <c r="H13" s="1">
        <f>IF('baseline_mission_results (2)'!F13="","",'baseline_mission_results (2)'!F13)</f>
        <v>9.5850000000000009</v>
      </c>
      <c r="I13" s="1" t="str">
        <f>IF('baseline_mission_results (2)'!G13="","",'baseline_mission_results (2)'!G13)</f>
        <v/>
      </c>
      <c r="J13" s="1">
        <f>IF('baseline_mission_results (2)'!H13="","",'baseline_mission_results (2)'!H13)</f>
        <v>11.749000000000001</v>
      </c>
      <c r="K13" s="1">
        <f>IF('baseline_mission_results (2)'!I13="","",'baseline_mission_results (2)'!I13)</f>
        <v>114.452</v>
      </c>
      <c r="L13" s="1">
        <f>IF('baseline_mission_results (2)'!J13="","",'baseline_mission_results (2)'!J13)</f>
        <v>215.89099999999999</v>
      </c>
      <c r="M13" s="1">
        <f>IF('baseline_mission_results (2)'!K13="","",'baseline_mission_results (2)'!K13)</f>
        <v>186.762</v>
      </c>
      <c r="N13" s="1">
        <f>IF('baseline_mission_results (2)'!L13="","",'baseline_mission_results (2)'!L13)</f>
        <v>281.82</v>
      </c>
      <c r="O13" s="3" t="str">
        <f t="shared" si="2"/>
        <v/>
      </c>
      <c r="P13" s="3">
        <f t="shared" si="1"/>
        <v>420.00400000000002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45" x14ac:dyDescent="0.25">
      <c r="A14" s="1" t="str">
        <f t="shared" si="0"/>
        <v>Baseline</v>
      </c>
      <c r="B14" s="1" t="str">
        <f>'baseline_mission_results (2)'!A14</f>
        <v>13</v>
      </c>
      <c r="C14" s="1" t="str">
        <f>"Baseline-"&amp;'baseline_mission_results (2)'!A14</f>
        <v>Baseline-13</v>
      </c>
      <c r="D14" s="1" t="b">
        <f>'baseline_mission_results (2)'!B14</f>
        <v>0</v>
      </c>
      <c r="E14" s="1" t="str">
        <f>'baseline_mission_results (2)'!C14</f>
        <v>run_timeout</v>
      </c>
      <c r="F14" s="1" t="str">
        <f>'baseline_mission_results (2)'!D14</f>
        <v>Robot did not return to charging while trolley remained in orange drop-off before timeout,</v>
      </c>
      <c r="G14" s="1">
        <f>IF('baseline_mission_results (2)'!E14="","",'baseline_mission_results (2)'!E14)</f>
        <v>420.03699999999998</v>
      </c>
      <c r="H14" s="1">
        <f>IF('baseline_mission_results (2)'!F14="","",'baseline_mission_results (2)'!F14)</f>
        <v>9.5350000000000001</v>
      </c>
      <c r="I14" s="1" t="str">
        <f>IF('baseline_mission_results (2)'!G14="","",'baseline_mission_results (2)'!G14)</f>
        <v/>
      </c>
      <c r="J14" s="1">
        <f>IF('baseline_mission_results (2)'!H14="","",'baseline_mission_results (2)'!H14)</f>
        <v>14.452</v>
      </c>
      <c r="K14" s="1">
        <f>IF('baseline_mission_results (2)'!I14="","",'baseline_mission_results (2)'!I14)</f>
        <v>133.08799999999999</v>
      </c>
      <c r="L14" s="1">
        <f>IF('baseline_mission_results (2)'!J14="","",'baseline_mission_results (2)'!J14)</f>
        <v>236.64099999999999</v>
      </c>
      <c r="M14" s="1">
        <f>IF('baseline_mission_results (2)'!K14="","",'baseline_mission_results (2)'!K14)</f>
        <v>207.57400000000001</v>
      </c>
      <c r="N14" s="1">
        <f>IF('baseline_mission_results (2)'!L14="","",'baseline_mission_results (2)'!L14)</f>
        <v>303.11799999999999</v>
      </c>
      <c r="O14" s="3" t="str">
        <f t="shared" si="2"/>
        <v/>
      </c>
      <c r="P14" s="3">
        <f t="shared" si="1"/>
        <v>420.03699999999998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tr">
        <f t="shared" si="0"/>
        <v>Baseline</v>
      </c>
      <c r="B15" s="1" t="str">
        <f>'baseline_mission_results (2)'!A15</f>
        <v>14</v>
      </c>
      <c r="C15" s="1" t="str">
        <f>"Baseline-"&amp;'baseline_mission_results (2)'!A15</f>
        <v>Baseline-14</v>
      </c>
      <c r="D15" s="1" t="b">
        <f>'baseline_mission_results (2)'!B15</f>
        <v>1</v>
      </c>
      <c r="E15" s="1">
        <f>'baseline_mission_results (2)'!C15</f>
        <v>0</v>
      </c>
      <c r="F15" s="1">
        <f>'baseline_mission_results (2)'!D15</f>
        <v>0</v>
      </c>
      <c r="G15" s="1">
        <f>IF('baseline_mission_results (2)'!E15="","",'baseline_mission_results (2)'!E15)</f>
        <v>291.77600000000001</v>
      </c>
      <c r="H15" s="1">
        <f>IF('baseline_mission_results (2)'!F15="","",'baseline_mission_results (2)'!F15)</f>
        <v>9.4849999999999994</v>
      </c>
      <c r="I15" s="1">
        <f>IF('baseline_mission_results (2)'!G15="","",'baseline_mission_results (2)'!G15)</f>
        <v>291.774</v>
      </c>
      <c r="J15" s="1">
        <f>IF('baseline_mission_results (2)'!H15="","",'baseline_mission_results (2)'!H15)</f>
        <v>11.65</v>
      </c>
      <c r="K15" s="1">
        <f>IF('baseline_mission_results (2)'!I15="","",'baseline_mission_results (2)'!I15)</f>
        <v>118.22</v>
      </c>
      <c r="L15" s="1">
        <f>IF('baseline_mission_results (2)'!J15="","",'baseline_mission_results (2)'!J15)</f>
        <v>224.642</v>
      </c>
      <c r="M15" s="1">
        <f>IF('baseline_mission_results (2)'!K15="","",'baseline_mission_results (2)'!K15)</f>
        <v>194.208</v>
      </c>
      <c r="N15" s="1">
        <f>IF('baseline_mission_results (2)'!L15="","",'baseline_mission_results (2)'!L15)</f>
        <v>290.76799999999997</v>
      </c>
      <c r="O15" s="3">
        <f t="shared" si="2"/>
        <v>291.774</v>
      </c>
      <c r="P15" s="3">
        <f t="shared" si="1"/>
        <v>291.77600000000001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tr">
        <f t="shared" si="0"/>
        <v>Baseline</v>
      </c>
      <c r="B16" s="1" t="str">
        <f>'baseline_mission_results (2)'!A16</f>
        <v>15</v>
      </c>
      <c r="C16" s="1" t="str">
        <f>"Baseline-"&amp;'baseline_mission_results (2)'!A16</f>
        <v>Baseline-15</v>
      </c>
      <c r="D16" s="1" t="b">
        <f>'baseline_mission_results (2)'!B16</f>
        <v>1</v>
      </c>
      <c r="E16" s="1">
        <f>'baseline_mission_results (2)'!C16</f>
        <v>0</v>
      </c>
      <c r="F16" s="1">
        <f>'baseline_mission_results (2)'!D16</f>
        <v>0</v>
      </c>
      <c r="G16" s="1">
        <f>IF('baseline_mission_results (2)'!E16="","",'baseline_mission_results (2)'!E16)</f>
        <v>277.18299999999999</v>
      </c>
      <c r="H16" s="1">
        <f>IF('baseline_mission_results (2)'!F16="","",'baseline_mission_results (2)'!F16)</f>
        <v>9.4830000000000005</v>
      </c>
      <c r="I16" s="1">
        <f>IF('baseline_mission_results (2)'!G16="","",'baseline_mission_results (2)'!G16)</f>
        <v>277.18099999999998</v>
      </c>
      <c r="J16" s="1">
        <f>IF('baseline_mission_results (2)'!H16="","",'baseline_mission_results (2)'!H16)</f>
        <v>11.648</v>
      </c>
      <c r="K16" s="1">
        <f>IF('baseline_mission_results (2)'!I16="","",'baseline_mission_results (2)'!I16)</f>
        <v>112.288</v>
      </c>
      <c r="L16" s="1">
        <f>IF('baseline_mission_results (2)'!J16="","",'baseline_mission_results (2)'!J16)</f>
        <v>210.148</v>
      </c>
      <c r="M16" s="1">
        <f>IF('baseline_mission_results (2)'!K16="","",'baseline_mission_results (2)'!K16)</f>
        <v>185.65899999999999</v>
      </c>
      <c r="N16" s="1">
        <f>IF('baseline_mission_results (2)'!L16="","",'baseline_mission_results (2)'!L16)</f>
        <v>276.17500000000001</v>
      </c>
      <c r="O16" s="3">
        <f t="shared" si="2"/>
        <v>277.18099999999998</v>
      </c>
      <c r="P16" s="3">
        <f t="shared" si="1"/>
        <v>277.18299999999999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tr">
        <f t="shared" si="0"/>
        <v>Baseline</v>
      </c>
      <c r="B17" s="1" t="str">
        <f>'baseline_mission_results (2)'!A17</f>
        <v>16</v>
      </c>
      <c r="C17" s="1" t="str">
        <f>"Baseline-"&amp;'baseline_mission_results (2)'!A17</f>
        <v>Baseline-16</v>
      </c>
      <c r="D17" s="1" t="b">
        <f>'baseline_mission_results (2)'!B17</f>
        <v>1</v>
      </c>
      <c r="E17" s="1">
        <f>'baseline_mission_results (2)'!C17</f>
        <v>0</v>
      </c>
      <c r="F17" s="1">
        <f>'baseline_mission_results (2)'!D17</f>
        <v>0</v>
      </c>
      <c r="G17" s="1">
        <f>IF('baseline_mission_results (2)'!E17="","",'baseline_mission_results (2)'!E17)</f>
        <v>291.78300000000002</v>
      </c>
      <c r="H17" s="1">
        <f>IF('baseline_mission_results (2)'!F17="","",'baseline_mission_results (2)'!F17)</f>
        <v>9.4870000000000001</v>
      </c>
      <c r="I17" s="1">
        <f>IF('baseline_mission_results (2)'!G17="","",'baseline_mission_results (2)'!G17)</f>
        <v>291.78199999999998</v>
      </c>
      <c r="J17" s="1">
        <f>IF('baseline_mission_results (2)'!H17="","",'baseline_mission_results (2)'!H17)</f>
        <v>11.657999999999999</v>
      </c>
      <c r="K17" s="1">
        <f>IF('baseline_mission_results (2)'!I17="","",'baseline_mission_results (2)'!I17)</f>
        <v>122.85599999999999</v>
      </c>
      <c r="L17" s="1">
        <f>IF('baseline_mission_results (2)'!J17="","",'baseline_mission_results (2)'!J17)</f>
        <v>224.59100000000001</v>
      </c>
      <c r="M17" s="1">
        <f>IF('baseline_mission_results (2)'!K17="","",'baseline_mission_results (2)'!K17)</f>
        <v>195.721</v>
      </c>
      <c r="N17" s="1">
        <f>IF('baseline_mission_results (2)'!L17="","",'baseline_mission_results (2)'!L17)</f>
        <v>290.77600000000001</v>
      </c>
      <c r="O17" s="3">
        <f t="shared" si="2"/>
        <v>291.78199999999998</v>
      </c>
      <c r="P17" s="3">
        <f t="shared" si="1"/>
        <v>291.78300000000002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tr">
        <f t="shared" si="0"/>
        <v>Baseline</v>
      </c>
      <c r="B18" s="1" t="str">
        <f>'baseline_mission_results (2)'!A18</f>
        <v>17</v>
      </c>
      <c r="C18" s="1" t="str">
        <f>"Baseline-"&amp;'baseline_mission_results (2)'!A18</f>
        <v>Baseline-17</v>
      </c>
      <c r="D18" s="1" t="b">
        <f>'baseline_mission_results (2)'!B18</f>
        <v>1</v>
      </c>
      <c r="E18" s="1">
        <f>'baseline_mission_results (2)'!C18</f>
        <v>0</v>
      </c>
      <c r="F18" s="1">
        <f>'baseline_mission_results (2)'!D18</f>
        <v>0</v>
      </c>
      <c r="G18" s="1">
        <f>IF('baseline_mission_results (2)'!E18="","",'baseline_mission_results (2)'!E18)</f>
        <v>294.05900000000003</v>
      </c>
      <c r="H18" s="1">
        <f>IF('baseline_mission_results (2)'!F18="","",'baseline_mission_results (2)'!F18)</f>
        <v>9.484</v>
      </c>
      <c r="I18" s="1">
        <f>IF('baseline_mission_results (2)'!G18="","",'baseline_mission_results (2)'!G18)</f>
        <v>294.05700000000002</v>
      </c>
      <c r="J18" s="1">
        <f>IF('baseline_mission_results (2)'!H18="","",'baseline_mission_results (2)'!H18)</f>
        <v>12.429</v>
      </c>
      <c r="K18" s="1">
        <f>IF('baseline_mission_results (2)'!I18="","",'baseline_mission_results (2)'!I18)</f>
        <v>119.446</v>
      </c>
      <c r="L18" s="1">
        <f>IF('baseline_mission_results (2)'!J18="","",'baseline_mission_results (2)'!J18)</f>
        <v>226.77099999999999</v>
      </c>
      <c r="M18" s="1">
        <f>IF('baseline_mission_results (2)'!K18="","",'baseline_mission_results (2)'!K18)</f>
        <v>198.505</v>
      </c>
      <c r="N18" s="1">
        <f>IF('baseline_mission_results (2)'!L18="","",'baseline_mission_results (2)'!L18)</f>
        <v>293.05200000000002</v>
      </c>
      <c r="O18" s="3">
        <f t="shared" si="2"/>
        <v>294.05700000000002</v>
      </c>
      <c r="P18" s="3">
        <f t="shared" si="1"/>
        <v>294.05900000000003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tr">
        <f t="shared" si="0"/>
        <v>Baseline</v>
      </c>
      <c r="B19" s="1" t="str">
        <f>'baseline_mission_results (2)'!A19</f>
        <v>18</v>
      </c>
      <c r="C19" s="1" t="str">
        <f>"Baseline-"&amp;'baseline_mission_results (2)'!A19</f>
        <v>Baseline-18</v>
      </c>
      <c r="D19" s="1" t="b">
        <f>'baseline_mission_results (2)'!B19</f>
        <v>1</v>
      </c>
      <c r="E19" s="1">
        <f>'baseline_mission_results (2)'!C19</f>
        <v>0</v>
      </c>
      <c r="F19" s="1">
        <f>'baseline_mission_results (2)'!D19</f>
        <v>0</v>
      </c>
      <c r="G19" s="1">
        <f>IF('baseline_mission_results (2)'!E19="","",'baseline_mission_results (2)'!E19)</f>
        <v>275.95600000000002</v>
      </c>
      <c r="H19" s="1">
        <f>IF('baseline_mission_results (2)'!F19="","",'baseline_mission_results (2)'!F19)</f>
        <v>9.5310000000000006</v>
      </c>
      <c r="I19" s="1">
        <f>IF('baseline_mission_results (2)'!G19="","",'baseline_mission_results (2)'!G19)</f>
        <v>275.95499999999998</v>
      </c>
      <c r="J19" s="1">
        <f>IF('baseline_mission_results (2)'!H19="","",'baseline_mission_results (2)'!H19)</f>
        <v>12.446</v>
      </c>
      <c r="K19" s="1">
        <f>IF('baseline_mission_results (2)'!I19="","",'baseline_mission_results (2)'!I19)</f>
        <v>108.544</v>
      </c>
      <c r="L19" s="1">
        <f>IF('baseline_mission_results (2)'!J19="","",'baseline_mission_results (2)'!J19)</f>
        <v>208.828</v>
      </c>
      <c r="M19" s="1">
        <f>IF('baseline_mission_results (2)'!K19="","",'baseline_mission_results (2)'!K19)</f>
        <v>180.40799999999999</v>
      </c>
      <c r="N19" s="1">
        <f>IF('baseline_mission_results (2)'!L19="","",'baseline_mission_results (2)'!L19)</f>
        <v>274.94900000000001</v>
      </c>
      <c r="O19" s="3">
        <f t="shared" si="2"/>
        <v>275.95499999999998</v>
      </c>
      <c r="P19" s="3">
        <f t="shared" si="1"/>
        <v>275.95600000000002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tr">
        <f t="shared" si="0"/>
        <v>Baseline</v>
      </c>
      <c r="B20" s="1" t="str">
        <f>'baseline_mission_results (2)'!A20</f>
        <v>19</v>
      </c>
      <c r="C20" s="1" t="str">
        <f>"Baseline-"&amp;'baseline_mission_results (2)'!A20</f>
        <v>Baseline-19</v>
      </c>
      <c r="D20" s="1" t="b">
        <f>'baseline_mission_results (2)'!B20</f>
        <v>1</v>
      </c>
      <c r="E20" s="1">
        <f>'baseline_mission_results (2)'!C20</f>
        <v>0</v>
      </c>
      <c r="F20" s="1">
        <f>'baseline_mission_results (2)'!D20</f>
        <v>0</v>
      </c>
      <c r="G20" s="1">
        <f>IF('baseline_mission_results (2)'!E20="","",'baseline_mission_results (2)'!E20)</f>
        <v>277.51100000000002</v>
      </c>
      <c r="H20" s="1">
        <f>IF('baseline_mission_results (2)'!F20="","",'baseline_mission_results (2)'!F20)</f>
        <v>9.532</v>
      </c>
      <c r="I20" s="1">
        <f>IF('baseline_mission_results (2)'!G20="","",'baseline_mission_results (2)'!G20)</f>
        <v>277.50900000000001</v>
      </c>
      <c r="J20" s="1">
        <f>IF('baseline_mission_results (2)'!H20="","",'baseline_mission_results (2)'!H20)</f>
        <v>13.997</v>
      </c>
      <c r="K20" s="1">
        <f>IF('baseline_mission_results (2)'!I20="","",'baseline_mission_results (2)'!I20)</f>
        <v>109.649</v>
      </c>
      <c r="L20" s="1">
        <f>IF('baseline_mission_results (2)'!J20="","",'baseline_mission_results (2)'!J20)</f>
        <v>210.179</v>
      </c>
      <c r="M20" s="1">
        <f>IF('baseline_mission_results (2)'!K20="","",'baseline_mission_results (2)'!K20)</f>
        <v>181.45</v>
      </c>
      <c r="N20" s="1">
        <f>IF('baseline_mission_results (2)'!L20="","",'baseline_mission_results (2)'!L20)</f>
        <v>276.50299999999999</v>
      </c>
      <c r="O20" s="3">
        <f t="shared" si="2"/>
        <v>277.50900000000001</v>
      </c>
      <c r="P20" s="3">
        <f t="shared" si="1"/>
        <v>277.51100000000002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tr">
        <f t="shared" si="0"/>
        <v>Baseline</v>
      </c>
      <c r="B21" s="1" t="str">
        <f>'baseline_mission_results (2)'!A21</f>
        <v>20</v>
      </c>
      <c r="C21" s="1" t="str">
        <f>"Baseline-"&amp;'baseline_mission_results (2)'!A21</f>
        <v>Baseline-20</v>
      </c>
      <c r="D21" s="1" t="b">
        <f>'baseline_mission_results (2)'!B21</f>
        <v>1</v>
      </c>
      <c r="E21" s="1">
        <f>'baseline_mission_results (2)'!C21</f>
        <v>0</v>
      </c>
      <c r="F21" s="1">
        <f>'baseline_mission_results (2)'!D21</f>
        <v>0</v>
      </c>
      <c r="G21" s="1">
        <f>IF('baseline_mission_results (2)'!E21="","",'baseline_mission_results (2)'!E21)</f>
        <v>283.20499999999998</v>
      </c>
      <c r="H21" s="1">
        <f>IF('baseline_mission_results (2)'!F21="","",'baseline_mission_results (2)'!F21)</f>
        <v>9.39</v>
      </c>
      <c r="I21" s="1">
        <f>IF('baseline_mission_results (2)'!G21="","",'baseline_mission_results (2)'!G21)</f>
        <v>283.20299999999997</v>
      </c>
      <c r="J21" s="1">
        <f>IF('baseline_mission_results (2)'!H21="","",'baseline_mission_results (2)'!H21)</f>
        <v>11.64</v>
      </c>
      <c r="K21" s="1">
        <f>IF('baseline_mission_results (2)'!I21="","",'baseline_mission_results (2)'!I21)</f>
        <v>113.07599999999999</v>
      </c>
      <c r="L21" s="1">
        <f>IF('baseline_mission_results (2)'!J21="","",'baseline_mission_results (2)'!J21)</f>
        <v>215.869</v>
      </c>
      <c r="M21" s="1">
        <f>IF('baseline_mission_results (2)'!K21="","",'baseline_mission_results (2)'!K21)</f>
        <v>186.142</v>
      </c>
      <c r="N21" s="1">
        <f>IF('baseline_mission_results (2)'!L21="","",'baseline_mission_results (2)'!L21)</f>
        <v>282.197</v>
      </c>
      <c r="O21" s="3">
        <f t="shared" si="2"/>
        <v>283.20299999999997</v>
      </c>
      <c r="P21" s="3">
        <f t="shared" si="1"/>
        <v>283.20499999999998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75" x14ac:dyDescent="0.25">
      <c r="A22" s="1" t="str">
        <f t="shared" si="0"/>
        <v>Baseline</v>
      </c>
      <c r="B22" s="1" t="str">
        <f>'baseline_mission_results (2)'!A22</f>
        <v>21</v>
      </c>
      <c r="C22" s="1" t="str">
        <f>"Baseline-"&amp;'baseline_mission_results (2)'!A22</f>
        <v>Baseline-21</v>
      </c>
      <c r="D22" s="1" t="b">
        <f>'baseline_mission_results (2)'!B22</f>
        <v>0</v>
      </c>
      <c r="E22" s="1" t="str">
        <f>'baseline_mission_results (2)'!C22</f>
        <v>local_target_timeout</v>
      </c>
      <c r="F22" s="1" t="str">
        <f>'baseline_mission_results (2)'!D22</f>
        <v>[python3-22] [ERROR] [1779406685,450673931] [nav2_trolley_mission_controller]: Local target 'drop-off center' timed out: distance=0,030, yaw=-4,28 deg</v>
      </c>
      <c r="G22" s="1">
        <f>IF('baseline_mission_results (2)'!E22="","",'baseline_mission_results (2)'!E22)</f>
        <v>225.53299999999999</v>
      </c>
      <c r="H22" s="1">
        <f>IF('baseline_mission_results (2)'!F22="","",'baseline_mission_results (2)'!F22)</f>
        <v>9.4339999999999993</v>
      </c>
      <c r="I22" s="1" t="str">
        <f>IF('baseline_mission_results (2)'!G22="","",'baseline_mission_results (2)'!G22)</f>
        <v/>
      </c>
      <c r="J22" s="1">
        <f>IF('baseline_mission_results (2)'!H22="","",'baseline_mission_results (2)'!H22)</f>
        <v>12.606999999999999</v>
      </c>
      <c r="K22" s="1">
        <f>IF('baseline_mission_results (2)'!I22="","",'baseline_mission_results (2)'!I22)</f>
        <v>113.98699999999999</v>
      </c>
      <c r="L22" s="1" t="str">
        <f>IF('baseline_mission_results (2)'!J22="","",'baseline_mission_results (2)'!J22)</f>
        <v/>
      </c>
      <c r="M22" s="1">
        <f>IF('baseline_mission_results (2)'!K22="","",'baseline_mission_results (2)'!K22)</f>
        <v>189.125</v>
      </c>
      <c r="N22" s="1" t="str">
        <f>IF('baseline_mission_results (2)'!L22="","",'baseline_mission_results (2)'!L22)</f>
        <v/>
      </c>
      <c r="O22" s="3" t="str">
        <f t="shared" si="2"/>
        <v/>
      </c>
      <c r="P22" s="3">
        <f t="shared" si="1"/>
        <v>225.53299999999999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tr">
        <f t="shared" si="0"/>
        <v>Baseline</v>
      </c>
      <c r="B23" s="1" t="str">
        <f>'baseline_mission_results (2)'!A23</f>
        <v>22</v>
      </c>
      <c r="C23" s="1" t="str">
        <f>"Baseline-"&amp;'baseline_mission_results (2)'!A23</f>
        <v>Baseline-22</v>
      </c>
      <c r="D23" s="1" t="b">
        <f>'baseline_mission_results (2)'!B23</f>
        <v>1</v>
      </c>
      <c r="E23" s="1">
        <f>'baseline_mission_results (2)'!C23</f>
        <v>0</v>
      </c>
      <c r="F23" s="1">
        <f>'baseline_mission_results (2)'!D23</f>
        <v>0</v>
      </c>
      <c r="G23" s="1">
        <f>IF('baseline_mission_results (2)'!E23="","",'baseline_mission_results (2)'!E23)</f>
        <v>278.68099999999998</v>
      </c>
      <c r="H23" s="1">
        <f>IF('baseline_mission_results (2)'!F23="","",'baseline_mission_results (2)'!F23)</f>
        <v>9.4890000000000008</v>
      </c>
      <c r="I23" s="1">
        <f>IF('baseline_mission_results (2)'!G23="","",'baseline_mission_results (2)'!G23)</f>
        <v>278.67899999999997</v>
      </c>
      <c r="J23" s="1">
        <f>IF('baseline_mission_results (2)'!H23="","",'baseline_mission_results (2)'!H23)</f>
        <v>11.654999999999999</v>
      </c>
      <c r="K23" s="1">
        <f>IF('baseline_mission_results (2)'!I23="","",'baseline_mission_results (2)'!I23)</f>
        <v>111.581</v>
      </c>
      <c r="L23" s="1">
        <f>IF('baseline_mission_results (2)'!J23="","",'baseline_mission_results (2)'!J23)</f>
        <v>211.89699999999999</v>
      </c>
      <c r="M23" s="1">
        <f>IF('baseline_mission_results (2)'!K23="","",'baseline_mission_results (2)'!K23)</f>
        <v>184.14099999999999</v>
      </c>
      <c r="N23" s="1">
        <f>IF('baseline_mission_results (2)'!L23="","",'baseline_mission_results (2)'!L23)</f>
        <v>277.67399999999998</v>
      </c>
      <c r="O23" s="3">
        <f t="shared" si="2"/>
        <v>278.67899999999997</v>
      </c>
      <c r="P23" s="3">
        <f t="shared" si="1"/>
        <v>278.68099999999998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tr">
        <f t="shared" si="0"/>
        <v>Baseline</v>
      </c>
      <c r="B24" s="1" t="str">
        <f>'baseline_mission_results (2)'!A24</f>
        <v>23</v>
      </c>
      <c r="C24" s="1" t="str">
        <f>"Baseline-"&amp;'baseline_mission_results (2)'!A24</f>
        <v>Baseline-23</v>
      </c>
      <c r="D24" s="1" t="b">
        <f>'baseline_mission_results (2)'!B24</f>
        <v>1</v>
      </c>
      <c r="E24" s="1">
        <f>'baseline_mission_results (2)'!C24</f>
        <v>0</v>
      </c>
      <c r="F24" s="1">
        <f>'baseline_mission_results (2)'!D24</f>
        <v>0</v>
      </c>
      <c r="G24" s="1">
        <f>IF('baseline_mission_results (2)'!E24="","",'baseline_mission_results (2)'!E24)</f>
        <v>290.33699999999999</v>
      </c>
      <c r="H24" s="1">
        <f>IF('baseline_mission_results (2)'!F24="","",'baseline_mission_results (2)'!F24)</f>
        <v>9.48</v>
      </c>
      <c r="I24" s="1">
        <f>IF('baseline_mission_results (2)'!G24="","",'baseline_mission_results (2)'!G24)</f>
        <v>290.33499999999998</v>
      </c>
      <c r="J24" s="1">
        <f>IF('baseline_mission_results (2)'!H24="","",'baseline_mission_results (2)'!H24)</f>
        <v>13.228999999999999</v>
      </c>
      <c r="K24" s="1">
        <f>IF('baseline_mission_results (2)'!I24="","",'baseline_mission_results (2)'!I24)</f>
        <v>115.623</v>
      </c>
      <c r="L24" s="1">
        <f>IF('baseline_mission_results (2)'!J24="","",'baseline_mission_results (2)'!J24)</f>
        <v>224.40600000000001</v>
      </c>
      <c r="M24" s="1">
        <f>IF('baseline_mission_results (2)'!K24="","",'baseline_mission_results (2)'!K24)</f>
        <v>192.76499999999999</v>
      </c>
      <c r="N24" s="1">
        <f>IF('baseline_mission_results (2)'!L24="","",'baseline_mission_results (2)'!L24)</f>
        <v>289.33</v>
      </c>
      <c r="O24" s="3">
        <f t="shared" si="2"/>
        <v>290.33499999999998</v>
      </c>
      <c r="P24" s="3">
        <f t="shared" si="1"/>
        <v>290.33699999999999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tr">
        <f t="shared" si="0"/>
        <v>Baseline</v>
      </c>
      <c r="B25" s="1" t="str">
        <f>'baseline_mission_results (2)'!A25</f>
        <v>24</v>
      </c>
      <c r="C25" s="1" t="str">
        <f>"Baseline-"&amp;'baseline_mission_results (2)'!A25</f>
        <v>Baseline-24</v>
      </c>
      <c r="D25" s="1" t="b">
        <f>'baseline_mission_results (2)'!B25</f>
        <v>1</v>
      </c>
      <c r="E25" s="1">
        <f>'baseline_mission_results (2)'!C25</f>
        <v>0</v>
      </c>
      <c r="F25" s="1">
        <f>'baseline_mission_results (2)'!D25</f>
        <v>0</v>
      </c>
      <c r="G25" s="1">
        <f>IF('baseline_mission_results (2)'!E25="","",'baseline_mission_results (2)'!E25)</f>
        <v>280.47000000000003</v>
      </c>
      <c r="H25" s="1">
        <f>IF('baseline_mission_results (2)'!F25="","",'baseline_mission_results (2)'!F25)</f>
        <v>9.4870000000000001</v>
      </c>
      <c r="I25" s="1">
        <f>IF('baseline_mission_results (2)'!G25="","",'baseline_mission_results (2)'!G25)</f>
        <v>280.46800000000002</v>
      </c>
      <c r="J25" s="1">
        <f>IF('baseline_mission_results (2)'!H25="","",'baseline_mission_results (2)'!H25)</f>
        <v>13.422000000000001</v>
      </c>
      <c r="K25" s="1">
        <f>IF('baseline_mission_results (2)'!I25="","",'baseline_mission_results (2)'!I25)</f>
        <v>112.041</v>
      </c>
      <c r="L25" s="1">
        <f>IF('baseline_mission_results (2)'!J25="","",'baseline_mission_results (2)'!J25)</f>
        <v>214.17599999999999</v>
      </c>
      <c r="M25" s="1">
        <f>IF('baseline_mission_results (2)'!K25="","",'baseline_mission_results (2)'!K25)</f>
        <v>184.40600000000001</v>
      </c>
      <c r="N25" s="1">
        <f>IF('baseline_mission_results (2)'!L25="","",'baseline_mission_results (2)'!L25)</f>
        <v>279.46300000000002</v>
      </c>
      <c r="O25" s="3">
        <f t="shared" si="2"/>
        <v>280.46800000000002</v>
      </c>
      <c r="P25" s="3">
        <f t="shared" si="1"/>
        <v>280.47000000000003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75" x14ac:dyDescent="0.25">
      <c r="A26" s="1" t="str">
        <f t="shared" si="0"/>
        <v>Baseline</v>
      </c>
      <c r="B26" s="1" t="str">
        <f>'baseline_mission_results (2)'!A26</f>
        <v>25</v>
      </c>
      <c r="C26" s="1" t="str">
        <f>"Baseline-"&amp;'baseline_mission_results (2)'!A26</f>
        <v>Baseline-25</v>
      </c>
      <c r="D26" s="1" t="b">
        <f>'baseline_mission_results (2)'!B26</f>
        <v>0</v>
      </c>
      <c r="E26" s="1" t="str">
        <f>'baseline_mission_results (2)'!C26</f>
        <v>local_target_timeout</v>
      </c>
      <c r="F26" s="1" t="str">
        <f>'baseline_mission_results (2)'!D26</f>
        <v>[python3-22] [ERROR] [1779407760,816316232] [nav2_trolley_mission_controller]: Local target 'drop-off center' timed out: distance=0,031, yaw=+5,39 deg</v>
      </c>
      <c r="G26" s="1">
        <f>IF('baseline_mission_results (2)'!E26="","",'baseline_mission_results (2)'!E26)</f>
        <v>222.77500000000001</v>
      </c>
      <c r="H26" s="1">
        <f>IF('baseline_mission_results (2)'!F26="","",'baseline_mission_results (2)'!F26)</f>
        <v>9.4870000000000001</v>
      </c>
      <c r="I26" s="1" t="str">
        <f>IF('baseline_mission_results (2)'!G26="","",'baseline_mission_results (2)'!G26)</f>
        <v/>
      </c>
      <c r="J26" s="1">
        <f>IF('baseline_mission_results (2)'!H26="","",'baseline_mission_results (2)'!H26)</f>
        <v>11.651</v>
      </c>
      <c r="K26" s="1">
        <f>IF('baseline_mission_results (2)'!I26="","",'baseline_mission_results (2)'!I26)</f>
        <v>112.786</v>
      </c>
      <c r="L26" s="1" t="str">
        <f>IF('baseline_mission_results (2)'!J26="","",'baseline_mission_results (2)'!J26)</f>
        <v/>
      </c>
      <c r="M26" s="1">
        <f>IF('baseline_mission_results (2)'!K26="","",'baseline_mission_results (2)'!K26)</f>
        <v>186.16499999999999</v>
      </c>
      <c r="N26" s="1" t="str">
        <f>IF('baseline_mission_results (2)'!L26="","",'baseline_mission_results (2)'!L26)</f>
        <v/>
      </c>
      <c r="O26" s="3" t="str">
        <f t="shared" si="2"/>
        <v/>
      </c>
      <c r="P26" s="3">
        <f t="shared" si="1"/>
        <v>222.77500000000001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tr">
        <f t="shared" si="0"/>
        <v>Baseline</v>
      </c>
      <c r="B27" s="1" t="str">
        <f>'baseline_mission_results (2)'!A27</f>
        <v>26</v>
      </c>
      <c r="C27" s="1" t="str">
        <f>"Baseline-"&amp;'baseline_mission_results (2)'!A27</f>
        <v>Baseline-26</v>
      </c>
      <c r="D27" s="1" t="b">
        <f>'baseline_mission_results (2)'!B27</f>
        <v>1</v>
      </c>
      <c r="E27" s="1">
        <f>'baseline_mission_results (2)'!C27</f>
        <v>0</v>
      </c>
      <c r="F27" s="1">
        <f>'baseline_mission_results (2)'!D27</f>
        <v>0</v>
      </c>
      <c r="G27" s="1">
        <f>IF('baseline_mission_results (2)'!E27="","",'baseline_mission_results (2)'!E27)</f>
        <v>275.22000000000003</v>
      </c>
      <c r="H27" s="1">
        <f>IF('baseline_mission_results (2)'!F27="","",'baseline_mission_results (2)'!F27)</f>
        <v>9.4329999999999998</v>
      </c>
      <c r="I27" s="1">
        <f>IF('baseline_mission_results (2)'!G27="","",'baseline_mission_results (2)'!G27)</f>
        <v>275.21800000000002</v>
      </c>
      <c r="J27" s="1">
        <f>IF('baseline_mission_results (2)'!H27="","",'baseline_mission_results (2)'!H27)</f>
        <v>12.715999999999999</v>
      </c>
      <c r="K27" s="1">
        <f>IF('baseline_mission_results (2)'!I27="","",'baseline_mission_results (2)'!I27)</f>
        <v>109.121</v>
      </c>
      <c r="L27" s="1">
        <f>IF('baseline_mission_results (2)'!J27="","",'baseline_mission_results (2)'!J27)</f>
        <v>208.137</v>
      </c>
      <c r="M27" s="1">
        <f>IF('baseline_mission_results (2)'!K27="","",'baseline_mission_results (2)'!K27)</f>
        <v>180.178</v>
      </c>
      <c r="N27" s="1">
        <f>IF('baseline_mission_results (2)'!L27="","",'baseline_mission_results (2)'!L27)</f>
        <v>274.21300000000002</v>
      </c>
      <c r="O27" s="3">
        <f t="shared" si="2"/>
        <v>275.21800000000002</v>
      </c>
      <c r="P27" s="3">
        <f t="shared" si="1"/>
        <v>275.22000000000003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75" x14ac:dyDescent="0.25">
      <c r="A28" s="1" t="str">
        <f t="shared" si="0"/>
        <v>Baseline</v>
      </c>
      <c r="B28" s="1" t="str">
        <f>'baseline_mission_results (2)'!A28</f>
        <v>27</v>
      </c>
      <c r="C28" s="1" t="str">
        <f>"Baseline-"&amp;'baseline_mission_results (2)'!A28</f>
        <v>Baseline-27</v>
      </c>
      <c r="D28" s="1" t="b">
        <f>'baseline_mission_results (2)'!B28</f>
        <v>0</v>
      </c>
      <c r="E28" s="1" t="str">
        <f>'baseline_mission_results (2)'!C28</f>
        <v>local_target_timeout</v>
      </c>
      <c r="F28" s="1" t="str">
        <f>'baseline_mission_results (2)'!D28</f>
        <v>[python3-22] [ERROR] [1779408204,902850771] [nav2_trolley_mission_controller]: Local target 'pickup exit lane' timed out: distance=0,025, yaw=-0,84 deg</v>
      </c>
      <c r="G28" s="1">
        <f>IF('baseline_mission_results (2)'!E28="","",'baseline_mission_results (2)'!E28)</f>
        <v>167.26300000000001</v>
      </c>
      <c r="H28" s="1">
        <f>IF('baseline_mission_results (2)'!F28="","",'baseline_mission_results (2)'!F28)</f>
        <v>9.3840000000000003</v>
      </c>
      <c r="I28" s="1" t="str">
        <f>IF('baseline_mission_results (2)'!G28="","",'baseline_mission_results (2)'!G28)</f>
        <v/>
      </c>
      <c r="J28" s="1">
        <f>IF('baseline_mission_results (2)'!H28="","",'baseline_mission_results (2)'!H28)</f>
        <v>17.050999999999998</v>
      </c>
      <c r="K28" s="1">
        <f>IF('baseline_mission_results (2)'!I28="","",'baseline_mission_results (2)'!I28)</f>
        <v>122.11</v>
      </c>
      <c r="L28" s="1" t="str">
        <f>IF('baseline_mission_results (2)'!J28="","",'baseline_mission_results (2)'!J28)</f>
        <v/>
      </c>
      <c r="M28" s="1" t="str">
        <f>IF('baseline_mission_results (2)'!K28="","",'baseline_mission_results (2)'!K28)</f>
        <v/>
      </c>
      <c r="N28" s="1" t="str">
        <f>IF('baseline_mission_results (2)'!L28="","",'baseline_mission_results (2)'!L28)</f>
        <v/>
      </c>
      <c r="O28" s="3" t="str">
        <f t="shared" si="2"/>
        <v/>
      </c>
      <c r="P28" s="3">
        <f t="shared" si="1"/>
        <v>167.26300000000001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75" x14ac:dyDescent="0.25">
      <c r="A29" s="1" t="str">
        <f t="shared" si="0"/>
        <v>Baseline</v>
      </c>
      <c r="B29" s="1" t="str">
        <f>'baseline_mission_results (2)'!A29</f>
        <v>28</v>
      </c>
      <c r="C29" s="1" t="str">
        <f>"Baseline-"&amp;'baseline_mission_results (2)'!A29</f>
        <v>Baseline-28</v>
      </c>
      <c r="D29" s="1" t="b">
        <f>'baseline_mission_results (2)'!B29</f>
        <v>0</v>
      </c>
      <c r="E29" s="1" t="str">
        <f>'baseline_mission_results (2)'!C29</f>
        <v>local_target_timeout</v>
      </c>
      <c r="F29" s="1" t="str">
        <f>'baseline_mission_results (2)'!D29</f>
        <v>[python3-22] [ERROR] [1779408422,851393718] [nav2_trolley_mission_controller]: Local target 'drop-off center' timed out: distance=0,031, yaw=+5,44 deg</v>
      </c>
      <c r="G29" s="1">
        <f>IF('baseline_mission_results (2)'!E29="","",'baseline_mission_results (2)'!E29)</f>
        <v>217.18799999999999</v>
      </c>
      <c r="H29" s="1">
        <f>IF('baseline_mission_results (2)'!F29="","",'baseline_mission_results (2)'!F29)</f>
        <v>9.3859999999999992</v>
      </c>
      <c r="I29" s="1" t="str">
        <f>IF('baseline_mission_results (2)'!G29="","",'baseline_mission_results (2)'!G29)</f>
        <v/>
      </c>
      <c r="J29" s="1">
        <f>IF('baseline_mission_results (2)'!H29="","",'baseline_mission_results (2)'!H29)</f>
        <v>11.551</v>
      </c>
      <c r="K29" s="1">
        <f>IF('baseline_mission_results (2)'!I29="","",'baseline_mission_results (2)'!I29)</f>
        <v>109.672</v>
      </c>
      <c r="L29" s="1" t="str">
        <f>IF('baseline_mission_results (2)'!J29="","",'baseline_mission_results (2)'!J29)</f>
        <v/>
      </c>
      <c r="M29" s="1">
        <f>IF('baseline_mission_results (2)'!K29="","",'baseline_mission_results (2)'!K29)</f>
        <v>180.52500000000001</v>
      </c>
      <c r="N29" s="1" t="str">
        <f>IF('baseline_mission_results (2)'!L29="","",'baseline_mission_results (2)'!L29)</f>
        <v/>
      </c>
      <c r="O29" s="3" t="str">
        <f t="shared" si="2"/>
        <v/>
      </c>
      <c r="P29" s="3">
        <f t="shared" si="1"/>
        <v>217.18799999999999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tr">
        <f t="shared" si="0"/>
        <v>Baseline</v>
      </c>
      <c r="B30" s="1" t="str">
        <f>'baseline_mission_results (2)'!A30</f>
        <v>29</v>
      </c>
      <c r="C30" s="1" t="str">
        <f>"Baseline-"&amp;'baseline_mission_results (2)'!A30</f>
        <v>Baseline-29</v>
      </c>
      <c r="D30" s="1" t="b">
        <f>'baseline_mission_results (2)'!B30</f>
        <v>1</v>
      </c>
      <c r="E30" s="1">
        <f>'baseline_mission_results (2)'!C30</f>
        <v>0</v>
      </c>
      <c r="F30" s="1">
        <f>'baseline_mission_results (2)'!D30</f>
        <v>0</v>
      </c>
      <c r="G30" s="1">
        <f>IF('baseline_mission_results (2)'!E30="","",'baseline_mission_results (2)'!E30)</f>
        <v>291.26100000000002</v>
      </c>
      <c r="H30" s="1">
        <f>IF('baseline_mission_results (2)'!F30="","",'baseline_mission_results (2)'!F30)</f>
        <v>9.4860000000000007</v>
      </c>
      <c r="I30" s="1">
        <f>IF('baseline_mission_results (2)'!G30="","",'baseline_mission_results (2)'!G30)</f>
        <v>291.26</v>
      </c>
      <c r="J30" s="1">
        <f>IF('baseline_mission_results (2)'!H30="","",'baseline_mission_results (2)'!H30)</f>
        <v>14.153</v>
      </c>
      <c r="K30" s="1">
        <f>IF('baseline_mission_results (2)'!I30="","",'baseline_mission_results (2)'!I30)</f>
        <v>121.532</v>
      </c>
      <c r="L30" s="1">
        <f>IF('baseline_mission_results (2)'!J30="","",'baseline_mission_results (2)'!J30)</f>
        <v>224.42599999999999</v>
      </c>
      <c r="M30" s="1">
        <f>IF('baseline_mission_results (2)'!K30="","",'baseline_mission_results (2)'!K30)</f>
        <v>199.73699999999999</v>
      </c>
      <c r="N30" s="1">
        <f>IF('baseline_mission_results (2)'!L30="","",'baseline_mission_results (2)'!L30)</f>
        <v>290.25400000000002</v>
      </c>
      <c r="O30" s="3">
        <f t="shared" si="2"/>
        <v>291.26</v>
      </c>
      <c r="P30" s="3">
        <f t="shared" si="1"/>
        <v>291.26100000000002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tr">
        <f t="shared" si="0"/>
        <v>Baseline</v>
      </c>
      <c r="B31" s="1" t="str">
        <f>'baseline_mission_results (2)'!A31</f>
        <v>30</v>
      </c>
      <c r="C31" s="1" t="str">
        <f>"Baseline-"&amp;'baseline_mission_results (2)'!A31</f>
        <v>Baseline-30</v>
      </c>
      <c r="D31" s="1" t="b">
        <f>'baseline_mission_results (2)'!B31</f>
        <v>1</v>
      </c>
      <c r="E31" s="1">
        <f>'baseline_mission_results (2)'!C31</f>
        <v>0</v>
      </c>
      <c r="F31" s="1">
        <f>'baseline_mission_results (2)'!D31</f>
        <v>0</v>
      </c>
      <c r="G31" s="1">
        <f>IF('baseline_mission_results (2)'!E31="","",'baseline_mission_results (2)'!E31)</f>
        <v>292.79599999999999</v>
      </c>
      <c r="H31" s="1">
        <f>IF('baseline_mission_results (2)'!F31="","",'baseline_mission_results (2)'!F31)</f>
        <v>9.5380000000000003</v>
      </c>
      <c r="I31" s="1">
        <f>IF('baseline_mission_results (2)'!G31="","",'baseline_mission_results (2)'!G31)</f>
        <v>292.79399999999998</v>
      </c>
      <c r="J31" s="1">
        <f>IF('baseline_mission_results (2)'!H31="","",'baseline_mission_results (2)'!H31)</f>
        <v>17.204000000000001</v>
      </c>
      <c r="K31" s="1">
        <f>IF('baseline_mission_results (2)'!I31="","",'baseline_mission_results (2)'!I31)</f>
        <v>117.687</v>
      </c>
      <c r="L31" s="1">
        <f>IF('baseline_mission_results (2)'!J31="","",'baseline_mission_results (2)'!J31)</f>
        <v>225.96199999999999</v>
      </c>
      <c r="M31" s="1">
        <f>IF('baseline_mission_results (2)'!K31="","",'baseline_mission_results (2)'!K31)</f>
        <v>194.22399999999999</v>
      </c>
      <c r="N31" s="1">
        <f>IF('baseline_mission_results (2)'!L31="","",'baseline_mission_results (2)'!L31)</f>
        <v>291.78899999999999</v>
      </c>
      <c r="O31" s="3">
        <f t="shared" si="2"/>
        <v>292.79399999999998</v>
      </c>
      <c r="P31" s="3">
        <f t="shared" si="1"/>
        <v>292.79599999999999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75" x14ac:dyDescent="0.25">
      <c r="A32" s="1" t="str">
        <f t="shared" si="0"/>
        <v>Baseline</v>
      </c>
      <c r="B32" s="1" t="str">
        <f>'baseline_mission_results (2)'!A32</f>
        <v>31</v>
      </c>
      <c r="C32" s="1" t="str">
        <f>"Baseline-"&amp;'baseline_mission_results (2)'!A32</f>
        <v>Baseline-31</v>
      </c>
      <c r="D32" s="1" t="b">
        <f>'baseline_mission_results (2)'!B32</f>
        <v>0</v>
      </c>
      <c r="E32" s="1" t="str">
        <f>'baseline_mission_results (2)'!C32</f>
        <v>local_target_timeout</v>
      </c>
      <c r="F32" s="1" t="str">
        <f>'baseline_mission_results (2)'!D32</f>
        <v>[python3-22] [ERROR] [1779409229,846244368] [nav2_trolley_mission_controller]: Local target 'drop-off center' timed out: distance=0,025, yaw=-4,82 deg</v>
      </c>
      <c r="G32" s="1">
        <f>IF('baseline_mission_results (2)'!E32="","",'baseline_mission_results (2)'!E32)</f>
        <v>221.04300000000001</v>
      </c>
      <c r="H32" s="1">
        <f>IF('baseline_mission_results (2)'!F32="","",'baseline_mission_results (2)'!F32)</f>
        <v>9.484</v>
      </c>
      <c r="I32" s="1" t="str">
        <f>IF('baseline_mission_results (2)'!G32="","",'baseline_mission_results (2)'!G32)</f>
        <v/>
      </c>
      <c r="J32" s="1">
        <f>IF('baseline_mission_results (2)'!H32="","",'baseline_mission_results (2)'!H32)</f>
        <v>13.779</v>
      </c>
      <c r="K32" s="1">
        <f>IF('baseline_mission_results (2)'!I32="","",'baseline_mission_results (2)'!I32)</f>
        <v>112.658</v>
      </c>
      <c r="L32" s="1" t="str">
        <f>IF('baseline_mission_results (2)'!J32="","",'baseline_mission_results (2)'!J32)</f>
        <v/>
      </c>
      <c r="M32" s="1">
        <f>IF('baseline_mission_results (2)'!K32="","",'baseline_mission_results (2)'!K32)</f>
        <v>184.77799999999999</v>
      </c>
      <c r="N32" s="1" t="str">
        <f>IF('baseline_mission_results (2)'!L32="","",'baseline_mission_results (2)'!L32)</f>
        <v/>
      </c>
      <c r="O32" s="3" t="str">
        <f t="shared" si="2"/>
        <v/>
      </c>
      <c r="P32" s="3">
        <f t="shared" si="1"/>
        <v>221.04300000000001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tr">
        <f t="shared" si="0"/>
        <v>Baseline</v>
      </c>
      <c r="B33" s="1" t="str">
        <f>'baseline_mission_results (2)'!A33</f>
        <v>32</v>
      </c>
      <c r="C33" s="1" t="str">
        <f>"Baseline-"&amp;'baseline_mission_results (2)'!A33</f>
        <v>Baseline-32</v>
      </c>
      <c r="D33" s="1" t="b">
        <f>'baseline_mission_results (2)'!B33</f>
        <v>1</v>
      </c>
      <c r="E33" s="1">
        <f>'baseline_mission_results (2)'!C33</f>
        <v>0</v>
      </c>
      <c r="F33" s="1">
        <f>'baseline_mission_results (2)'!D33</f>
        <v>0</v>
      </c>
      <c r="G33" s="1">
        <f>IF('baseline_mission_results (2)'!E33="","",'baseline_mission_results (2)'!E33)</f>
        <v>276.53899999999999</v>
      </c>
      <c r="H33" s="1">
        <f>IF('baseline_mission_results (2)'!F33="","",'baseline_mission_results (2)'!F33)</f>
        <v>9.532</v>
      </c>
      <c r="I33" s="1">
        <f>IF('baseline_mission_results (2)'!G33="","",'baseline_mission_results (2)'!G33)</f>
        <v>276.53699999999998</v>
      </c>
      <c r="J33" s="1">
        <f>IF('baseline_mission_results (2)'!H33="","",'baseline_mission_results (2)'!H33)</f>
        <v>14.012</v>
      </c>
      <c r="K33" s="1">
        <f>IF('baseline_mission_results (2)'!I33="","",'baseline_mission_results (2)'!I33)</f>
        <v>109.511</v>
      </c>
      <c r="L33" s="1">
        <f>IF('baseline_mission_results (2)'!J33="","",'baseline_mission_results (2)'!J33)</f>
        <v>209.298</v>
      </c>
      <c r="M33" s="1">
        <f>IF('baseline_mission_results (2)'!K33="","",'baseline_mission_results (2)'!K33)</f>
        <v>184.49700000000001</v>
      </c>
      <c r="N33" s="1">
        <f>IF('baseline_mission_results (2)'!L33="","",'baseline_mission_results (2)'!L33)</f>
        <v>275.53199999999998</v>
      </c>
      <c r="O33" s="3">
        <f t="shared" si="2"/>
        <v>276.53699999999998</v>
      </c>
      <c r="P33" s="3">
        <f t="shared" si="1"/>
        <v>276.53899999999999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tr">
        <f t="shared" ref="A34:A51" si="3">"Baseline"</f>
        <v>Baseline</v>
      </c>
      <c r="B34" s="1" t="str">
        <f>'baseline_mission_results (2)'!A34</f>
        <v>33</v>
      </c>
      <c r="C34" s="1" t="str">
        <f>"Baseline-"&amp;'baseline_mission_results (2)'!A34</f>
        <v>Baseline-33</v>
      </c>
      <c r="D34" s="1" t="b">
        <f>'baseline_mission_results (2)'!B34</f>
        <v>1</v>
      </c>
      <c r="E34" s="1">
        <f>'baseline_mission_results (2)'!C34</f>
        <v>0</v>
      </c>
      <c r="F34" s="1">
        <f>'baseline_mission_results (2)'!D34</f>
        <v>0</v>
      </c>
      <c r="G34" s="1">
        <f>IF('baseline_mission_results (2)'!E34="","",'baseline_mission_results (2)'!E34)</f>
        <v>279.06099999999998</v>
      </c>
      <c r="H34" s="1">
        <f>IF('baseline_mission_results (2)'!F34="","",'baseline_mission_results (2)'!F34)</f>
        <v>9.3829999999999991</v>
      </c>
      <c r="I34" s="1">
        <f>IF('baseline_mission_results (2)'!G34="","",'baseline_mission_results (2)'!G34)</f>
        <v>279.05900000000003</v>
      </c>
      <c r="J34" s="1">
        <f>IF('baseline_mission_results (2)'!H34="","",'baseline_mission_results (2)'!H34)</f>
        <v>17.05</v>
      </c>
      <c r="K34" s="1">
        <f>IF('baseline_mission_results (2)'!I34="","",'baseline_mission_results (2)'!I34)</f>
        <v>114.009</v>
      </c>
      <c r="L34" s="1">
        <f>IF('baseline_mission_results (2)'!J34="","",'baseline_mission_results (2)'!J34)</f>
        <v>211.928</v>
      </c>
      <c r="M34" s="1">
        <f>IF('baseline_mission_results (2)'!K34="","",'baseline_mission_results (2)'!K34)</f>
        <v>188.03299999999999</v>
      </c>
      <c r="N34" s="1">
        <f>IF('baseline_mission_results (2)'!L34="","",'baseline_mission_results (2)'!L34)</f>
        <v>278.053</v>
      </c>
      <c r="O34" s="3">
        <f t="shared" si="2"/>
        <v>279.05900000000003</v>
      </c>
      <c r="P34" s="3">
        <f t="shared" ref="P34:P65" si="4">G34</f>
        <v>279.06099999999998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tr">
        <f t="shared" si="3"/>
        <v>Baseline</v>
      </c>
      <c r="B35" s="1" t="str">
        <f>'baseline_mission_results (2)'!A35</f>
        <v>34</v>
      </c>
      <c r="C35" s="1" t="str">
        <f>"Baseline-"&amp;'baseline_mission_results (2)'!A35</f>
        <v>Baseline-34</v>
      </c>
      <c r="D35" s="1" t="b">
        <f>'baseline_mission_results (2)'!B35</f>
        <v>1</v>
      </c>
      <c r="E35" s="1">
        <f>'baseline_mission_results (2)'!C35</f>
        <v>0</v>
      </c>
      <c r="F35" s="1">
        <f>'baseline_mission_results (2)'!D35</f>
        <v>0</v>
      </c>
      <c r="G35" s="1">
        <f>IF('baseline_mission_results (2)'!E35="","",'baseline_mission_results (2)'!E35)</f>
        <v>272.62</v>
      </c>
      <c r="H35" s="1">
        <f>IF('baseline_mission_results (2)'!F35="","",'baseline_mission_results (2)'!F35)</f>
        <v>9.4380000000000006</v>
      </c>
      <c r="I35" s="1">
        <f>IF('baseline_mission_results (2)'!G35="","",'baseline_mission_results (2)'!G35)</f>
        <v>272.61799999999999</v>
      </c>
      <c r="J35" s="1">
        <f>IF('baseline_mission_results (2)'!H35="","",'baseline_mission_results (2)'!H35)</f>
        <v>12.603</v>
      </c>
      <c r="K35" s="1">
        <f>IF('baseline_mission_results (2)'!I35="","",'baseline_mission_results (2)'!I35)</f>
        <v>108.52</v>
      </c>
      <c r="L35" s="1">
        <f>IF('baseline_mission_results (2)'!J35="","",'baseline_mission_results (2)'!J35)</f>
        <v>206.53899999999999</v>
      </c>
      <c r="M35" s="1">
        <f>IF('baseline_mission_results (2)'!K35="","",'baseline_mission_results (2)'!K35)</f>
        <v>179.584</v>
      </c>
      <c r="N35" s="1">
        <f>IF('baseline_mission_results (2)'!L35="","",'baseline_mission_results (2)'!L35)</f>
        <v>271.61099999999999</v>
      </c>
      <c r="O35" s="3">
        <f t="shared" si="2"/>
        <v>272.61799999999999</v>
      </c>
      <c r="P35" s="3">
        <f t="shared" si="4"/>
        <v>272.62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tr">
        <f t="shared" si="3"/>
        <v>Baseline</v>
      </c>
      <c r="B36" s="1" t="str">
        <f>'baseline_mission_results (2)'!A36</f>
        <v>35</v>
      </c>
      <c r="C36" s="1" t="str">
        <f>"Baseline-"&amp;'baseline_mission_results (2)'!A36</f>
        <v>Baseline-35</v>
      </c>
      <c r="D36" s="1" t="b">
        <f>'baseline_mission_results (2)'!B36</f>
        <v>1</v>
      </c>
      <c r="E36" s="1">
        <f>'baseline_mission_results (2)'!C36</f>
        <v>0</v>
      </c>
      <c r="F36" s="1">
        <f>'baseline_mission_results (2)'!D36</f>
        <v>0</v>
      </c>
      <c r="G36" s="1">
        <f>IF('baseline_mission_results (2)'!E36="","",'baseline_mission_results (2)'!E36)</f>
        <v>280.24200000000002</v>
      </c>
      <c r="H36" s="1">
        <f>IF('baseline_mission_results (2)'!F36="","",'baseline_mission_results (2)'!F36)</f>
        <v>9.516</v>
      </c>
      <c r="I36" s="1">
        <f>IF('baseline_mission_results (2)'!G36="","",'baseline_mission_results (2)'!G36)</f>
        <v>280.24</v>
      </c>
      <c r="J36" s="1">
        <f>IF('baseline_mission_results (2)'!H36="","",'baseline_mission_results (2)'!H36)</f>
        <v>11.682</v>
      </c>
      <c r="K36" s="1">
        <f>IF('baseline_mission_results (2)'!I36="","",'baseline_mission_results (2)'!I36)</f>
        <v>109.452</v>
      </c>
      <c r="L36" s="1">
        <f>IF('baseline_mission_results (2)'!J36="","",'baseline_mission_results (2)'!J36)</f>
        <v>213.256</v>
      </c>
      <c r="M36" s="1">
        <f>IF('baseline_mission_results (2)'!K36="","",'baseline_mission_results (2)'!K36)</f>
        <v>183.179</v>
      </c>
      <c r="N36" s="1">
        <f>IF('baseline_mission_results (2)'!L36="","",'baseline_mission_results (2)'!L36)</f>
        <v>279.23399999999998</v>
      </c>
      <c r="O36" s="3">
        <f t="shared" si="2"/>
        <v>280.24</v>
      </c>
      <c r="P36" s="3">
        <f t="shared" si="4"/>
        <v>280.24200000000002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tr">
        <f t="shared" si="3"/>
        <v>Baseline</v>
      </c>
      <c r="B37" s="1" t="str">
        <f>'baseline_mission_results (2)'!A37</f>
        <v>36</v>
      </c>
      <c r="C37" s="1" t="str">
        <f>"Baseline-"&amp;'baseline_mission_results (2)'!A37</f>
        <v>Baseline-36</v>
      </c>
      <c r="D37" s="1" t="b">
        <f>'baseline_mission_results (2)'!B37</f>
        <v>1</v>
      </c>
      <c r="E37" s="1">
        <f>'baseline_mission_results (2)'!C37</f>
        <v>0</v>
      </c>
      <c r="F37" s="1">
        <f>'baseline_mission_results (2)'!D37</f>
        <v>0</v>
      </c>
      <c r="G37" s="1">
        <f>IF('baseline_mission_results (2)'!E37="","",'baseline_mission_results (2)'!E37)</f>
        <v>302.20499999999998</v>
      </c>
      <c r="H37" s="1">
        <f>IF('baseline_mission_results (2)'!F37="","",'baseline_mission_results (2)'!F37)</f>
        <v>9.3870000000000005</v>
      </c>
      <c r="I37" s="1">
        <f>IF('baseline_mission_results (2)'!G37="","",'baseline_mission_results (2)'!G37)</f>
        <v>302.20299999999997</v>
      </c>
      <c r="J37" s="1">
        <f>IF('baseline_mission_results (2)'!H37="","",'baseline_mission_results (2)'!H37)</f>
        <v>17.053999999999998</v>
      </c>
      <c r="K37" s="1">
        <f>IF('baseline_mission_results (2)'!I37="","",'baseline_mission_results (2)'!I37)</f>
        <v>126.14100000000001</v>
      </c>
      <c r="L37" s="1">
        <f>IF('baseline_mission_results (2)'!J37="","",'baseline_mission_results (2)'!J37)</f>
        <v>234.97</v>
      </c>
      <c r="M37" s="1">
        <f>IF('baseline_mission_results (2)'!K37="","",'baseline_mission_results (2)'!K37)</f>
        <v>202.63200000000001</v>
      </c>
      <c r="N37" s="1">
        <f>IF('baseline_mission_results (2)'!L37="","",'baseline_mission_results (2)'!L37)</f>
        <v>301.19799999999998</v>
      </c>
      <c r="O37" s="3">
        <f t="shared" si="2"/>
        <v>302.20299999999997</v>
      </c>
      <c r="P37" s="3">
        <f t="shared" si="4"/>
        <v>302.20499999999998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tr">
        <f t="shared" si="3"/>
        <v>Baseline</v>
      </c>
      <c r="B38" s="1" t="str">
        <f>'baseline_mission_results (2)'!A38</f>
        <v>37</v>
      </c>
      <c r="C38" s="1" t="str">
        <f>"Baseline-"&amp;'baseline_mission_results (2)'!A38</f>
        <v>Baseline-37</v>
      </c>
      <c r="D38" s="1" t="b">
        <f>'baseline_mission_results (2)'!B38</f>
        <v>1</v>
      </c>
      <c r="E38" s="1">
        <f>'baseline_mission_results (2)'!C38</f>
        <v>0</v>
      </c>
      <c r="F38" s="1">
        <f>'baseline_mission_results (2)'!D38</f>
        <v>0</v>
      </c>
      <c r="G38" s="1">
        <f>IF('baseline_mission_results (2)'!E38="","",'baseline_mission_results (2)'!E38)</f>
        <v>281.58699999999999</v>
      </c>
      <c r="H38" s="1">
        <f>IF('baseline_mission_results (2)'!F38="","",'baseline_mission_results (2)'!F38)</f>
        <v>9.3879999999999999</v>
      </c>
      <c r="I38" s="1">
        <f>IF('baseline_mission_results (2)'!G38="","",'baseline_mission_results (2)'!G38)</f>
        <v>281.58600000000001</v>
      </c>
      <c r="J38" s="1">
        <f>IF('baseline_mission_results (2)'!H38="","",'baseline_mission_results (2)'!H38)</f>
        <v>17.053999999999998</v>
      </c>
      <c r="K38" s="1">
        <f>IF('baseline_mission_results (2)'!I38="","",'baseline_mission_results (2)'!I38)</f>
        <v>114.46599999999999</v>
      </c>
      <c r="L38" s="1">
        <f>IF('baseline_mission_results (2)'!J38="","",'baseline_mission_results (2)'!J38)</f>
        <v>214.501</v>
      </c>
      <c r="M38" s="1">
        <f>IF('baseline_mission_results (2)'!K38="","",'baseline_mission_results (2)'!K38)</f>
        <v>186.029</v>
      </c>
      <c r="N38" s="1">
        <f>IF('baseline_mission_results (2)'!L38="","",'baseline_mission_results (2)'!L38)</f>
        <v>280.58</v>
      </c>
      <c r="O38" s="3">
        <f t="shared" si="2"/>
        <v>281.58600000000001</v>
      </c>
      <c r="P38" s="3">
        <f t="shared" si="4"/>
        <v>281.58699999999999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tr">
        <f t="shared" si="3"/>
        <v>Baseline</v>
      </c>
      <c r="B39" s="1" t="str">
        <f>'baseline_mission_results (2)'!A39</f>
        <v>38</v>
      </c>
      <c r="C39" s="1" t="str">
        <f>"Baseline-"&amp;'baseline_mission_results (2)'!A39</f>
        <v>Baseline-38</v>
      </c>
      <c r="D39" s="1" t="b">
        <f>'baseline_mission_results (2)'!B39</f>
        <v>1</v>
      </c>
      <c r="E39" s="1">
        <f>'baseline_mission_results (2)'!C39</f>
        <v>0</v>
      </c>
      <c r="F39" s="1">
        <f>'baseline_mission_results (2)'!D39</f>
        <v>0</v>
      </c>
      <c r="G39" s="1">
        <f>IF('baseline_mission_results (2)'!E39="","",'baseline_mission_results (2)'!E39)</f>
        <v>281.72699999999998</v>
      </c>
      <c r="H39" s="1">
        <f>IF('baseline_mission_results (2)'!F39="","",'baseline_mission_results (2)'!F39)</f>
        <v>9.4909999999999997</v>
      </c>
      <c r="I39" s="1">
        <f>IF('baseline_mission_results (2)'!G39="","",'baseline_mission_results (2)'!G39)</f>
        <v>281.72500000000002</v>
      </c>
      <c r="J39" s="1">
        <f>IF('baseline_mission_results (2)'!H39="","",'baseline_mission_results (2)'!H39)</f>
        <v>11.654999999999999</v>
      </c>
      <c r="K39" s="1">
        <f>IF('baseline_mission_results (2)'!I39="","",'baseline_mission_results (2)'!I39)</f>
        <v>114.51600000000001</v>
      </c>
      <c r="L39" s="1">
        <f>IF('baseline_mission_results (2)'!J39="","",'baseline_mission_results (2)'!J39)</f>
        <v>215.244</v>
      </c>
      <c r="M39" s="1">
        <f>IF('baseline_mission_results (2)'!K39="","",'baseline_mission_results (2)'!K39)</f>
        <v>186.678</v>
      </c>
      <c r="N39" s="1">
        <f>IF('baseline_mission_results (2)'!L39="","",'baseline_mission_results (2)'!L39)</f>
        <v>280.71899999999999</v>
      </c>
      <c r="O39" s="3">
        <f t="shared" si="2"/>
        <v>281.72500000000002</v>
      </c>
      <c r="P39" s="3">
        <f t="shared" si="4"/>
        <v>281.72699999999998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45" x14ac:dyDescent="0.25">
      <c r="A40" s="1" t="str">
        <f t="shared" si="3"/>
        <v>Baseline</v>
      </c>
      <c r="B40" s="1" t="str">
        <f>'baseline_mission_results (2)'!A40</f>
        <v>39</v>
      </c>
      <c r="C40" s="1" t="str">
        <f>"Baseline-"&amp;'baseline_mission_results (2)'!A40</f>
        <v>Baseline-39</v>
      </c>
      <c r="D40" s="1" t="b">
        <f>'baseline_mission_results (2)'!B40</f>
        <v>0</v>
      </c>
      <c r="E40" s="1" t="str">
        <f>'baseline_mission_results (2)'!C40</f>
        <v>run_timeout</v>
      </c>
      <c r="F40" s="1" t="str">
        <f>'baseline_mission_results (2)'!D40</f>
        <v>Robot did not return to charging while trolley remained in orange drop-off before timeout,</v>
      </c>
      <c r="G40" s="1">
        <f>IF('baseline_mission_results (2)'!E40="","",'baseline_mission_results (2)'!E40)</f>
        <v>420.00099999999998</v>
      </c>
      <c r="H40" s="1">
        <f>IF('baseline_mission_results (2)'!F40="","",'baseline_mission_results (2)'!F40)</f>
        <v>9.5879999999999992</v>
      </c>
      <c r="I40" s="1" t="str">
        <f>IF('baseline_mission_results (2)'!G40="","",'baseline_mission_results (2)'!G40)</f>
        <v/>
      </c>
      <c r="J40" s="1">
        <f>IF('baseline_mission_results (2)'!H40="","",'baseline_mission_results (2)'!H40)</f>
        <v>11.752000000000001</v>
      </c>
      <c r="K40" s="1">
        <f>IF('baseline_mission_results (2)'!I40="","",'baseline_mission_results (2)'!I40)</f>
        <v>112.593</v>
      </c>
      <c r="L40" s="1">
        <f>IF('baseline_mission_results (2)'!J40="","",'baseline_mission_results (2)'!J40)</f>
        <v>214.227</v>
      </c>
      <c r="M40" s="1">
        <f>IF('baseline_mission_results (2)'!K40="","",'baseline_mission_results (2)'!K40)</f>
        <v>185.255</v>
      </c>
      <c r="N40" s="1">
        <f>IF('baseline_mission_results (2)'!L40="","",'baseline_mission_results (2)'!L40)</f>
        <v>280.81</v>
      </c>
      <c r="O40" s="3" t="str">
        <f t="shared" si="2"/>
        <v/>
      </c>
      <c r="P40" s="3">
        <f t="shared" si="4"/>
        <v>420.00099999999998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tr">
        <f t="shared" si="3"/>
        <v>Baseline</v>
      </c>
      <c r="B41" s="1" t="str">
        <f>'baseline_mission_results (2)'!A41</f>
        <v>40</v>
      </c>
      <c r="C41" s="1" t="str">
        <f>"Baseline-"&amp;'baseline_mission_results (2)'!A41</f>
        <v>Baseline-40</v>
      </c>
      <c r="D41" s="1" t="b">
        <f>'baseline_mission_results (2)'!B41</f>
        <v>1</v>
      </c>
      <c r="E41" s="1">
        <f>'baseline_mission_results (2)'!C41</f>
        <v>0</v>
      </c>
      <c r="F41" s="1">
        <f>'baseline_mission_results (2)'!D41</f>
        <v>0</v>
      </c>
      <c r="G41" s="1">
        <f>IF('baseline_mission_results (2)'!E41="","",'baseline_mission_results (2)'!E41)</f>
        <v>297.78100000000001</v>
      </c>
      <c r="H41" s="1">
        <f>IF('baseline_mission_results (2)'!F41="","",'baseline_mission_results (2)'!F41)</f>
        <v>9.4830000000000005</v>
      </c>
      <c r="I41" s="1">
        <f>IF('baseline_mission_results (2)'!G41="","",'baseline_mission_results (2)'!G41)</f>
        <v>297.779</v>
      </c>
      <c r="J41" s="1">
        <f>IF('baseline_mission_results (2)'!H41="","",'baseline_mission_results (2)'!H41)</f>
        <v>17.149999999999999</v>
      </c>
      <c r="K41" s="1">
        <f>IF('baseline_mission_results (2)'!I41="","",'baseline_mission_results (2)'!I41)</f>
        <v>128.54300000000001</v>
      </c>
      <c r="L41" s="1">
        <f>IF('baseline_mission_results (2)'!J41="","",'baseline_mission_results (2)'!J41)</f>
        <v>230.49100000000001</v>
      </c>
      <c r="M41" s="1">
        <f>IF('baseline_mission_results (2)'!K41="","",'baseline_mission_results (2)'!K41)</f>
        <v>205.74299999999999</v>
      </c>
      <c r="N41" s="1">
        <f>IF('baseline_mission_results (2)'!L41="","",'baseline_mission_results (2)'!L41)</f>
        <v>296.774</v>
      </c>
      <c r="O41" s="3">
        <f t="shared" si="2"/>
        <v>297.779</v>
      </c>
      <c r="P41" s="3">
        <f t="shared" si="4"/>
        <v>297.78100000000001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75" x14ac:dyDescent="0.25">
      <c r="A42" s="1" t="str">
        <f t="shared" si="3"/>
        <v>Baseline</v>
      </c>
      <c r="B42" s="1" t="str">
        <f>'baseline_mission_results (2)'!A42</f>
        <v>41</v>
      </c>
      <c r="C42" s="1" t="str">
        <f>"Baseline-"&amp;'baseline_mission_results (2)'!A42</f>
        <v>Baseline-41</v>
      </c>
      <c r="D42" s="1" t="b">
        <f>'baseline_mission_results (2)'!B42</f>
        <v>0</v>
      </c>
      <c r="E42" s="1" t="str">
        <f>'baseline_mission_results (2)'!C42</f>
        <v>local_target_timeout</v>
      </c>
      <c r="F42" s="1" t="str">
        <f>'baseline_mission_results (2)'!D42</f>
        <v>[python3-22] [ERROR] [1779412158,882495005] [nav2_trolley_mission_controller]: Local target 'drop-off center' timed out: distance=0,028, yaw=+6,13 deg</v>
      </c>
      <c r="G42" s="1">
        <f>IF('baseline_mission_results (2)'!E42="","",'baseline_mission_results (2)'!E42)</f>
        <v>226.42699999999999</v>
      </c>
      <c r="H42" s="1">
        <f>IF('baseline_mission_results (2)'!F42="","",'baseline_mission_results (2)'!F42)</f>
        <v>9.2309999999999999</v>
      </c>
      <c r="I42" s="1" t="str">
        <f>IF('baseline_mission_results (2)'!G42="","",'baseline_mission_results (2)'!G42)</f>
        <v/>
      </c>
      <c r="J42" s="1">
        <f>IF('baseline_mission_results (2)'!H42="","",'baseline_mission_results (2)'!H42)</f>
        <v>12.189</v>
      </c>
      <c r="K42" s="1">
        <f>IF('baseline_mission_results (2)'!I42="","",'baseline_mission_results (2)'!I42)</f>
        <v>113.723</v>
      </c>
      <c r="L42" s="1" t="str">
        <f>IF('baseline_mission_results (2)'!J42="","",'baseline_mission_results (2)'!J42)</f>
        <v/>
      </c>
      <c r="M42" s="1">
        <f>IF('baseline_mission_results (2)'!K42="","",'baseline_mission_results (2)'!K42)</f>
        <v>190.21199999999999</v>
      </c>
      <c r="N42" s="1" t="str">
        <f>IF('baseline_mission_results (2)'!L42="","",'baseline_mission_results (2)'!L42)</f>
        <v/>
      </c>
      <c r="O42" s="3" t="str">
        <f t="shared" si="2"/>
        <v/>
      </c>
      <c r="P42" s="3">
        <f t="shared" si="4"/>
        <v>226.42699999999999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tr">
        <f t="shared" si="3"/>
        <v>Baseline</v>
      </c>
      <c r="B43" s="1" t="str">
        <f>'baseline_mission_results (2)'!A43</f>
        <v>42</v>
      </c>
      <c r="C43" s="1" t="str">
        <f>"Baseline-"&amp;'baseline_mission_results (2)'!A43</f>
        <v>Baseline-42</v>
      </c>
      <c r="D43" s="1" t="b">
        <f>'baseline_mission_results (2)'!B43</f>
        <v>1</v>
      </c>
      <c r="E43" s="1">
        <f>'baseline_mission_results (2)'!C43</f>
        <v>0</v>
      </c>
      <c r="F43" s="1">
        <f>'baseline_mission_results (2)'!D43</f>
        <v>0</v>
      </c>
      <c r="G43" s="1">
        <f>IF('baseline_mission_results (2)'!E43="","",'baseline_mission_results (2)'!E43)</f>
        <v>278.38600000000002</v>
      </c>
      <c r="H43" s="1">
        <f>IF('baseline_mission_results (2)'!F43="","",'baseline_mission_results (2)'!F43)</f>
        <v>9.4320000000000004</v>
      </c>
      <c r="I43" s="1">
        <f>IF('baseline_mission_results (2)'!G43="","",'baseline_mission_results (2)'!G43)</f>
        <v>278.38499999999999</v>
      </c>
      <c r="J43" s="1">
        <f>IF('baseline_mission_results (2)'!H43="","",'baseline_mission_results (2)'!H43)</f>
        <v>13.349</v>
      </c>
      <c r="K43" s="1">
        <f>IF('baseline_mission_results (2)'!I43="","",'baseline_mission_results (2)'!I43)</f>
        <v>111.31699999999999</v>
      </c>
      <c r="L43" s="1">
        <f>IF('baseline_mission_results (2)'!J43="","",'baseline_mission_results (2)'!J43)</f>
        <v>211.39699999999999</v>
      </c>
      <c r="M43" s="1">
        <f>IF('baseline_mission_results (2)'!K43="","",'baseline_mission_results (2)'!K43)</f>
        <v>182.82400000000001</v>
      </c>
      <c r="N43" s="1">
        <f>IF('baseline_mission_results (2)'!L43="","",'baseline_mission_results (2)'!L43)</f>
        <v>277.37900000000002</v>
      </c>
      <c r="O43" s="3">
        <f t="shared" si="2"/>
        <v>278.38499999999999</v>
      </c>
      <c r="P43" s="3">
        <f t="shared" si="4"/>
        <v>278.38600000000002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tr">
        <f t="shared" si="3"/>
        <v>Baseline</v>
      </c>
      <c r="B44" s="1" t="str">
        <f>'baseline_mission_results (2)'!A44</f>
        <v>43</v>
      </c>
      <c r="C44" s="1" t="str">
        <f>"Baseline-"&amp;'baseline_mission_results (2)'!A44</f>
        <v>Baseline-43</v>
      </c>
      <c r="D44" s="1" t="b">
        <f>'baseline_mission_results (2)'!B44</f>
        <v>1</v>
      </c>
      <c r="E44" s="1">
        <f>'baseline_mission_results (2)'!C44</f>
        <v>0</v>
      </c>
      <c r="F44" s="1">
        <f>'baseline_mission_results (2)'!D44</f>
        <v>0</v>
      </c>
      <c r="G44" s="1">
        <f>IF('baseline_mission_results (2)'!E44="","",'baseline_mission_results (2)'!E44)</f>
        <v>280.57600000000002</v>
      </c>
      <c r="H44" s="1">
        <f>IF('baseline_mission_results (2)'!F44="","",'baseline_mission_results (2)'!F44)</f>
        <v>9.3849999999999998</v>
      </c>
      <c r="I44" s="1">
        <f>IF('baseline_mission_results (2)'!G44="","",'baseline_mission_results (2)'!G44)</f>
        <v>280.57400000000001</v>
      </c>
      <c r="J44" s="1">
        <f>IF('baseline_mission_results (2)'!H44="","",'baseline_mission_results (2)'!H44)</f>
        <v>13.553000000000001</v>
      </c>
      <c r="K44" s="1">
        <f>IF('baseline_mission_results (2)'!I44="","",'baseline_mission_results (2)'!I44)</f>
        <v>112.72199999999999</v>
      </c>
      <c r="L44" s="1">
        <f>IF('baseline_mission_results (2)'!J44="","",'baseline_mission_results (2)'!J44)</f>
        <v>213.745</v>
      </c>
      <c r="M44" s="1">
        <f>IF('baseline_mission_results (2)'!K44="","",'baseline_mission_results (2)'!K44)</f>
        <v>185.02799999999999</v>
      </c>
      <c r="N44" s="1">
        <f>IF('baseline_mission_results (2)'!L44="","",'baseline_mission_results (2)'!L44)</f>
        <v>279.56900000000002</v>
      </c>
      <c r="O44" s="3">
        <f t="shared" si="2"/>
        <v>280.57400000000001</v>
      </c>
      <c r="P44" s="3">
        <f t="shared" si="4"/>
        <v>280.57600000000002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45" x14ac:dyDescent="0.25">
      <c r="A45" s="1" t="str">
        <f t="shared" si="3"/>
        <v>Baseline</v>
      </c>
      <c r="B45" s="1" t="str">
        <f>'baseline_mission_results (2)'!A45</f>
        <v>44</v>
      </c>
      <c r="C45" s="1" t="str">
        <f>"Baseline-"&amp;'baseline_mission_results (2)'!A45</f>
        <v>Baseline-44</v>
      </c>
      <c r="D45" s="1" t="b">
        <f>'baseline_mission_results (2)'!B45</f>
        <v>0</v>
      </c>
      <c r="E45" s="1" t="str">
        <f>'baseline_mission_results (2)'!C45</f>
        <v>run_timeout</v>
      </c>
      <c r="F45" s="1" t="str">
        <f>'baseline_mission_results (2)'!D45</f>
        <v>Robot did not return to charging while trolley remained in orange drop-off before timeout,</v>
      </c>
      <c r="G45" s="1">
        <f>IF('baseline_mission_results (2)'!E45="","",'baseline_mission_results (2)'!E45)</f>
        <v>420.01900000000001</v>
      </c>
      <c r="H45" s="1">
        <f>IF('baseline_mission_results (2)'!F45="","",'baseline_mission_results (2)'!F45)</f>
        <v>9.5350000000000001</v>
      </c>
      <c r="I45" s="1" t="str">
        <f>IF('baseline_mission_results (2)'!G45="","",'baseline_mission_results (2)'!G45)</f>
        <v/>
      </c>
      <c r="J45" s="1">
        <f>IF('baseline_mission_results (2)'!H45="","",'baseline_mission_results (2)'!H45)</f>
        <v>11.7</v>
      </c>
      <c r="K45" s="1">
        <f>IF('baseline_mission_results (2)'!I45="","",'baseline_mission_results (2)'!I45)</f>
        <v>107.051</v>
      </c>
      <c r="L45" s="1">
        <f>IF('baseline_mission_results (2)'!J45="","",'baseline_mission_results (2)'!J45)</f>
        <v>209.64699999999999</v>
      </c>
      <c r="M45" s="1">
        <f>IF('baseline_mission_results (2)'!K45="","",'baseline_mission_results (2)'!K45)</f>
        <v>180.173</v>
      </c>
      <c r="N45" s="1">
        <f>IF('baseline_mission_results (2)'!L45="","",'baseline_mission_results (2)'!L45)</f>
        <v>275.221</v>
      </c>
      <c r="O45" s="3" t="str">
        <f t="shared" si="2"/>
        <v/>
      </c>
      <c r="P45" s="3">
        <f t="shared" si="4"/>
        <v>420.01900000000001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tr">
        <f t="shared" si="3"/>
        <v>Baseline</v>
      </c>
      <c r="B46" s="1" t="str">
        <f>'baseline_mission_results (2)'!A46</f>
        <v>45</v>
      </c>
      <c r="C46" s="1" t="str">
        <f>"Baseline-"&amp;'baseline_mission_results (2)'!A46</f>
        <v>Baseline-45</v>
      </c>
      <c r="D46" s="1" t="b">
        <f>'baseline_mission_results (2)'!B46</f>
        <v>1</v>
      </c>
      <c r="E46" s="1">
        <f>'baseline_mission_results (2)'!C46</f>
        <v>0</v>
      </c>
      <c r="F46" s="1">
        <f>'baseline_mission_results (2)'!D46</f>
        <v>0</v>
      </c>
      <c r="G46" s="1">
        <f>IF('baseline_mission_results (2)'!E46="","",'baseline_mission_results (2)'!E46)</f>
        <v>275.76799999999997</v>
      </c>
      <c r="H46" s="1">
        <f>IF('baseline_mission_results (2)'!F46="","",'baseline_mission_results (2)'!F46)</f>
        <v>9.2810000000000006</v>
      </c>
      <c r="I46" s="1">
        <f>IF('baseline_mission_results (2)'!G46="","",'baseline_mission_results (2)'!G46)</f>
        <v>275.76600000000002</v>
      </c>
      <c r="J46" s="1">
        <f>IF('baseline_mission_results (2)'!H46="","",'baseline_mission_results (2)'!H46)</f>
        <v>12.231</v>
      </c>
      <c r="K46" s="1">
        <f>IF('baseline_mission_results (2)'!I46="","",'baseline_mission_results (2)'!I46)</f>
        <v>109.703</v>
      </c>
      <c r="L46" s="1">
        <f>IF('baseline_mission_results (2)'!J46="","",'baseline_mission_results (2)'!J46)</f>
        <v>209.03100000000001</v>
      </c>
      <c r="M46" s="1">
        <f>IF('baseline_mission_results (2)'!K46="","",'baseline_mission_results (2)'!K46)</f>
        <v>181.72200000000001</v>
      </c>
      <c r="N46" s="1">
        <f>IF('baseline_mission_results (2)'!L46="","",'baseline_mission_results (2)'!L46)</f>
        <v>274.76</v>
      </c>
      <c r="O46" s="3">
        <f t="shared" si="2"/>
        <v>275.76600000000002</v>
      </c>
      <c r="P46" s="3">
        <f t="shared" si="4"/>
        <v>275.76799999999997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tr">
        <f t="shared" si="3"/>
        <v>Baseline</v>
      </c>
      <c r="B47" s="1" t="str">
        <f>'baseline_mission_results (2)'!A47</f>
        <v>46</v>
      </c>
      <c r="C47" s="1" t="str">
        <f>"Baseline-"&amp;'baseline_mission_results (2)'!A47</f>
        <v>Baseline-46</v>
      </c>
      <c r="D47" s="1" t="b">
        <f>'baseline_mission_results (2)'!B47</f>
        <v>1</v>
      </c>
      <c r="E47" s="1">
        <f>'baseline_mission_results (2)'!C47</f>
        <v>0</v>
      </c>
      <c r="F47" s="1">
        <f>'baseline_mission_results (2)'!D47</f>
        <v>0</v>
      </c>
      <c r="G47" s="1">
        <f>IF('baseline_mission_results (2)'!E47="","",'baseline_mission_results (2)'!E47)</f>
        <v>290.41000000000003</v>
      </c>
      <c r="H47" s="1">
        <f>IF('baseline_mission_results (2)'!F47="","",'baseline_mission_results (2)'!F47)</f>
        <v>9.3819999999999997</v>
      </c>
      <c r="I47" s="1">
        <f>IF('baseline_mission_results (2)'!G47="","",'baseline_mission_results (2)'!G47)</f>
        <v>290.40800000000002</v>
      </c>
      <c r="J47" s="1">
        <f>IF('baseline_mission_results (2)'!H47="","",'baseline_mission_results (2)'!H47)</f>
        <v>12.3</v>
      </c>
      <c r="K47" s="1">
        <f>IF('baseline_mission_results (2)'!I47="","",'baseline_mission_results (2)'!I47)</f>
        <v>116.9</v>
      </c>
      <c r="L47" s="1">
        <f>IF('baseline_mission_results (2)'!J47="","",'baseline_mission_results (2)'!J47)</f>
        <v>224.321</v>
      </c>
      <c r="M47" s="1">
        <f>IF('baseline_mission_results (2)'!K47="","",'baseline_mission_results (2)'!K47)</f>
        <v>193.84100000000001</v>
      </c>
      <c r="N47" s="1">
        <f>IF('baseline_mission_results (2)'!L47="","",'baseline_mission_results (2)'!L47)</f>
        <v>289.40300000000002</v>
      </c>
      <c r="O47" s="3">
        <f t="shared" si="2"/>
        <v>290.40800000000002</v>
      </c>
      <c r="P47" s="3">
        <f t="shared" si="4"/>
        <v>290.41000000000003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tr">
        <f t="shared" si="3"/>
        <v>Baseline</v>
      </c>
      <c r="B48" s="1" t="str">
        <f>'baseline_mission_results (2)'!A48</f>
        <v>47</v>
      </c>
      <c r="C48" s="1" t="str">
        <f>"Baseline-"&amp;'baseline_mission_results (2)'!A48</f>
        <v>Baseline-47</v>
      </c>
      <c r="D48" s="1" t="b">
        <f>'baseline_mission_results (2)'!B48</f>
        <v>1</v>
      </c>
      <c r="E48" s="1">
        <f>'baseline_mission_results (2)'!C48</f>
        <v>0</v>
      </c>
      <c r="F48" s="1">
        <f>'baseline_mission_results (2)'!D48</f>
        <v>0</v>
      </c>
      <c r="G48" s="1">
        <f>IF('baseline_mission_results (2)'!E48="","",'baseline_mission_results (2)'!E48)</f>
        <v>280.512</v>
      </c>
      <c r="H48" s="1">
        <f>IF('baseline_mission_results (2)'!F48="","",'baseline_mission_results (2)'!F48)</f>
        <v>9.4359999999999999</v>
      </c>
      <c r="I48" s="1">
        <f>IF('baseline_mission_results (2)'!G48="","",'baseline_mission_results (2)'!G48)</f>
        <v>280.51</v>
      </c>
      <c r="J48" s="1">
        <f>IF('baseline_mission_results (2)'!H48="","",'baseline_mission_results (2)'!H48)</f>
        <v>12.459</v>
      </c>
      <c r="K48" s="1">
        <f>IF('baseline_mission_results (2)'!I48="","",'baseline_mission_results (2)'!I48)</f>
        <v>111.285</v>
      </c>
      <c r="L48" s="1">
        <f>IF('baseline_mission_results (2)'!J48="","",'baseline_mission_results (2)'!J48)</f>
        <v>213.27099999999999</v>
      </c>
      <c r="M48" s="1">
        <f>IF('baseline_mission_results (2)'!K48="","",'baseline_mission_results (2)'!K48)</f>
        <v>184.45</v>
      </c>
      <c r="N48" s="1">
        <f>IF('baseline_mission_results (2)'!L48="","",'baseline_mission_results (2)'!L48)</f>
        <v>279.50400000000002</v>
      </c>
      <c r="O48" s="3">
        <f t="shared" si="2"/>
        <v>280.51</v>
      </c>
      <c r="P48" s="3">
        <f t="shared" si="4"/>
        <v>280.512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75" x14ac:dyDescent="0.25">
      <c r="A49" s="1" t="str">
        <f t="shared" si="3"/>
        <v>Baseline</v>
      </c>
      <c r="B49" s="1" t="str">
        <f>'baseline_mission_results (2)'!A49</f>
        <v>48</v>
      </c>
      <c r="C49" s="1" t="str">
        <f>"Baseline-"&amp;'baseline_mission_results (2)'!A49</f>
        <v>Baseline-48</v>
      </c>
      <c r="D49" s="1" t="b">
        <f>'baseline_mission_results (2)'!B49</f>
        <v>0</v>
      </c>
      <c r="E49" s="1" t="str">
        <f>'baseline_mission_results (2)'!C49</f>
        <v>local_target_timeout</v>
      </c>
      <c r="F49" s="1" t="str">
        <f>'baseline_mission_results (2)'!D49</f>
        <v>[python3-22] [ERROR] [1779414155,833962452] [nav2_trolley_mission_controller]: Local target 'pickup exit lane' timed out: distance=0,026, yaw=+0,31 deg</v>
      </c>
      <c r="G49" s="1">
        <f>IF('baseline_mission_results (2)'!E49="","",'baseline_mission_results (2)'!E49)</f>
        <v>165.852</v>
      </c>
      <c r="H49" s="1">
        <f>IF('baseline_mission_results (2)'!F49="","",'baseline_mission_results (2)'!F49)</f>
        <v>9.5380000000000003</v>
      </c>
      <c r="I49" s="1" t="str">
        <f>IF('baseline_mission_results (2)'!G49="","",'baseline_mission_results (2)'!G49)</f>
        <v/>
      </c>
      <c r="J49" s="1">
        <f>IF('baseline_mission_results (2)'!H49="","",'baseline_mission_results (2)'!H49)</f>
        <v>11.704000000000001</v>
      </c>
      <c r="K49" s="1">
        <f>IF('baseline_mission_results (2)'!I49="","",'baseline_mission_results (2)'!I49)</f>
        <v>120.696</v>
      </c>
      <c r="L49" s="1" t="str">
        <f>IF('baseline_mission_results (2)'!J49="","",'baseline_mission_results (2)'!J49)</f>
        <v/>
      </c>
      <c r="M49" s="1" t="str">
        <f>IF('baseline_mission_results (2)'!K49="","",'baseline_mission_results (2)'!K49)</f>
        <v/>
      </c>
      <c r="N49" s="1" t="str">
        <f>IF('baseline_mission_results (2)'!L49="","",'baseline_mission_results (2)'!L49)</f>
        <v/>
      </c>
      <c r="O49" s="3" t="str">
        <f t="shared" si="2"/>
        <v/>
      </c>
      <c r="P49" s="3">
        <f t="shared" si="4"/>
        <v>165.852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tr">
        <f t="shared" si="3"/>
        <v>Baseline</v>
      </c>
      <c r="B50" s="1" t="str">
        <f>'baseline_mission_results (2)'!A50</f>
        <v>49</v>
      </c>
      <c r="C50" s="1" t="str">
        <f>"Baseline-"&amp;'baseline_mission_results (2)'!A50</f>
        <v>Baseline-49</v>
      </c>
      <c r="D50" s="1" t="b">
        <f>'baseline_mission_results (2)'!B50</f>
        <v>1</v>
      </c>
      <c r="E50" s="1">
        <f>'baseline_mission_results (2)'!C50</f>
        <v>0</v>
      </c>
      <c r="F50" s="1">
        <f>'baseline_mission_results (2)'!D50</f>
        <v>0</v>
      </c>
      <c r="G50" s="1">
        <f>IF('baseline_mission_results (2)'!E50="","",'baseline_mission_results (2)'!E50)</f>
        <v>285.02699999999999</v>
      </c>
      <c r="H50" s="1">
        <f>IF('baseline_mission_results (2)'!F50="","",'baseline_mission_results (2)'!F50)</f>
        <v>9.5340000000000007</v>
      </c>
      <c r="I50" s="1">
        <f>IF('baseline_mission_results (2)'!G50="","",'baseline_mission_results (2)'!G50)</f>
        <v>285.02600000000001</v>
      </c>
      <c r="J50" s="1">
        <f>IF('baseline_mission_results (2)'!H50="","",'baseline_mission_results (2)'!H50)</f>
        <v>12.449</v>
      </c>
      <c r="K50" s="1">
        <f>IF('baseline_mission_results (2)'!I50="","",'baseline_mission_results (2)'!I50)</f>
        <v>107.392</v>
      </c>
      <c r="L50" s="1">
        <f>IF('baseline_mission_results (2)'!J50="","",'baseline_mission_results (2)'!J50)</f>
        <v>218.48500000000001</v>
      </c>
      <c r="M50" s="1">
        <f>IF('baseline_mission_results (2)'!K50="","",'baseline_mission_results (2)'!K50)</f>
        <v>188.458</v>
      </c>
      <c r="N50" s="1">
        <f>IF('baseline_mission_results (2)'!L50="","",'baseline_mission_results (2)'!L50)</f>
        <v>284.01799999999997</v>
      </c>
      <c r="O50" s="3">
        <f t="shared" si="2"/>
        <v>285.02600000000001</v>
      </c>
      <c r="P50" s="3">
        <f t="shared" si="4"/>
        <v>285.02699999999999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45" x14ac:dyDescent="0.25">
      <c r="A51" s="1" t="str">
        <f t="shared" si="3"/>
        <v>Baseline</v>
      </c>
      <c r="B51" s="1" t="str">
        <f>'baseline_mission_results (2)'!A51</f>
        <v>50</v>
      </c>
      <c r="C51" s="1" t="str">
        <f>"Baseline-"&amp;'baseline_mission_results (2)'!A51</f>
        <v>Baseline-50</v>
      </c>
      <c r="D51" s="1" t="b">
        <f>'baseline_mission_results (2)'!B51</f>
        <v>0</v>
      </c>
      <c r="E51" s="1" t="str">
        <f>'baseline_mission_results (2)'!C51</f>
        <v>run_timeout</v>
      </c>
      <c r="F51" s="1" t="str">
        <f>'baseline_mission_results (2)'!D51</f>
        <v>Robot did not return to charging while trolley remained in orange drop-off before timeout,</v>
      </c>
      <c r="G51" s="1">
        <f>IF('baseline_mission_results (2)'!E51="","",'baseline_mission_results (2)'!E51)</f>
        <v>420.036</v>
      </c>
      <c r="H51" s="1">
        <f>IF('baseline_mission_results (2)'!F51="","",'baseline_mission_results (2)'!F51)</f>
        <v>9.4339999999999993</v>
      </c>
      <c r="I51" s="1" t="str">
        <f>IF('baseline_mission_results (2)'!G51="","",'baseline_mission_results (2)'!G51)</f>
        <v/>
      </c>
      <c r="J51" s="1">
        <f>IF('baseline_mission_results (2)'!H51="","",'baseline_mission_results (2)'!H51)</f>
        <v>13.169</v>
      </c>
      <c r="K51" s="1">
        <f>IF('baseline_mission_results (2)'!I51="","",'baseline_mission_results (2)'!I51)</f>
        <v>113.447</v>
      </c>
      <c r="L51" s="1">
        <f>IF('baseline_mission_results (2)'!J51="","",'baseline_mission_results (2)'!J51)</f>
        <v>217.792</v>
      </c>
      <c r="M51" s="1">
        <f>IF('baseline_mission_results (2)'!K51="","",'baseline_mission_results (2)'!K51)</f>
        <v>188.67699999999999</v>
      </c>
      <c r="N51" s="1">
        <f>IF('baseline_mission_results (2)'!L51="","",'baseline_mission_results (2)'!L51)</f>
        <v>282.71300000000002</v>
      </c>
      <c r="O51" s="3" t="str">
        <f t="shared" si="2"/>
        <v/>
      </c>
      <c r="P51" s="3">
        <f t="shared" si="4"/>
        <v>420.036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30" x14ac:dyDescent="0.25">
      <c r="A52" s="1" t="str">
        <f t="shared" ref="A52:A76" si="5">"Baseline with ArUco"</f>
        <v>Baseline with ArUco</v>
      </c>
      <c r="B52" s="1" t="str">
        <f>baseline_mission_results_with_a!A2</f>
        <v>1</v>
      </c>
      <c r="C52" s="1" t="str">
        <f>"ArUco-"&amp;baseline_mission_results_with_a!A2</f>
        <v>ArUco-1</v>
      </c>
      <c r="D52" s="1" t="b">
        <f>baseline_mission_results_with_a!B2</f>
        <v>1</v>
      </c>
      <c r="E52" s="1">
        <f>baseline_mission_results_with_a!C2</f>
        <v>0</v>
      </c>
      <c r="F52" s="1">
        <f>baseline_mission_results_with_a!D2</f>
        <v>0</v>
      </c>
      <c r="G52" s="3">
        <f>IF(baseline_mission_results_with_a!E2="","",baseline_mission_results_with_a!E2)</f>
        <v>266.31299999999999</v>
      </c>
      <c r="H52" s="3">
        <f>IF(baseline_mission_results_with_a!F2="","",baseline_mission_results_with_a!F2)</f>
        <v>9.8330000000000002</v>
      </c>
      <c r="I52" s="3">
        <f>IF(baseline_mission_results_with_a!G2="","",baseline_mission_results_with_a!G2)</f>
        <v>266.30900000000003</v>
      </c>
      <c r="J52" s="3">
        <f>IF(baseline_mission_results_with_a!H2="","",baseline_mission_results_with_a!H2)</f>
        <v>12.000999999999999</v>
      </c>
      <c r="K52" s="3">
        <f>IF(baseline_mission_results_with_a!I2="","",baseline_mission_results_with_a!I2)</f>
        <v>128.27799999999999</v>
      </c>
      <c r="L52" s="3">
        <f>IF(baseline_mission_results_with_a!J2="","",baseline_mission_results_with_a!J2)</f>
        <v>199.24700000000001</v>
      </c>
      <c r="M52" s="3">
        <f>IF(baseline_mission_results_with_a!K2="","",baseline_mission_results_with_a!K2)</f>
        <v>169.131</v>
      </c>
      <c r="N52" s="3">
        <f>IF(baseline_mission_results_with_a!L2="","",baseline_mission_results_with_a!L2)</f>
        <v>265.3</v>
      </c>
      <c r="O52" s="3">
        <f t="shared" si="2"/>
        <v>266.30900000000003</v>
      </c>
      <c r="P52" s="3">
        <f t="shared" si="4"/>
        <v>266.31299999999999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30" x14ac:dyDescent="0.25">
      <c r="A53" s="1" t="str">
        <f t="shared" si="5"/>
        <v>Baseline with ArUco</v>
      </c>
      <c r="B53" s="1" t="str">
        <f>baseline_mission_results_with_a!A3</f>
        <v>2</v>
      </c>
      <c r="C53" s="1" t="str">
        <f>"ArUco-"&amp;baseline_mission_results_with_a!A3</f>
        <v>ArUco-2</v>
      </c>
      <c r="D53" s="1" t="b">
        <f>baseline_mission_results_with_a!B3</f>
        <v>1</v>
      </c>
      <c r="E53" s="1">
        <f>baseline_mission_results_with_a!C3</f>
        <v>0</v>
      </c>
      <c r="F53" s="1">
        <f>baseline_mission_results_with_a!D3</f>
        <v>0</v>
      </c>
      <c r="G53" s="3">
        <f>IF(baseline_mission_results_with_a!E3="","",baseline_mission_results_with_a!E3)</f>
        <v>261.53800000000001</v>
      </c>
      <c r="H53" s="3">
        <f>IF(baseline_mission_results_with_a!F3="","",baseline_mission_results_with_a!F3)</f>
        <v>9.7850000000000001</v>
      </c>
      <c r="I53" s="3">
        <f>IF(baseline_mission_results_with_a!G3="","",baseline_mission_results_with_a!G3)</f>
        <v>261.53500000000003</v>
      </c>
      <c r="J53" s="3">
        <f>IF(baseline_mission_results_with_a!H3="","",baseline_mission_results_with_a!H3)</f>
        <v>14.757999999999999</v>
      </c>
      <c r="K53" s="3">
        <f>IF(baseline_mission_results_with_a!I3="","",baseline_mission_results_with_a!I3)</f>
        <v>127.565</v>
      </c>
      <c r="L53" s="3">
        <f>IF(baseline_mission_results_with_a!J3="","",baseline_mission_results_with_a!J3)</f>
        <v>194.59899999999999</v>
      </c>
      <c r="M53" s="3">
        <f>IF(baseline_mission_results_with_a!K3="","",baseline_mission_results_with_a!K3)</f>
        <v>168.358</v>
      </c>
      <c r="N53" s="3">
        <f>IF(baseline_mission_results_with_a!L3="","",baseline_mission_results_with_a!L3)</f>
        <v>260.52800000000002</v>
      </c>
      <c r="O53" s="3">
        <f t="shared" si="2"/>
        <v>261.53500000000003</v>
      </c>
      <c r="P53" s="3">
        <f t="shared" si="4"/>
        <v>261.53800000000001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30" x14ac:dyDescent="0.25">
      <c r="A54" s="1" t="str">
        <f t="shared" si="5"/>
        <v>Baseline with ArUco</v>
      </c>
      <c r="B54" s="1" t="str">
        <f>baseline_mission_results_with_a!A4</f>
        <v>3</v>
      </c>
      <c r="C54" s="1" t="str">
        <f>"ArUco-"&amp;baseline_mission_results_with_a!A4</f>
        <v>ArUco-3</v>
      </c>
      <c r="D54" s="1" t="b">
        <f>baseline_mission_results_with_a!B4</f>
        <v>1</v>
      </c>
      <c r="E54" s="1">
        <f>baseline_mission_results_with_a!C4</f>
        <v>0</v>
      </c>
      <c r="F54" s="1">
        <f>baseline_mission_results_with_a!D4</f>
        <v>0</v>
      </c>
      <c r="G54" s="3">
        <f>IF(baseline_mission_results_with_a!E4="","",baseline_mission_results_with_a!E4)</f>
        <v>265.00099999999998</v>
      </c>
      <c r="H54" s="3">
        <f>IF(baseline_mission_results_with_a!F4="","",baseline_mission_results_with_a!F4)</f>
        <v>9.7349999999999994</v>
      </c>
      <c r="I54" s="3">
        <f>IF(baseline_mission_results_with_a!G4="","",baseline_mission_results_with_a!G4)</f>
        <v>264.99900000000002</v>
      </c>
      <c r="J54" s="3">
        <f>IF(baseline_mission_results_with_a!H4="","",baseline_mission_results_with_a!H4)</f>
        <v>12.156000000000001</v>
      </c>
      <c r="K54" s="3">
        <f>IF(baseline_mission_results_with_a!I4="","",baseline_mission_results_with_a!I4)</f>
        <v>127.807</v>
      </c>
      <c r="L54" s="3">
        <f>IF(baseline_mission_results_with_a!J4="","",baseline_mission_results_with_a!J4)</f>
        <v>198.572</v>
      </c>
      <c r="M54" s="3">
        <f>IF(baseline_mission_results_with_a!K4="","",baseline_mission_results_with_a!K4)</f>
        <v>168.80199999999999</v>
      </c>
      <c r="N54" s="3">
        <f>IF(baseline_mission_results_with_a!L4="","",baseline_mission_results_with_a!L4)</f>
        <v>263.99099999999999</v>
      </c>
      <c r="O54" s="3">
        <f t="shared" si="2"/>
        <v>264.99900000000002</v>
      </c>
      <c r="P54" s="3">
        <f t="shared" si="4"/>
        <v>265.00099999999998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75" x14ac:dyDescent="0.25">
      <c r="A55" s="1" t="str">
        <f t="shared" si="5"/>
        <v>Baseline with ArUco</v>
      </c>
      <c r="B55" s="1" t="str">
        <f>baseline_mission_results_with_a!A5</f>
        <v>4</v>
      </c>
      <c r="C55" s="1" t="str">
        <f>"ArUco-"&amp;baseline_mission_results_with_a!A5</f>
        <v>ArUco-4</v>
      </c>
      <c r="D55" s="1" t="b">
        <f>baseline_mission_results_with_a!B5</f>
        <v>0</v>
      </c>
      <c r="E55" s="1" t="str">
        <f>baseline_mission_results_with_a!C5</f>
        <v>local_target_timeout</v>
      </c>
      <c r="F55" s="1" t="str">
        <f>baseline_mission_results_with_a!D5</f>
        <v>[python3-22] [ERROR] [1783093847.752841244] [nav2_trolley_mission_controller]: Local target 'drop-off center' timed out: distance=0.029, yaw=+5.26 deg</v>
      </c>
      <c r="G55" s="3">
        <f>IF(baseline_mission_results_with_a!E5="","",baseline_mission_results_with_a!E5)</f>
        <v>215.21299999999999</v>
      </c>
      <c r="H55" s="3">
        <f>IF(baseline_mission_results_with_a!F5="","",baseline_mission_results_with_a!F5)</f>
        <v>9.7889999999999997</v>
      </c>
      <c r="I55" s="3" t="str">
        <f>IF(baseline_mission_results_with_a!G5="","",baseline_mission_results_with_a!G5)</f>
        <v/>
      </c>
      <c r="J55" s="3">
        <f>IF(baseline_mission_results_with_a!H5="","",baseline_mission_results_with_a!H5)</f>
        <v>17.462</v>
      </c>
      <c r="K55" s="3">
        <f>IF(baseline_mission_results_with_a!I5="","",baseline_mission_results_with_a!I5)</f>
        <v>131.30600000000001</v>
      </c>
      <c r="L55" s="3" t="str">
        <f>IF(baseline_mission_results_with_a!J5="","",baseline_mission_results_with_a!J5)</f>
        <v/>
      </c>
      <c r="M55" s="3">
        <f>IF(baseline_mission_results_with_a!K5="","",baseline_mission_results_with_a!K5)</f>
        <v>175.62</v>
      </c>
      <c r="N55" s="3" t="str">
        <f>IF(baseline_mission_results_with_a!L5="","",baseline_mission_results_with_a!L5)</f>
        <v/>
      </c>
      <c r="O55" s="3" t="str">
        <f t="shared" si="2"/>
        <v/>
      </c>
      <c r="P55" s="3">
        <f t="shared" si="4"/>
        <v>215.21299999999999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75" x14ac:dyDescent="0.25">
      <c r="A56" s="1" t="str">
        <f t="shared" si="5"/>
        <v>Baseline with ArUco</v>
      </c>
      <c r="B56" s="1" t="str">
        <f>baseline_mission_results_with_a!A6</f>
        <v>5</v>
      </c>
      <c r="C56" s="1" t="str">
        <f>"ArUco-"&amp;baseline_mission_results_with_a!A6</f>
        <v>ArUco-5</v>
      </c>
      <c r="D56" s="1" t="b">
        <f>baseline_mission_results_with_a!B6</f>
        <v>0</v>
      </c>
      <c r="E56" s="1" t="str">
        <f>baseline_mission_results_with_a!C6</f>
        <v>local_target_timeout</v>
      </c>
      <c r="F56" s="1" t="str">
        <f>baseline_mission_results_with_a!D6</f>
        <v>[python3-22] [ERROR] [1783094053.707800312] [nav2_trolley_mission_controller]: Local target 'drop-off center' timed out: distance=0.028, yaw=+1.86 deg</v>
      </c>
      <c r="G56" s="3">
        <f>IF(baseline_mission_results_with_a!E6="","",baseline_mission_results_with_a!E6)</f>
        <v>205.101</v>
      </c>
      <c r="H56" s="3">
        <f>IF(baseline_mission_results_with_a!F6="","",baseline_mission_results_with_a!F6)</f>
        <v>9.8840000000000003</v>
      </c>
      <c r="I56" s="3" t="str">
        <f>IF(baseline_mission_results_with_a!G6="","",baseline_mission_results_with_a!G6)</f>
        <v/>
      </c>
      <c r="J56" s="3">
        <f>IF(baseline_mission_results_with_a!H6="","",baseline_mission_results_with_a!H6)</f>
        <v>12.05</v>
      </c>
      <c r="K56" s="3">
        <f>IF(baseline_mission_results_with_a!I6="","",baseline_mission_results_with_a!I6)</f>
        <v>125.726</v>
      </c>
      <c r="L56" s="3" t="str">
        <f>IF(baseline_mission_results_with_a!J6="","",baseline_mission_results_with_a!J6)</f>
        <v/>
      </c>
      <c r="M56" s="3">
        <f>IF(baseline_mission_results_with_a!K6="","",baseline_mission_results_with_a!K6)</f>
        <v>165.66200000000001</v>
      </c>
      <c r="N56" s="3" t="str">
        <f>IF(baseline_mission_results_with_a!L6="","",baseline_mission_results_with_a!L6)</f>
        <v/>
      </c>
      <c r="O56" s="3" t="str">
        <f t="shared" si="2"/>
        <v/>
      </c>
      <c r="P56" s="3">
        <f t="shared" si="4"/>
        <v>205.101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30" x14ac:dyDescent="0.25">
      <c r="A57" s="1" t="str">
        <f t="shared" si="5"/>
        <v>Baseline with ArUco</v>
      </c>
      <c r="B57" s="1" t="str">
        <f>baseline_mission_results_with_a!A7</f>
        <v>6</v>
      </c>
      <c r="C57" s="1" t="str">
        <f>"ArUco-"&amp;baseline_mission_results_with_a!A7</f>
        <v>ArUco-6</v>
      </c>
      <c r="D57" s="1" t="b">
        <f>baseline_mission_results_with_a!B7</f>
        <v>1</v>
      </c>
      <c r="E57" s="1">
        <f>baseline_mission_results_with_a!C7</f>
        <v>0</v>
      </c>
      <c r="F57" s="1">
        <f>baseline_mission_results_with_a!D7</f>
        <v>0</v>
      </c>
      <c r="G57" s="3">
        <f>IF(baseline_mission_results_with_a!E7="","",baseline_mission_results_with_a!E7)</f>
        <v>258.70999999999998</v>
      </c>
      <c r="H57" s="3">
        <f>IF(baseline_mission_results_with_a!F7="","",baseline_mission_results_with_a!F7)</f>
        <v>9.8849999999999998</v>
      </c>
      <c r="I57" s="3">
        <f>IF(baseline_mission_results_with_a!G7="","",baseline_mission_results_with_a!G7)</f>
        <v>258.70800000000003</v>
      </c>
      <c r="J57" s="3">
        <f>IF(baseline_mission_results_with_a!H7="","",baseline_mission_results_with_a!H7)</f>
        <v>14.411</v>
      </c>
      <c r="K57" s="3">
        <f>IF(baseline_mission_results_with_a!I7="","",baseline_mission_results_with_a!I7)</f>
        <v>125.08199999999999</v>
      </c>
      <c r="L57" s="3">
        <f>IF(baseline_mission_results_with_a!J7="","",baseline_mission_results_with_a!J7)</f>
        <v>191.971</v>
      </c>
      <c r="M57" s="3">
        <f>IF(baseline_mission_results_with_a!K7="","",baseline_mission_results_with_a!K7)</f>
        <v>165.023</v>
      </c>
      <c r="N57" s="3">
        <f>IF(baseline_mission_results_with_a!L7="","",baseline_mission_results_with_a!L7)</f>
        <v>257.70100000000002</v>
      </c>
      <c r="O57" s="3">
        <f t="shared" si="2"/>
        <v>258.70800000000003</v>
      </c>
      <c r="P57" s="3">
        <f t="shared" si="4"/>
        <v>258.70999999999998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30" x14ac:dyDescent="0.25">
      <c r="A58" s="1" t="str">
        <f t="shared" si="5"/>
        <v>Baseline with ArUco</v>
      </c>
      <c r="B58" s="1" t="str">
        <f>baseline_mission_results_with_a!A8</f>
        <v>7</v>
      </c>
      <c r="C58" s="1" t="str">
        <f>"ArUco-"&amp;baseline_mission_results_with_a!A8</f>
        <v>ArUco-7</v>
      </c>
      <c r="D58" s="1" t="b">
        <f>baseline_mission_results_with_a!B8</f>
        <v>1</v>
      </c>
      <c r="E58" s="1">
        <f>baseline_mission_results_with_a!C8</f>
        <v>0</v>
      </c>
      <c r="F58" s="1">
        <f>baseline_mission_results_with_a!D8</f>
        <v>0</v>
      </c>
      <c r="G58" s="3">
        <f>IF(baseline_mission_results_with_a!E8="","",baseline_mission_results_with_a!E8)</f>
        <v>266.34899999999999</v>
      </c>
      <c r="H58" s="3">
        <f>IF(baseline_mission_results_with_a!F8="","",baseline_mission_results_with_a!F8)</f>
        <v>9.84</v>
      </c>
      <c r="I58" s="3">
        <f>IF(baseline_mission_results_with_a!G8="","",baseline_mission_results_with_a!G8)</f>
        <v>266.346</v>
      </c>
      <c r="J58" s="3">
        <f>IF(baseline_mission_results_with_a!H8="","",baseline_mission_results_with_a!H8)</f>
        <v>12.006</v>
      </c>
      <c r="K58" s="3">
        <f>IF(baseline_mission_results_with_a!I8="","",baseline_mission_results_with_a!I8)</f>
        <v>128.33199999999999</v>
      </c>
      <c r="L58" s="3">
        <f>IF(baseline_mission_results_with_a!J8="","",baseline_mission_results_with_a!J8)</f>
        <v>199.37</v>
      </c>
      <c r="M58" s="3">
        <f>IF(baseline_mission_results_with_a!K8="","",baseline_mission_results_with_a!K8)</f>
        <v>169.13300000000001</v>
      </c>
      <c r="N58" s="3">
        <f>IF(baseline_mission_results_with_a!L8="","",baseline_mission_results_with_a!L8)</f>
        <v>265.33800000000002</v>
      </c>
      <c r="O58" s="3">
        <f t="shared" si="2"/>
        <v>266.346</v>
      </c>
      <c r="P58" s="3">
        <f t="shared" si="4"/>
        <v>266.34899999999999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30" x14ac:dyDescent="0.25">
      <c r="A59" s="1" t="str">
        <f t="shared" si="5"/>
        <v>Baseline with ArUco</v>
      </c>
      <c r="B59" s="1" t="str">
        <f>baseline_mission_results_with_a!A9</f>
        <v>8</v>
      </c>
      <c r="C59" s="1" t="str">
        <f>"ArUco-"&amp;baseline_mission_results_with_a!A9</f>
        <v>ArUco-8</v>
      </c>
      <c r="D59" s="1" t="b">
        <f>baseline_mission_results_with_a!B9</f>
        <v>1</v>
      </c>
      <c r="E59" s="1">
        <f>baseline_mission_results_with_a!C9</f>
        <v>0</v>
      </c>
      <c r="F59" s="1">
        <f>baseline_mission_results_with_a!D9</f>
        <v>0</v>
      </c>
      <c r="G59" s="3">
        <f>IF(baseline_mission_results_with_a!E9="","",baseline_mission_results_with_a!E9)</f>
        <v>258.05500000000001</v>
      </c>
      <c r="H59" s="3">
        <f>IF(baseline_mission_results_with_a!F9="","",baseline_mission_results_with_a!F9)</f>
        <v>9.8369999999999997</v>
      </c>
      <c r="I59" s="3">
        <f>IF(baseline_mission_results_with_a!G9="","",baseline_mission_results_with_a!G9)</f>
        <v>258.053</v>
      </c>
      <c r="J59" s="3">
        <f>IF(baseline_mission_results_with_a!H9="","",baseline_mission_results_with_a!H9)</f>
        <v>13.257999999999999</v>
      </c>
      <c r="K59" s="3">
        <f>IF(baseline_mission_results_with_a!I9="","",baseline_mission_results_with_a!I9)</f>
        <v>123.789</v>
      </c>
      <c r="L59" s="3">
        <f>IF(baseline_mission_results_with_a!J9="","",baseline_mission_results_with_a!J9)</f>
        <v>191.22300000000001</v>
      </c>
      <c r="M59" s="3">
        <f>IF(baseline_mission_results_with_a!K9="","",baseline_mission_results_with_a!K9)</f>
        <v>163.87299999999999</v>
      </c>
      <c r="N59" s="3">
        <f>IF(baseline_mission_results_with_a!L9="","",baseline_mission_results_with_a!L9)</f>
        <v>257.04599999999999</v>
      </c>
      <c r="O59" s="3">
        <f t="shared" si="2"/>
        <v>258.053</v>
      </c>
      <c r="P59" s="3">
        <f t="shared" si="4"/>
        <v>258.05500000000001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45" x14ac:dyDescent="0.25">
      <c r="A60" s="1" t="str">
        <f t="shared" si="5"/>
        <v>Baseline with ArUco</v>
      </c>
      <c r="B60" s="1" t="str">
        <f>baseline_mission_results_with_a!A10</f>
        <v>9</v>
      </c>
      <c r="C60" s="1" t="str">
        <f>"ArUco-"&amp;baseline_mission_results_with_a!A10</f>
        <v>ArUco-9</v>
      </c>
      <c r="D60" s="1" t="b">
        <f>baseline_mission_results_with_a!B10</f>
        <v>0</v>
      </c>
      <c r="E60" s="1" t="str">
        <f>baseline_mission_results_with_a!C10</f>
        <v>run_timeout</v>
      </c>
      <c r="F60" s="1" t="str">
        <f>baseline_mission_results_with_a!D10</f>
        <v>Robot did not return to charging while trolley remained in orange drop-off before timeout.</v>
      </c>
      <c r="G60" s="3">
        <f>IF(baseline_mission_results_with_a!E10="","",baseline_mission_results_with_a!E10)</f>
        <v>420.04300000000001</v>
      </c>
      <c r="H60" s="3">
        <f>IF(baseline_mission_results_with_a!F10="","",baseline_mission_results_with_a!F10)</f>
        <v>9.6910000000000007</v>
      </c>
      <c r="I60" s="3" t="str">
        <f>IF(baseline_mission_results_with_a!G10="","",baseline_mission_results_with_a!G10)</f>
        <v/>
      </c>
      <c r="J60" s="3">
        <f>IF(baseline_mission_results_with_a!H10="","",baseline_mission_results_with_a!H10)</f>
        <v>12.407</v>
      </c>
      <c r="K60" s="3">
        <f>IF(baseline_mission_results_with_a!I10="","",baseline_mission_results_with_a!I10)</f>
        <v>176.66800000000001</v>
      </c>
      <c r="L60" s="3">
        <f>IF(baseline_mission_results_with_a!J10="","",baseline_mission_results_with_a!J10)</f>
        <v>251.566</v>
      </c>
      <c r="M60" s="3">
        <f>IF(baseline_mission_results_with_a!K10="","",baseline_mission_results_with_a!K10)</f>
        <v>222.45400000000001</v>
      </c>
      <c r="N60" s="3">
        <f>IF(baseline_mission_results_with_a!L10="","",baseline_mission_results_with_a!L10)</f>
        <v>317.62700000000001</v>
      </c>
      <c r="O60" s="3" t="str">
        <f t="shared" si="2"/>
        <v/>
      </c>
      <c r="P60" s="3">
        <f t="shared" si="4"/>
        <v>420.04300000000001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30" x14ac:dyDescent="0.25">
      <c r="A61" s="1" t="str">
        <f t="shared" si="5"/>
        <v>Baseline with ArUco</v>
      </c>
      <c r="B61" s="1" t="str">
        <f>baseline_mission_results_with_a!A11</f>
        <v>10</v>
      </c>
      <c r="C61" s="1" t="str">
        <f>"ArUco-"&amp;baseline_mission_results_with_a!A11</f>
        <v>ArUco-10</v>
      </c>
      <c r="D61" s="1" t="b">
        <f>baseline_mission_results_with_a!B11</f>
        <v>1</v>
      </c>
      <c r="E61" s="1">
        <f>baseline_mission_results_with_a!C11</f>
        <v>0</v>
      </c>
      <c r="F61" s="1">
        <f>baseline_mission_results_with_a!D11</f>
        <v>0</v>
      </c>
      <c r="G61" s="3">
        <f>IF(baseline_mission_results_with_a!E11="","",baseline_mission_results_with_a!E11)</f>
        <v>261.863</v>
      </c>
      <c r="H61" s="3">
        <f>IF(baseline_mission_results_with_a!F11="","",baseline_mission_results_with_a!F11)</f>
        <v>9.8919999999999995</v>
      </c>
      <c r="I61" s="3">
        <f>IF(baseline_mission_results_with_a!G11="","",baseline_mission_results_with_a!G11)</f>
        <v>261.86099999999999</v>
      </c>
      <c r="J61" s="3">
        <f>IF(baseline_mission_results_with_a!H11="","",baseline_mission_results_with_a!H11)</f>
        <v>12.058</v>
      </c>
      <c r="K61" s="3">
        <f>IF(baseline_mission_results_with_a!I11="","",baseline_mission_results_with_a!I11)</f>
        <v>125.377</v>
      </c>
      <c r="L61" s="3">
        <f>IF(baseline_mission_results_with_a!J11="","",baseline_mission_results_with_a!J11)</f>
        <v>195.38399999999999</v>
      </c>
      <c r="M61" s="3">
        <f>IF(baseline_mission_results_with_a!K11="","",baseline_mission_results_with_a!K11)</f>
        <v>165.16399999999999</v>
      </c>
      <c r="N61" s="3">
        <f>IF(baseline_mission_results_with_a!L11="","",baseline_mission_results_with_a!L11)</f>
        <v>260.85399999999998</v>
      </c>
      <c r="O61" s="3">
        <f t="shared" si="2"/>
        <v>261.86099999999999</v>
      </c>
      <c r="P61" s="3">
        <f t="shared" si="4"/>
        <v>261.863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75" x14ac:dyDescent="0.25">
      <c r="A62" s="1" t="str">
        <f t="shared" si="5"/>
        <v>Baseline with ArUco</v>
      </c>
      <c r="B62" s="1" t="str">
        <f>baseline_mission_results_with_a!A12</f>
        <v>11</v>
      </c>
      <c r="C62" s="1" t="str">
        <f>"ArUco-"&amp;baseline_mission_results_with_a!A12</f>
        <v>ArUco-11</v>
      </c>
      <c r="D62" s="1" t="b">
        <f>baseline_mission_results_with_a!B12</f>
        <v>0</v>
      </c>
      <c r="E62" s="1" t="str">
        <f>baseline_mission_results_with_a!C12</f>
        <v>local_target_timeout</v>
      </c>
      <c r="F62" s="1" t="str">
        <f>baseline_mission_results_with_a!D12</f>
        <v>[python3-22] [ERROR] [1783095725.510524969] [nav2_trolley_mission_controller]: Local target 'drop-off center' timed out: distance=0.029, yaw=+5.31 deg</v>
      </c>
      <c r="G62" s="3">
        <f>IF(baseline_mission_results_with_a!E12="","",baseline_mission_results_with_a!E12)</f>
        <v>203.16300000000001</v>
      </c>
      <c r="H62" s="3">
        <f>IF(baseline_mission_results_with_a!F12="","",baseline_mission_results_with_a!F12)</f>
        <v>9.9350000000000005</v>
      </c>
      <c r="I62" s="3" t="str">
        <f>IF(baseline_mission_results_with_a!G12="","",baseline_mission_results_with_a!G12)</f>
        <v/>
      </c>
      <c r="J62" s="3">
        <f>IF(baseline_mission_results_with_a!H12="","",baseline_mission_results_with_a!H12)</f>
        <v>12.102</v>
      </c>
      <c r="K62" s="3">
        <f>IF(baseline_mission_results_with_a!I12="","",baseline_mission_results_with_a!I12)</f>
        <v>124.374</v>
      </c>
      <c r="L62" s="3" t="str">
        <f>IF(baseline_mission_results_with_a!J12="","",baseline_mission_results_with_a!J12)</f>
        <v/>
      </c>
      <c r="M62" s="3">
        <f>IF(baseline_mission_results_with_a!K12="","",baseline_mission_results_with_a!K12)</f>
        <v>163.72</v>
      </c>
      <c r="N62" s="3" t="str">
        <f>IF(baseline_mission_results_with_a!L12="","",baseline_mission_results_with_a!L12)</f>
        <v/>
      </c>
      <c r="O62" s="3" t="str">
        <f>IF(D62=TRUE,I62,"")</f>
        <v/>
      </c>
      <c r="P62" s="3">
        <f t="shared" si="4"/>
        <v>203.16300000000001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75" x14ac:dyDescent="0.25">
      <c r="A63" s="1" t="str">
        <f t="shared" si="5"/>
        <v>Baseline with ArUco</v>
      </c>
      <c r="B63" s="1" t="str">
        <f>baseline_mission_results_with_a!A13</f>
        <v>12</v>
      </c>
      <c r="C63" s="1" t="str">
        <f>"ArUco-"&amp;baseline_mission_results_with_a!A13</f>
        <v>ArUco-12</v>
      </c>
      <c r="D63" s="1" t="b">
        <f>baseline_mission_results_with_a!B13</f>
        <v>0</v>
      </c>
      <c r="E63" s="1" t="str">
        <f>baseline_mission_results_with_a!C13</f>
        <v>holonomic_goal_timeout</v>
      </c>
      <c r="F63" s="1" t="str">
        <f>baseline_mission_results_with_a!D13</f>
        <v>[python3-22] [ERROR] [1783095965.449069465] [nav2_trolley_mission_controller]: Holonomic goal 'drop-off approach' timed out: distance=0.043, yaw=117.7 deg</v>
      </c>
      <c r="G63" s="3">
        <f>IF(baseline_mission_results_with_a!E13="","",baseline_mission_results_with_a!E13)</f>
        <v>239.04499999999999</v>
      </c>
      <c r="H63" s="3">
        <f>IF(baseline_mission_results_with_a!F13="","",baseline_mission_results_with_a!F13)</f>
        <v>9.7840000000000007</v>
      </c>
      <c r="I63" s="3" t="str">
        <f>IF(baseline_mission_results_with_a!G13="","",baseline_mission_results_with_a!G13)</f>
        <v/>
      </c>
      <c r="J63" s="3">
        <f>IF(baseline_mission_results_with_a!H13="","",baseline_mission_results_with_a!H13)</f>
        <v>13.464</v>
      </c>
      <c r="K63" s="3">
        <f>IF(baseline_mission_results_with_a!I13="","",baseline_mission_results_with_a!I13)</f>
        <v>128.983</v>
      </c>
      <c r="L63" s="3" t="str">
        <f>IF(baseline_mission_results_with_a!J13="","",baseline_mission_results_with_a!J13)</f>
        <v/>
      </c>
      <c r="M63" s="3" t="str">
        <f>IF(baseline_mission_results_with_a!K13="","",baseline_mission_results_with_a!K13)</f>
        <v/>
      </c>
      <c r="N63" s="3" t="str">
        <f>IF(baseline_mission_results_with_a!L13="","",baseline_mission_results_with_a!L13)</f>
        <v/>
      </c>
      <c r="O63" s="3" t="str">
        <f t="shared" si="2"/>
        <v/>
      </c>
      <c r="P63" s="3">
        <f t="shared" si="4"/>
        <v>239.04499999999999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30" x14ac:dyDescent="0.25">
      <c r="A64" s="1" t="str">
        <f t="shared" si="5"/>
        <v>Baseline with ArUco</v>
      </c>
      <c r="B64" s="1" t="str">
        <f>baseline_mission_results_with_a!A14</f>
        <v>13</v>
      </c>
      <c r="C64" s="1" t="str">
        <f>"ArUco-"&amp;baseline_mission_results_with_a!A14</f>
        <v>ArUco-13</v>
      </c>
      <c r="D64" s="1" t="b">
        <f>baseline_mission_results_with_a!B14</f>
        <v>1</v>
      </c>
      <c r="E64" s="1">
        <f>baseline_mission_results_with_a!C14</f>
        <v>0</v>
      </c>
      <c r="F64" s="1">
        <f>baseline_mission_results_with_a!D14</f>
        <v>0</v>
      </c>
      <c r="G64" s="3">
        <f>IF(baseline_mission_results_with_a!E14="","",baseline_mission_results_with_a!E14)</f>
        <v>259.62099999999998</v>
      </c>
      <c r="H64" s="3">
        <f>IF(baseline_mission_results_with_a!F14="","",baseline_mission_results_with_a!F14)</f>
        <v>9.6839999999999993</v>
      </c>
      <c r="I64" s="3">
        <f>IF(baseline_mission_results_with_a!G14="","",baseline_mission_results_with_a!G14)</f>
        <v>259.61900000000003</v>
      </c>
      <c r="J64" s="3">
        <f>IF(baseline_mission_results_with_a!H14="","",baseline_mission_results_with_a!H14)</f>
        <v>12.35</v>
      </c>
      <c r="K64" s="3">
        <f>IF(baseline_mission_results_with_a!I14="","",baseline_mission_results_with_a!I14)</f>
        <v>127.53100000000001</v>
      </c>
      <c r="L64" s="3">
        <f>IF(baseline_mission_results_with_a!J14="","",baseline_mission_results_with_a!J14)</f>
        <v>192.50299999999999</v>
      </c>
      <c r="M64" s="3">
        <f>IF(baseline_mission_results_with_a!K14="","",baseline_mission_results_with_a!K14)</f>
        <v>167.46899999999999</v>
      </c>
      <c r="N64" s="3">
        <f>IF(baseline_mission_results_with_a!L14="","",baseline_mission_results_with_a!L14)</f>
        <v>258.61200000000002</v>
      </c>
      <c r="O64" s="3">
        <f t="shared" si="2"/>
        <v>259.61900000000003</v>
      </c>
      <c r="P64" s="3">
        <f t="shared" si="4"/>
        <v>259.62099999999998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30" x14ac:dyDescent="0.25">
      <c r="A65" s="1" t="str">
        <f t="shared" si="5"/>
        <v>Baseline with ArUco</v>
      </c>
      <c r="B65" s="1" t="str">
        <f>baseline_mission_results_with_a!A15</f>
        <v>14</v>
      </c>
      <c r="C65" s="1" t="str">
        <f>"ArUco-"&amp;baseline_mission_results_with_a!A15</f>
        <v>ArUco-14</v>
      </c>
      <c r="D65" s="1" t="b">
        <f>baseline_mission_results_with_a!B15</f>
        <v>1</v>
      </c>
      <c r="E65" s="1">
        <f>baseline_mission_results_with_a!C15</f>
        <v>0</v>
      </c>
      <c r="F65" s="1">
        <f>baseline_mission_results_with_a!D15</f>
        <v>0</v>
      </c>
      <c r="G65" s="3">
        <f>IF(baseline_mission_results_with_a!E15="","",baseline_mission_results_with_a!E15)</f>
        <v>254.851</v>
      </c>
      <c r="H65" s="3">
        <f>IF(baseline_mission_results_with_a!F15="","",baseline_mission_results_with_a!F15)</f>
        <v>9.9359999999999999</v>
      </c>
      <c r="I65" s="3">
        <f>IF(baseline_mission_results_with_a!G15="","",baseline_mission_results_with_a!G15)</f>
        <v>254.84899999999999</v>
      </c>
      <c r="J65" s="3">
        <f>IF(baseline_mission_results_with_a!H15="","",baseline_mission_results_with_a!H15)</f>
        <v>12.103999999999999</v>
      </c>
      <c r="K65" s="3">
        <f>IF(baseline_mission_results_with_a!I15="","",baseline_mission_results_with_a!I15)</f>
        <v>123.697</v>
      </c>
      <c r="L65" s="3">
        <f>IF(baseline_mission_results_with_a!J15="","",baseline_mission_results_with_a!J15)</f>
        <v>188.06399999999999</v>
      </c>
      <c r="M65" s="3">
        <f>IF(baseline_mission_results_with_a!K15="","",baseline_mission_results_with_a!K15)</f>
        <v>162.68100000000001</v>
      </c>
      <c r="N65" s="3">
        <f>IF(baseline_mission_results_with_a!L15="","",baseline_mission_results_with_a!L15)</f>
        <v>253.84299999999999</v>
      </c>
      <c r="O65" s="3">
        <f t="shared" si="2"/>
        <v>254.84899999999999</v>
      </c>
      <c r="P65" s="3">
        <f t="shared" si="4"/>
        <v>254.851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75" x14ac:dyDescent="0.25">
      <c r="A66" s="1" t="str">
        <f t="shared" si="5"/>
        <v>Baseline with ArUco</v>
      </c>
      <c r="B66" s="1" t="str">
        <f>baseline_mission_results_with_a!A16</f>
        <v>15</v>
      </c>
      <c r="C66" s="1" t="str">
        <f>"ArUco-"&amp;baseline_mission_results_with_a!A16</f>
        <v>ArUco-15</v>
      </c>
      <c r="D66" s="1" t="b">
        <f>baseline_mission_results_with_a!B16</f>
        <v>0</v>
      </c>
      <c r="E66" s="1" t="str">
        <f>baseline_mission_results_with_a!C16</f>
        <v>aruco_no_markers_timeout</v>
      </c>
      <c r="F66" s="1" t="str">
        <f>baseline_mission_results_with_a!D16</f>
        <v>[python3-22] [ERROR] [1783096640.472751380] [nav2_trolley_mission_controller]: side ArUco pre-entry timed out waiting for ArUco markers.</v>
      </c>
      <c r="G66" s="3">
        <f>IF(baseline_mission_results_with_a!E16="","",baseline_mission_results_with_a!E16)</f>
        <v>154.221</v>
      </c>
      <c r="H66" s="3">
        <f>IF(baseline_mission_results_with_a!F16="","",baseline_mission_results_with_a!F16)</f>
        <v>9.9469999999999992</v>
      </c>
      <c r="I66" s="3" t="str">
        <f>IF(baseline_mission_results_with_a!G16="","",baseline_mission_results_with_a!G16)</f>
        <v/>
      </c>
      <c r="J66" s="3">
        <f>IF(baseline_mission_results_with_a!H16="","",baseline_mission_results_with_a!H16)</f>
        <v>12.614000000000001</v>
      </c>
      <c r="K66" s="3" t="str">
        <f>IF(baseline_mission_results_with_a!I16="","",baseline_mission_results_with_a!I16)</f>
        <v/>
      </c>
      <c r="L66" s="3" t="str">
        <f>IF(baseline_mission_results_with_a!J16="","",baseline_mission_results_with_a!J16)</f>
        <v/>
      </c>
      <c r="M66" s="3" t="str">
        <f>IF(baseline_mission_results_with_a!K16="","",baseline_mission_results_with_a!K16)</f>
        <v/>
      </c>
      <c r="N66" s="3" t="str">
        <f>IF(baseline_mission_results_with_a!L16="","",baseline_mission_results_with_a!L16)</f>
        <v/>
      </c>
      <c r="O66" s="3" t="str">
        <f t="shared" si="2"/>
        <v/>
      </c>
      <c r="P66" s="3">
        <f t="shared" ref="P66:P76" si="6">G66</f>
        <v>154.221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30" x14ac:dyDescent="0.25">
      <c r="A67" s="1" t="str">
        <f t="shared" si="5"/>
        <v>Baseline with ArUco</v>
      </c>
      <c r="B67" s="1" t="str">
        <f>baseline_mission_results_with_a!A17</f>
        <v>16</v>
      </c>
      <c r="C67" s="1" t="str">
        <f>"ArUco-"&amp;baseline_mission_results_with_a!A17</f>
        <v>ArUco-16</v>
      </c>
      <c r="D67" s="1" t="b">
        <f>baseline_mission_results_with_a!B17</f>
        <v>1</v>
      </c>
      <c r="E67" s="1">
        <f>baseline_mission_results_with_a!C17</f>
        <v>0</v>
      </c>
      <c r="F67" s="1">
        <f>baseline_mission_results_with_a!D17</f>
        <v>0</v>
      </c>
      <c r="G67" s="3">
        <f>IF(baseline_mission_results_with_a!E17="","",baseline_mission_results_with_a!E17)</f>
        <v>267.32600000000002</v>
      </c>
      <c r="H67" s="3">
        <f>IF(baseline_mission_results_with_a!F17="","",baseline_mission_results_with_a!F17)</f>
        <v>9.8350000000000009</v>
      </c>
      <c r="I67" s="3">
        <f>IF(baseline_mission_results_with_a!G17="","",baseline_mission_results_with_a!G17)</f>
        <v>267.32400000000001</v>
      </c>
      <c r="J67" s="3">
        <f>IF(baseline_mission_results_with_a!H17="","",baseline_mission_results_with_a!H17)</f>
        <v>13.505000000000001</v>
      </c>
      <c r="K67" s="3">
        <f>IF(baseline_mission_results_with_a!I17="","",baseline_mission_results_with_a!I17)</f>
        <v>130.345</v>
      </c>
      <c r="L67" s="3">
        <f>IF(baseline_mission_results_with_a!J17="","",baseline_mission_results_with_a!J17)</f>
        <v>200.40899999999999</v>
      </c>
      <c r="M67" s="3">
        <f>IF(baseline_mission_results_with_a!K17="","",baseline_mission_results_with_a!K17)</f>
        <v>170.62700000000001</v>
      </c>
      <c r="N67" s="3">
        <f>IF(baseline_mission_results_with_a!L17="","",baseline_mission_results_with_a!L17)</f>
        <v>266.31700000000001</v>
      </c>
      <c r="O67" s="3">
        <f t="shared" ref="O67:O76" si="7">IF(D67=TRUE,I67,"")</f>
        <v>267.32400000000001</v>
      </c>
      <c r="P67" s="3">
        <f t="shared" si="6"/>
        <v>267.32600000000002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30" x14ac:dyDescent="0.25">
      <c r="A68" s="1" t="str">
        <f t="shared" si="5"/>
        <v>Baseline with ArUco</v>
      </c>
      <c r="B68" s="1" t="str">
        <f>baseline_mission_results_with_a!A18</f>
        <v>17</v>
      </c>
      <c r="C68" s="1" t="str">
        <f>"ArUco-"&amp;baseline_mission_results_with_a!A18</f>
        <v>ArUco-17</v>
      </c>
      <c r="D68" s="1" t="b">
        <f>baseline_mission_results_with_a!B18</f>
        <v>1</v>
      </c>
      <c r="E68" s="1">
        <f>baseline_mission_results_with_a!C18</f>
        <v>0</v>
      </c>
      <c r="F68" s="1">
        <f>baseline_mission_results_with_a!D18</f>
        <v>0</v>
      </c>
      <c r="G68" s="3">
        <f>IF(baseline_mission_results_with_a!E18="","",baseline_mission_results_with_a!E18)</f>
        <v>253.126</v>
      </c>
      <c r="H68" s="3">
        <f>IF(baseline_mission_results_with_a!F18="","",baseline_mission_results_with_a!F18)</f>
        <v>9.7360000000000007</v>
      </c>
      <c r="I68" s="3">
        <f>IF(baseline_mission_results_with_a!G18="","",baseline_mission_results_with_a!G18)</f>
        <v>253.12299999999999</v>
      </c>
      <c r="J68" s="3">
        <f>IF(baseline_mission_results_with_a!H18="","",baseline_mission_results_with_a!H18)</f>
        <v>12.404</v>
      </c>
      <c r="K68" s="3">
        <f>IF(baseline_mission_results_with_a!I18="","",baseline_mission_results_with_a!I18)</f>
        <v>120.14100000000001</v>
      </c>
      <c r="L68" s="3">
        <f>IF(baseline_mission_results_with_a!J18="","",baseline_mission_results_with_a!J18)</f>
        <v>186.053</v>
      </c>
      <c r="M68" s="3">
        <f>IF(baseline_mission_results_with_a!K18="","",baseline_mission_results_with_a!K18)</f>
        <v>159.96199999999999</v>
      </c>
      <c r="N68" s="3">
        <f>IF(baseline_mission_results_with_a!L18="","",baseline_mission_results_with_a!L18)</f>
        <v>252.11600000000001</v>
      </c>
      <c r="O68" s="3">
        <f t="shared" si="7"/>
        <v>253.12299999999999</v>
      </c>
      <c r="P68" s="3">
        <f t="shared" si="6"/>
        <v>253.126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30" x14ac:dyDescent="0.25">
      <c r="A69" s="1" t="str">
        <f t="shared" si="5"/>
        <v>Baseline with ArUco</v>
      </c>
      <c r="B69" s="1" t="str">
        <f>baseline_mission_results_with_a!A19</f>
        <v>18</v>
      </c>
      <c r="C69" s="1" t="str">
        <f>"ArUco-"&amp;baseline_mission_results_with_a!A19</f>
        <v>ArUco-18</v>
      </c>
      <c r="D69" s="1" t="b">
        <f>baseline_mission_results_with_a!B19</f>
        <v>1</v>
      </c>
      <c r="E69" s="1">
        <f>baseline_mission_results_with_a!C19</f>
        <v>0</v>
      </c>
      <c r="F69" s="1">
        <f>baseline_mission_results_with_a!D19</f>
        <v>0</v>
      </c>
      <c r="G69" s="3">
        <f>IF(baseline_mission_results_with_a!E19="","",baseline_mission_results_with_a!E19)</f>
        <v>263.18700000000001</v>
      </c>
      <c r="H69" s="3">
        <f>IF(baseline_mission_results_with_a!F19="","",baseline_mission_results_with_a!F19)</f>
        <v>9.8390000000000004</v>
      </c>
      <c r="I69" s="3">
        <f>IF(baseline_mission_results_with_a!G19="","",baseline_mission_results_with_a!G19)</f>
        <v>263.185</v>
      </c>
      <c r="J69" s="3">
        <f>IF(baseline_mission_results_with_a!H19="","",baseline_mission_results_with_a!H19)</f>
        <v>13.365</v>
      </c>
      <c r="K69" s="3">
        <f>IF(baseline_mission_results_with_a!I19="","",baseline_mission_results_with_a!I19)</f>
        <v>126.511</v>
      </c>
      <c r="L69" s="3">
        <f>IF(baseline_mission_results_with_a!J19="","",baseline_mission_results_with_a!J19)</f>
        <v>197.107</v>
      </c>
      <c r="M69" s="3">
        <f>IF(baseline_mission_results_with_a!K19="","",baseline_mission_results_with_a!K19)</f>
        <v>167.49600000000001</v>
      </c>
      <c r="N69" s="3">
        <f>IF(baseline_mission_results_with_a!L19="","",baseline_mission_results_with_a!L19)</f>
        <v>262.17899999999997</v>
      </c>
      <c r="O69" s="3">
        <f t="shared" si="7"/>
        <v>263.185</v>
      </c>
      <c r="P69" s="3">
        <f t="shared" si="6"/>
        <v>263.18700000000001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30" x14ac:dyDescent="0.25">
      <c r="A70" s="1" t="str">
        <f t="shared" si="5"/>
        <v>Baseline with ArUco</v>
      </c>
      <c r="B70" s="1" t="str">
        <f>baseline_mission_results_with_a!A20</f>
        <v>19</v>
      </c>
      <c r="C70" s="1" t="str">
        <f>"ArUco-"&amp;baseline_mission_results_with_a!A20</f>
        <v>ArUco-19</v>
      </c>
      <c r="D70" s="1" t="b">
        <f>baseline_mission_results_with_a!B20</f>
        <v>1</v>
      </c>
      <c r="E70" s="1">
        <f>baseline_mission_results_with_a!C20</f>
        <v>0</v>
      </c>
      <c r="F70" s="1">
        <f>baseline_mission_results_with_a!D20</f>
        <v>0</v>
      </c>
      <c r="G70" s="3">
        <f>IF(baseline_mission_results_with_a!E20="","",baseline_mission_results_with_a!E20)</f>
        <v>260.40199999999999</v>
      </c>
      <c r="H70" s="3">
        <f>IF(baseline_mission_results_with_a!F20="","",baseline_mission_results_with_a!F20)</f>
        <v>9.6940000000000008</v>
      </c>
      <c r="I70" s="3">
        <f>IF(baseline_mission_results_with_a!G20="","",baseline_mission_results_with_a!G20)</f>
        <v>260.39999999999998</v>
      </c>
      <c r="J70" s="3">
        <f>IF(baseline_mission_results_with_a!H20="","",baseline_mission_results_with_a!H20)</f>
        <v>12.114000000000001</v>
      </c>
      <c r="K70" s="3">
        <f>IF(baseline_mission_results_with_a!I20="","",baseline_mission_results_with_a!I20)</f>
        <v>128.31100000000001</v>
      </c>
      <c r="L70" s="3">
        <f>IF(baseline_mission_results_with_a!J20="","",baseline_mission_results_with_a!J20)</f>
        <v>194.79</v>
      </c>
      <c r="M70" s="3">
        <f>IF(baseline_mission_results_with_a!K20="","",baseline_mission_results_with_a!K20)</f>
        <v>169.25399999999999</v>
      </c>
      <c r="N70" s="3">
        <f>IF(baseline_mission_results_with_a!L20="","",baseline_mission_results_with_a!L20)</f>
        <v>259.392</v>
      </c>
      <c r="O70" s="3">
        <f t="shared" si="7"/>
        <v>260.39999999999998</v>
      </c>
      <c r="P70" s="3">
        <f t="shared" si="6"/>
        <v>260.40199999999999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75" x14ac:dyDescent="0.25">
      <c r="A71" s="1" t="str">
        <f t="shared" si="5"/>
        <v>Baseline with ArUco</v>
      </c>
      <c r="B71" s="1" t="str">
        <f>baseline_mission_results_with_a!A21</f>
        <v>20</v>
      </c>
      <c r="C71" s="1" t="str">
        <f>"ArUco-"&amp;baseline_mission_results_with_a!A21</f>
        <v>ArUco-20</v>
      </c>
      <c r="D71" s="1" t="b">
        <f>baseline_mission_results_with_a!B21</f>
        <v>0</v>
      </c>
      <c r="E71" s="1" t="str">
        <f>baseline_mission_results_with_a!C21</f>
        <v>local_target_timeout</v>
      </c>
      <c r="F71" s="1" t="str">
        <f>baseline_mission_results_with_a!D21</f>
        <v>[python3-22] [ERROR] [1783097904.529839283] [nav2_trolley_mission_controller]: Local target 'drop-off center' timed out: distance=0.029, yaw=+5.72 deg</v>
      </c>
      <c r="G71" s="3">
        <f>IF(baseline_mission_results_with_a!E21="","",baseline_mission_results_with_a!E21)</f>
        <v>211.684</v>
      </c>
      <c r="H71" s="3">
        <f>IF(baseline_mission_results_with_a!F21="","",baseline_mission_results_with_a!F21)</f>
        <v>9.7859999999999996</v>
      </c>
      <c r="I71" s="3" t="str">
        <f>IF(baseline_mission_results_with_a!G21="","",baseline_mission_results_with_a!G21)</f>
        <v/>
      </c>
      <c r="J71" s="3">
        <f>IF(baseline_mission_results_with_a!H21="","",baseline_mission_results_with_a!H21)</f>
        <v>12.101000000000001</v>
      </c>
      <c r="K71" s="3">
        <f>IF(baseline_mission_results_with_a!I21="","",baseline_mission_results_with_a!I21)</f>
        <v>124.83499999999999</v>
      </c>
      <c r="L71" s="3" t="str">
        <f>IF(baseline_mission_results_with_a!J21="","",baseline_mission_results_with_a!J21)</f>
        <v/>
      </c>
      <c r="M71" s="3">
        <f>IF(baseline_mission_results_with_a!K21="","",baseline_mission_results_with_a!K21)</f>
        <v>172.28200000000001</v>
      </c>
      <c r="N71" s="3" t="str">
        <f>IF(baseline_mission_results_with_a!L21="","",baseline_mission_results_with_a!L21)</f>
        <v/>
      </c>
      <c r="O71" s="3" t="str">
        <f t="shared" si="7"/>
        <v/>
      </c>
      <c r="P71" s="3">
        <f t="shared" si="6"/>
        <v>211.684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60" x14ac:dyDescent="0.25">
      <c r="A72" s="1" t="str">
        <f t="shared" si="5"/>
        <v>Baseline with ArUco</v>
      </c>
      <c r="B72" s="1" t="str">
        <f>baseline_mission_results_with_a!A22</f>
        <v>21</v>
      </c>
      <c r="C72" s="1" t="str">
        <f>"ArUco-"&amp;baseline_mission_results_with_a!A22</f>
        <v>ArUco-21</v>
      </c>
      <c r="D72" s="1" t="b">
        <f>baseline_mission_results_with_a!B22</f>
        <v>0</v>
      </c>
      <c r="E72" s="1" t="str">
        <f>baseline_mission_results_with_a!C22</f>
        <v>detach_failed</v>
      </c>
      <c r="F72" s="1" t="str">
        <f>baseline_mission_results_with_a!D22</f>
        <v>[python3-22] [ERROR] [1783098105.639989293] [nav2_trolley_mission_controller]: Service 'detach trolley' timed out.</v>
      </c>
      <c r="G72" s="3">
        <f>IF(baseline_mission_results_with_a!E22="","",baseline_mission_results_with_a!E22)</f>
        <v>200.839</v>
      </c>
      <c r="H72" s="3">
        <f>IF(baseline_mission_results_with_a!F22="","",baseline_mission_results_with_a!F22)</f>
        <v>9.8879999999999999</v>
      </c>
      <c r="I72" s="3" t="str">
        <f>IF(baseline_mission_results_with_a!G22="","",baseline_mission_results_with_a!G22)</f>
        <v/>
      </c>
      <c r="J72" s="3">
        <f>IF(baseline_mission_results_with_a!H22="","",baseline_mission_results_with_a!H22)</f>
        <v>12.055</v>
      </c>
      <c r="K72" s="3">
        <f>IF(baseline_mission_results_with_a!I22="","",baseline_mission_results_with_a!I22)</f>
        <v>122.806</v>
      </c>
      <c r="L72" s="3" t="str">
        <f>IF(baseline_mission_results_with_a!J22="","",baseline_mission_results_with_a!J22)</f>
        <v/>
      </c>
      <c r="M72" s="3">
        <f>IF(baseline_mission_results_with_a!K22="","",baseline_mission_results_with_a!K22)</f>
        <v>163.15600000000001</v>
      </c>
      <c r="N72" s="3" t="str">
        <f>IF(baseline_mission_results_with_a!L22="","",baseline_mission_results_with_a!L22)</f>
        <v/>
      </c>
      <c r="O72" s="3" t="str">
        <f t="shared" si="7"/>
        <v/>
      </c>
      <c r="P72" s="3">
        <f t="shared" si="6"/>
        <v>200.839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30" x14ac:dyDescent="0.25">
      <c r="A73" s="1" t="str">
        <f t="shared" si="5"/>
        <v>Baseline with ArUco</v>
      </c>
      <c r="B73" s="1" t="str">
        <f>baseline_mission_results_with_a!A23</f>
        <v>22</v>
      </c>
      <c r="C73" s="1" t="str">
        <f>"ArUco-"&amp;baseline_mission_results_with_a!A23</f>
        <v>ArUco-22</v>
      </c>
      <c r="D73" s="1" t="b">
        <f>baseline_mission_results_with_a!B23</f>
        <v>1</v>
      </c>
      <c r="E73" s="1">
        <f>baseline_mission_results_with_a!C23</f>
        <v>0</v>
      </c>
      <c r="F73" s="1">
        <f>baseline_mission_results_with_a!D23</f>
        <v>0</v>
      </c>
      <c r="G73" s="3">
        <f>IF(baseline_mission_results_with_a!E23="","",baseline_mission_results_with_a!E23)</f>
        <v>274.303</v>
      </c>
      <c r="H73" s="3">
        <f>IF(baseline_mission_results_with_a!F23="","",baseline_mission_results_with_a!F23)</f>
        <v>10.193</v>
      </c>
      <c r="I73" s="3">
        <f>IF(baseline_mission_results_with_a!G23="","",baseline_mission_results_with_a!G23)</f>
        <v>274.3</v>
      </c>
      <c r="J73" s="3">
        <f>IF(baseline_mission_results_with_a!H23="","",baseline_mission_results_with_a!H23)</f>
        <v>12.364000000000001</v>
      </c>
      <c r="K73" s="3">
        <f>IF(baseline_mission_results_with_a!I23="","",baseline_mission_results_with_a!I23)</f>
        <v>139.53800000000001</v>
      </c>
      <c r="L73" s="3">
        <f>IF(baseline_mission_results_with_a!J23="","",baseline_mission_results_with_a!J23)</f>
        <v>207.553</v>
      </c>
      <c r="M73" s="3">
        <f>IF(baseline_mission_results_with_a!K23="","",baseline_mission_results_with_a!K23)</f>
        <v>180.095</v>
      </c>
      <c r="N73" s="3">
        <f>IF(baseline_mission_results_with_a!L23="","",baseline_mission_results_with_a!L23)</f>
        <v>273.29300000000001</v>
      </c>
      <c r="O73" s="3">
        <f t="shared" si="7"/>
        <v>274.3</v>
      </c>
      <c r="P73" s="3">
        <f t="shared" si="6"/>
        <v>274.303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30" x14ac:dyDescent="0.25">
      <c r="A74" s="1" t="str">
        <f t="shared" si="5"/>
        <v>Baseline with ArUco</v>
      </c>
      <c r="B74" s="1" t="str">
        <f>baseline_mission_results_with_a!A24</f>
        <v>23</v>
      </c>
      <c r="C74" s="1" t="str">
        <f>"ArUco-"&amp;baseline_mission_results_with_a!A24</f>
        <v>ArUco-23</v>
      </c>
      <c r="D74" s="1" t="b">
        <f>baseline_mission_results_with_a!B24</f>
        <v>1</v>
      </c>
      <c r="E74" s="1">
        <f>baseline_mission_results_with_a!C24</f>
        <v>0</v>
      </c>
      <c r="F74" s="1">
        <f>baseline_mission_results_with_a!D24</f>
        <v>0</v>
      </c>
      <c r="G74" s="3">
        <f>IF(baseline_mission_results_with_a!E24="","",baseline_mission_results_with_a!E24)</f>
        <v>265.05700000000002</v>
      </c>
      <c r="H74" s="3">
        <f>IF(baseline_mission_results_with_a!F24="","",baseline_mission_results_with_a!F24)</f>
        <v>9.7910000000000004</v>
      </c>
      <c r="I74" s="3">
        <f>IF(baseline_mission_results_with_a!G24="","",baseline_mission_results_with_a!G24)</f>
        <v>265.05500000000001</v>
      </c>
      <c r="J74" s="3">
        <f>IF(baseline_mission_results_with_a!H24="","",baseline_mission_results_with_a!H24)</f>
        <v>13.208</v>
      </c>
      <c r="K74" s="3">
        <f>IF(baseline_mission_results_with_a!I24="","",baseline_mission_results_with_a!I24)</f>
        <v>126.93600000000001</v>
      </c>
      <c r="L74" s="3">
        <f>IF(baseline_mission_results_with_a!J24="","",baseline_mission_results_with_a!J24)</f>
        <v>199.126</v>
      </c>
      <c r="M74" s="3">
        <f>IF(baseline_mission_results_with_a!K24="","",baseline_mission_results_with_a!K24)</f>
        <v>167.85300000000001</v>
      </c>
      <c r="N74" s="3">
        <f>IF(baseline_mission_results_with_a!L24="","",baseline_mission_results_with_a!L24)</f>
        <v>264.04899999999998</v>
      </c>
      <c r="O74" s="3">
        <f t="shared" si="7"/>
        <v>265.05500000000001</v>
      </c>
      <c r="P74" s="3">
        <f t="shared" si="6"/>
        <v>265.05700000000002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30" x14ac:dyDescent="0.25">
      <c r="A75" s="1" t="str">
        <f t="shared" si="5"/>
        <v>Baseline with ArUco</v>
      </c>
      <c r="B75" s="1" t="str">
        <f>baseline_mission_results_with_a!A25</f>
        <v>24</v>
      </c>
      <c r="C75" s="1" t="str">
        <f>"ArUco-"&amp;baseline_mission_results_with_a!A25</f>
        <v>ArUco-24</v>
      </c>
      <c r="D75" s="1" t="b">
        <f>baseline_mission_results_with_a!B25</f>
        <v>1</v>
      </c>
      <c r="E75" s="1">
        <f>baseline_mission_results_with_a!C25</f>
        <v>0</v>
      </c>
      <c r="F75" s="1">
        <f>baseline_mission_results_with_a!D25</f>
        <v>0</v>
      </c>
      <c r="G75" s="3">
        <f>IF(baseline_mission_results_with_a!E25="","",baseline_mission_results_with_a!E25)</f>
        <v>273.25</v>
      </c>
      <c r="H75" s="3">
        <f>IF(baseline_mission_results_with_a!F25="","",baseline_mission_results_with_a!F25)</f>
        <v>9.7370000000000001</v>
      </c>
      <c r="I75" s="3">
        <f>IF(baseline_mission_results_with_a!G25="","",baseline_mission_results_with_a!G25)</f>
        <v>273.24799999999999</v>
      </c>
      <c r="J75" s="3">
        <f>IF(baseline_mission_results_with_a!H25="","",baseline_mission_results_with_a!H25)</f>
        <v>17.405000000000001</v>
      </c>
      <c r="K75" s="3">
        <f>IF(baseline_mission_results_with_a!I25="","",baseline_mission_results_with_a!I25)</f>
        <v>136.28</v>
      </c>
      <c r="L75" s="3">
        <f>IF(baseline_mission_results_with_a!J25="","",baseline_mission_results_with_a!J25)</f>
        <v>205.976</v>
      </c>
      <c r="M75" s="3">
        <f>IF(baseline_mission_results_with_a!K25="","",baseline_mission_results_with_a!K25)</f>
        <v>176.05600000000001</v>
      </c>
      <c r="N75" s="3">
        <f>IF(baseline_mission_results_with_a!L25="","",baseline_mission_results_with_a!L25)</f>
        <v>272.24</v>
      </c>
      <c r="O75" s="3">
        <f t="shared" si="7"/>
        <v>273.24799999999999</v>
      </c>
      <c r="P75" s="3">
        <f t="shared" si="6"/>
        <v>273.25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75" x14ac:dyDescent="0.25">
      <c r="A76" s="1" t="str">
        <f t="shared" si="5"/>
        <v>Baseline with ArUco</v>
      </c>
      <c r="B76" s="1" t="str">
        <f>baseline_mission_results_with_a!A26</f>
        <v>25</v>
      </c>
      <c r="C76" s="1" t="str">
        <f>"ArUco-"&amp;baseline_mission_results_with_a!A26</f>
        <v>ArUco-25</v>
      </c>
      <c r="D76" s="1" t="b">
        <f>baseline_mission_results_with_a!B26</f>
        <v>0</v>
      </c>
      <c r="E76" s="1" t="str">
        <f>baseline_mission_results_with_a!C26</f>
        <v>local_target_timeout</v>
      </c>
      <c r="F76" s="1" t="str">
        <f>baseline_mission_results_with_a!D26</f>
        <v>[python3-22] [ERROR] [1783099138.754413938] [nav2_trolley_mission_controller]: Local target 'drop-off center' timed out: distance=0.027, yaw=-0.37 deg</v>
      </c>
      <c r="G76" s="3">
        <f>IF(baseline_mission_results_with_a!E26="","",baseline_mission_results_with_a!E26)</f>
        <v>213.85599999999999</v>
      </c>
      <c r="H76" s="3">
        <f>IF(baseline_mission_results_with_a!F26="","",baseline_mission_results_with_a!F26)</f>
        <v>9.89</v>
      </c>
      <c r="I76" s="3" t="str">
        <f>IF(baseline_mission_results_with_a!G26="","",baseline_mission_results_with_a!G26)</f>
        <v/>
      </c>
      <c r="J76" s="3">
        <f>IF(baseline_mission_results_with_a!H26="","",baseline_mission_results_with_a!H26)</f>
        <v>13.058</v>
      </c>
      <c r="K76" s="3">
        <f>IF(baseline_mission_results_with_a!I26="","",baseline_mission_results_with_a!I26)</f>
        <v>134.23500000000001</v>
      </c>
      <c r="L76" s="3" t="str">
        <f>IF(baseline_mission_results_with_a!J26="","",baseline_mission_results_with_a!J26)</f>
        <v/>
      </c>
      <c r="M76" s="3">
        <f>IF(baseline_mission_results_with_a!K26="","",baseline_mission_results_with_a!K26)</f>
        <v>174.72800000000001</v>
      </c>
      <c r="N76" s="3" t="str">
        <f>IF(baseline_mission_results_with_a!L26="","",baseline_mission_results_with_a!L26)</f>
        <v/>
      </c>
      <c r="O76" s="3" t="str">
        <f t="shared" si="7"/>
        <v/>
      </c>
      <c r="P76" s="3">
        <f t="shared" si="6"/>
        <v>213.85599999999999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0EB0EA-DEC7-4363-ADEC-92BABB82FD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Summary</vt:lpstr>
      <vt:lpstr>baseline_mission_results (2)</vt:lpstr>
      <vt:lpstr>baseline_mission_results_with_a</vt:lpstr>
      <vt:lpstr>Tabelle2</vt:lpstr>
      <vt:lpstr>Combined Mission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Wörz</dc:creator>
  <cp:lastModifiedBy>Johanna Wörz</cp:lastModifiedBy>
  <dcterms:created xsi:type="dcterms:W3CDTF">2026-07-02T17:26:04Z</dcterms:created>
  <dcterms:modified xsi:type="dcterms:W3CDTF">2026-07-03T18:54:50Z</dcterms:modified>
</cp:coreProperties>
</file>