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han\Desktop\Master Thesis\Experiment results and Raw Data\Trolley\"/>
    </mc:Choice>
  </mc:AlternateContent>
  <xr:revisionPtr revIDLastSave="0" documentId="13_ncr:1_{6E302F76-6F92-49FF-A3E7-96B9EE4B21D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andnotes" sheetId="1" r:id="rId1"/>
    <sheet name="Event_logs" sheetId="2" r:id="rId2"/>
    <sheet name="Summary" sheetId="3" r:id="rId3"/>
  </sheets>
  <definedNames>
    <definedName name="_xlnm._FilterDatabase" localSheetId="1" hidden="1">Event_logs!$A$1:$A$1588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/>
  <c r="D12" i="3"/>
  <c r="B12" i="3"/>
  <c r="C12" i="3"/>
  <c r="B10" i="3"/>
  <c r="C11" i="3" s="1"/>
  <c r="B11" i="3"/>
  <c r="D20" i="3"/>
  <c r="B18" i="3"/>
  <c r="A133" i="3" a="1"/>
  <c r="A133" i="3" s="1"/>
  <c r="A125" i="3" a="1"/>
  <c r="A125" i="3" s="1"/>
  <c r="A100" i="3" a="1"/>
  <c r="A100" i="3" s="1"/>
  <c r="AA33" i="3" a="1"/>
  <c r="AA33" i="3" s="1"/>
  <c r="AC33" i="3" a="1"/>
  <c r="AC33" i="3" s="1"/>
  <c r="AD33" i="3" a="1"/>
  <c r="AD33" i="3" s="1"/>
  <c r="U33" i="3" a="1"/>
  <c r="U33" i="3" s="1"/>
  <c r="S33" i="3" a="1"/>
  <c r="S33" i="3" s="1"/>
  <c r="R33" i="3" a="1"/>
  <c r="R33" i="3" s="1"/>
  <c r="S17" i="3"/>
  <c r="T33" i="3" a="1"/>
  <c r="T33" i="3" s="1"/>
  <c r="AE33" i="3" a="1"/>
  <c r="AE33" i="3" s="1"/>
  <c r="AB33" i="3" a="1"/>
  <c r="AB33" i="3" s="1"/>
  <c r="P33" i="3"/>
  <c r="N33" i="3" a="1"/>
  <c r="N33" i="3" s="1"/>
  <c r="M33" i="3" a="1"/>
  <c r="M33" i="3" s="1"/>
  <c r="O33" i="3" a="1"/>
  <c r="O33" i="3" s="1"/>
  <c r="H13" i="3" a="1"/>
  <c r="H13" i="3" s="1"/>
  <c r="H10" i="3" a="1"/>
  <c r="H10" i="3" s="1"/>
  <c r="H9" i="3" a="1"/>
  <c r="H9" i="3" s="1"/>
  <c r="C19" i="3"/>
  <c r="C23" i="3"/>
  <c r="C22" i="3"/>
  <c r="C21" i="3"/>
  <c r="C20" i="3"/>
  <c r="B20" i="3"/>
  <c r="C18" i="3"/>
  <c r="C16" i="3"/>
  <c r="D23" i="3"/>
  <c r="D22" i="3"/>
  <c r="D21" i="3"/>
  <c r="D19" i="3"/>
  <c r="D18" i="3"/>
  <c r="D17" i="3"/>
  <c r="D16" i="3"/>
  <c r="L79" i="1"/>
  <c r="B13" i="3"/>
  <c r="A98" i="3"/>
  <c r="K98" i="3" s="1"/>
  <c r="A97" i="3"/>
  <c r="G97" i="3" s="1"/>
  <c r="O97" i="3" s="1" a="1"/>
  <c r="O97" i="3" s="1"/>
  <c r="A96" i="3"/>
  <c r="L96" i="3" s="1"/>
  <c r="A95" i="3"/>
  <c r="J95" i="3" s="1"/>
  <c r="A94" i="3"/>
  <c r="J94" i="3" s="1"/>
  <c r="A93" i="3"/>
  <c r="C93" i="3" s="1"/>
  <c r="A92" i="3"/>
  <c r="L92" i="3" s="1"/>
  <c r="A91" i="3"/>
  <c r="L91" i="3" s="1"/>
  <c r="A90" i="3"/>
  <c r="F90" i="3" s="1"/>
  <c r="A89" i="3"/>
  <c r="L89" i="3" s="1"/>
  <c r="A88" i="3"/>
  <c r="L88" i="3" s="1"/>
  <c r="A87" i="3"/>
  <c r="I87" i="3" s="1"/>
  <c r="A86" i="3"/>
  <c r="B86" i="3" s="1"/>
  <c r="A85" i="3"/>
  <c r="L85" i="3" s="1"/>
  <c r="A84" i="3"/>
  <c r="L84" i="3" s="1"/>
  <c r="A83" i="3"/>
  <c r="E83" i="3" s="1"/>
  <c r="A82" i="3"/>
  <c r="L82" i="3" s="1"/>
  <c r="A81" i="3"/>
  <c r="L81" i="3" s="1"/>
  <c r="A80" i="3"/>
  <c r="H80" i="3" s="1"/>
  <c r="A79" i="3"/>
  <c r="G79" i="3" s="1"/>
  <c r="X79" i="3" s="1"/>
  <c r="A78" i="3"/>
  <c r="K78" i="3" s="1"/>
  <c r="A77" i="3"/>
  <c r="K77" i="3" s="1"/>
  <c r="A76" i="3"/>
  <c r="D76" i="3" s="1"/>
  <c r="M76" i="3" s="1" a="1"/>
  <c r="M76" i="3" s="1"/>
  <c r="A75" i="3"/>
  <c r="L75" i="3" s="1"/>
  <c r="A74" i="3"/>
  <c r="K74" i="3" s="1"/>
  <c r="A73" i="3"/>
  <c r="G73" i="3" s="1"/>
  <c r="A72" i="3"/>
  <c r="L72" i="3" s="1"/>
  <c r="A71" i="3"/>
  <c r="E71" i="3" s="1"/>
  <c r="A70" i="3"/>
  <c r="J70" i="3" s="1"/>
  <c r="A69" i="3"/>
  <c r="C69" i="3" s="1"/>
  <c r="A68" i="3"/>
  <c r="L68" i="3" s="1"/>
  <c r="A67" i="3"/>
  <c r="L67" i="3" s="1"/>
  <c r="A66" i="3"/>
  <c r="F66" i="3" s="1"/>
  <c r="N66" i="3" s="1" a="1"/>
  <c r="N66" i="3" s="1"/>
  <c r="A65" i="3"/>
  <c r="L65" i="3" s="1"/>
  <c r="A64" i="3"/>
  <c r="K64" i="3" s="1"/>
  <c r="A63" i="3"/>
  <c r="I63" i="3" s="1"/>
  <c r="A62" i="3"/>
  <c r="B62" i="3" s="1"/>
  <c r="A61" i="3"/>
  <c r="L61" i="3" s="1"/>
  <c r="A60" i="3"/>
  <c r="L60" i="3" s="1"/>
  <c r="A59" i="3"/>
  <c r="E59" i="3" s="1"/>
  <c r="A58" i="3"/>
  <c r="L58" i="3" s="1"/>
  <c r="A57" i="3"/>
  <c r="L57" i="3" s="1"/>
  <c r="A56" i="3"/>
  <c r="H56" i="3" s="1"/>
  <c r="A55" i="3"/>
  <c r="F55" i="3" s="1"/>
  <c r="N55" i="3" s="1" a="1"/>
  <c r="N55" i="3" s="1"/>
  <c r="A54" i="3"/>
  <c r="K54" i="3" s="1"/>
  <c r="A53" i="3"/>
  <c r="K53" i="3" s="1"/>
  <c r="A52" i="3"/>
  <c r="D52" i="3" s="1"/>
  <c r="M52" i="3" s="1" a="1"/>
  <c r="M52" i="3" s="1"/>
  <c r="A51" i="3"/>
  <c r="L51" i="3" s="1"/>
  <c r="A50" i="3"/>
  <c r="K50" i="3" s="1"/>
  <c r="A49" i="3"/>
  <c r="G49" i="3" s="1"/>
  <c r="A48" i="3"/>
  <c r="J48" i="3" s="1"/>
  <c r="A47" i="3"/>
  <c r="E47" i="3" s="1"/>
  <c r="A46" i="3"/>
  <c r="J46" i="3" s="1"/>
  <c r="A45" i="3"/>
  <c r="C45" i="3" s="1"/>
  <c r="A44" i="3"/>
  <c r="L44" i="3" s="1"/>
  <c r="A43" i="3"/>
  <c r="L43" i="3" s="1"/>
  <c r="A42" i="3"/>
  <c r="F42" i="3" s="1"/>
  <c r="N42" i="3" s="1" a="1"/>
  <c r="N42" i="3" s="1"/>
  <c r="A41" i="3"/>
  <c r="C41" i="3" s="1"/>
  <c r="A40" i="3"/>
  <c r="L40" i="3" s="1"/>
  <c r="A39" i="3"/>
  <c r="I39" i="3" s="1"/>
  <c r="A38" i="3"/>
  <c r="B38" i="3" s="1"/>
  <c r="A37" i="3"/>
  <c r="L37" i="3" s="1"/>
  <c r="A36" i="3"/>
  <c r="L36" i="3" s="1"/>
  <c r="A35" i="3"/>
  <c r="E35" i="3" s="1"/>
  <c r="A34" i="3"/>
  <c r="L34" i="3" s="1"/>
  <c r="A32" i="3"/>
  <c r="H32" i="3" s="1"/>
  <c r="A31" i="3"/>
  <c r="L31" i="3" s="1"/>
  <c r="A30" i="3"/>
  <c r="K30" i="3" s="1"/>
  <c r="A29" i="3"/>
  <c r="K29" i="3" s="1"/>
  <c r="A28" i="3"/>
  <c r="D28" i="3" s="1"/>
  <c r="M28" i="3" s="1" a="1"/>
  <c r="M28" i="3" s="1"/>
  <c r="A27" i="3"/>
  <c r="L27" i="3" s="1"/>
  <c r="A26" i="3"/>
  <c r="K26" i="3" s="1"/>
  <c r="B23" i="3"/>
  <c r="B22" i="3"/>
  <c r="B21" i="3"/>
  <c r="B19" i="3"/>
  <c r="B17" i="3"/>
  <c r="B16" i="3"/>
  <c r="I14" i="3"/>
  <c r="I13" i="3"/>
  <c r="C13" i="3"/>
  <c r="I10" i="3"/>
  <c r="C10" i="3"/>
  <c r="I9" i="3"/>
  <c r="I8" i="3"/>
  <c r="I7" i="3"/>
  <c r="I6" i="3"/>
  <c r="C6" i="3"/>
  <c r="I5" i="3"/>
  <c r="C5" i="3"/>
  <c r="B5" i="3"/>
  <c r="I87" i="1"/>
  <c r="L86" i="1"/>
  <c r="L85" i="1"/>
  <c r="L84" i="1"/>
  <c r="I84" i="1"/>
  <c r="I83" i="1"/>
  <c r="Q81" i="1"/>
  <c r="O81" i="1"/>
  <c r="L81" i="1"/>
  <c r="I81" i="1"/>
  <c r="G81" i="1"/>
  <c r="E81" i="1"/>
  <c r="Q80" i="1"/>
  <c r="O80" i="1"/>
  <c r="L80" i="1"/>
  <c r="I80" i="1"/>
  <c r="G80" i="1"/>
  <c r="E80" i="1"/>
  <c r="Q79" i="1"/>
  <c r="O79" i="1"/>
  <c r="I79" i="1"/>
  <c r="G79" i="1"/>
  <c r="H14" i="3" s="1" a="1"/>
  <c r="H14" i="3" s="1"/>
  <c r="E79" i="1"/>
  <c r="D11" i="3" l="1"/>
  <c r="H8" i="3" a="1"/>
  <c r="H8" i="3" s="1"/>
  <c r="J8" i="3" s="1"/>
  <c r="R76" i="3" a="1"/>
  <c r="R76" i="3" s="1"/>
  <c r="R52" i="3" a="1"/>
  <c r="R52" i="3" s="1"/>
  <c r="R28" i="3" a="1"/>
  <c r="R28" i="3" s="1"/>
  <c r="T76" i="3" a="1"/>
  <c r="T76" i="3" s="1"/>
  <c r="T52" i="3" a="1"/>
  <c r="T52" i="3" s="1"/>
  <c r="T28" i="3" a="1"/>
  <c r="T28" i="3" s="1"/>
  <c r="J10" i="3"/>
  <c r="J13" i="3"/>
  <c r="AE49" i="3" a="1"/>
  <c r="AE49" i="3" s="1"/>
  <c r="AB49" i="3" a="1"/>
  <c r="AB49" i="3" s="1"/>
  <c r="W97" i="3"/>
  <c r="O79" i="3" a="1"/>
  <c r="O79" i="3" s="1"/>
  <c r="O73" i="3" a="1"/>
  <c r="O73" i="3" s="1"/>
  <c r="O49" i="3" a="1"/>
  <c r="O49" i="3" s="1"/>
  <c r="J14" i="3"/>
  <c r="J9" i="3"/>
  <c r="X97" i="3"/>
  <c r="J62" i="3"/>
  <c r="B6" i="3"/>
  <c r="H5" i="3" a="1"/>
  <c r="H5" i="3" s="1"/>
  <c r="J5" i="3" s="1"/>
  <c r="H6" i="3" a="1"/>
  <c r="H6" i="3" s="1"/>
  <c r="J6" i="3" s="1"/>
  <c r="H7" i="3" a="1"/>
  <c r="H7" i="3" s="1"/>
  <c r="J7" i="3" s="1"/>
  <c r="E21" i="3"/>
  <c r="E20" i="3"/>
  <c r="I67" i="3"/>
  <c r="K28" i="3"/>
  <c r="W79" i="3" a="1"/>
  <c r="W79" i="3" s="1"/>
  <c r="Z49" i="3" a="1"/>
  <c r="Z49" i="3" s="1"/>
  <c r="E19" i="3"/>
  <c r="F26" i="3"/>
  <c r="B28" i="3"/>
  <c r="K62" i="3"/>
  <c r="K59" i="3"/>
  <c r="I78" i="3"/>
  <c r="Q78" i="3" s="1"/>
  <c r="E28" i="3"/>
  <c r="L62" i="3"/>
  <c r="F28" i="3"/>
  <c r="G28" i="3"/>
  <c r="W28" i="3" s="1" a="1"/>
  <c r="W28" i="3" s="1"/>
  <c r="E16" i="3"/>
  <c r="H28" i="3"/>
  <c r="I28" i="3"/>
  <c r="J28" i="3"/>
  <c r="L28" i="3"/>
  <c r="H69" i="3"/>
  <c r="C31" i="3"/>
  <c r="B31" i="3"/>
  <c r="C95" i="3"/>
  <c r="L32" i="3"/>
  <c r="X73" i="3" a="1"/>
  <c r="X73" i="3" s="1"/>
  <c r="X49" i="3" a="1"/>
  <c r="X49" i="3" s="1"/>
  <c r="F69" i="3"/>
  <c r="G84" i="3"/>
  <c r="G69" i="3"/>
  <c r="O69" i="3" s="1" a="1"/>
  <c r="O69" i="3" s="1"/>
  <c r="I59" i="3"/>
  <c r="D72" i="3"/>
  <c r="R72" i="3" s="1" a="1"/>
  <c r="R72" i="3" s="1"/>
  <c r="E72" i="3"/>
  <c r="F95" i="3"/>
  <c r="D78" i="3"/>
  <c r="G95" i="3"/>
  <c r="D67" i="3"/>
  <c r="R67" i="3" s="1" a="1"/>
  <c r="R67" i="3" s="1"/>
  <c r="L78" i="3"/>
  <c r="F31" i="3"/>
  <c r="E67" i="3"/>
  <c r="W73" i="3" a="1"/>
  <c r="W73" i="3" s="1"/>
  <c r="I31" i="3"/>
  <c r="F52" i="3"/>
  <c r="F67" i="3"/>
  <c r="J31" i="3"/>
  <c r="H52" i="3"/>
  <c r="G67" i="3"/>
  <c r="W49" i="3" a="1"/>
  <c r="W49" i="3" s="1"/>
  <c r="D31" i="3"/>
  <c r="R31" i="3" s="1" a="1"/>
  <c r="R31" i="3" s="1"/>
  <c r="H67" i="3"/>
  <c r="I81" i="3"/>
  <c r="Q81" i="3" s="1"/>
  <c r="C47" i="3"/>
  <c r="F35" i="3"/>
  <c r="H47" i="3"/>
  <c r="H55" i="3"/>
  <c r="K70" i="3"/>
  <c r="D93" i="3"/>
  <c r="R93" i="3" s="1" a="1"/>
  <c r="R93" i="3" s="1"/>
  <c r="E93" i="3"/>
  <c r="I35" i="3"/>
  <c r="J47" i="3"/>
  <c r="J55" i="3"/>
  <c r="F93" i="3"/>
  <c r="I55" i="3"/>
  <c r="L35" i="3"/>
  <c r="K55" i="3"/>
  <c r="G66" i="3"/>
  <c r="B71" i="3"/>
  <c r="B82" i="3"/>
  <c r="G93" i="3"/>
  <c r="B48" i="3"/>
  <c r="L55" i="3"/>
  <c r="H66" i="3"/>
  <c r="C71" i="3"/>
  <c r="H93" i="3"/>
  <c r="C48" i="3"/>
  <c r="I66" i="3"/>
  <c r="F71" i="3"/>
  <c r="I93" i="3"/>
  <c r="E22" i="3"/>
  <c r="I29" i="3"/>
  <c r="D48" i="3"/>
  <c r="R48" i="3" s="1" a="1"/>
  <c r="R48" i="3" s="1"/>
  <c r="B56" i="3"/>
  <c r="J66" i="3"/>
  <c r="B84" i="3"/>
  <c r="J93" i="3"/>
  <c r="C35" i="3"/>
  <c r="G55" i="3"/>
  <c r="L29" i="3"/>
  <c r="E48" i="3"/>
  <c r="C56" i="3"/>
  <c r="K66" i="3"/>
  <c r="C84" i="3"/>
  <c r="L93" i="3"/>
  <c r="G35" i="3"/>
  <c r="I47" i="3"/>
  <c r="L70" i="3"/>
  <c r="F56" i="3"/>
  <c r="L66" i="3"/>
  <c r="D84" i="3"/>
  <c r="G47" i="3"/>
  <c r="J40" i="3"/>
  <c r="J56" i="3"/>
  <c r="F84" i="3"/>
  <c r="D26" i="3"/>
  <c r="R26" i="3" s="1" a="1"/>
  <c r="R26" i="3" s="1"/>
  <c r="G74" i="3"/>
  <c r="O74" i="3" s="1" a="1"/>
  <c r="O74" i="3" s="1"/>
  <c r="E26" i="3"/>
  <c r="E52" i="3"/>
  <c r="H74" i="3"/>
  <c r="E85" i="3"/>
  <c r="I74" i="3"/>
  <c r="Q74" i="3" s="1"/>
  <c r="F47" i="3"/>
  <c r="G26" i="3"/>
  <c r="G52" i="3"/>
  <c r="J59" i="3"/>
  <c r="L74" i="3"/>
  <c r="D96" i="3"/>
  <c r="R96" i="3" s="1" a="1"/>
  <c r="R96" i="3" s="1"/>
  <c r="J87" i="3"/>
  <c r="H26" i="3"/>
  <c r="I26" i="3"/>
  <c r="Q26" i="3" s="1"/>
  <c r="K31" i="3"/>
  <c r="D46" i="3"/>
  <c r="R46" i="3" s="1" a="1"/>
  <c r="R46" i="3" s="1"/>
  <c r="I52" i="3"/>
  <c r="L59" i="3"/>
  <c r="J67" i="3"/>
  <c r="K87" i="3"/>
  <c r="L26" i="3"/>
  <c r="E46" i="3"/>
  <c r="J52" i="3"/>
  <c r="K67" i="3"/>
  <c r="L87" i="3"/>
  <c r="K32" i="3"/>
  <c r="H46" i="3"/>
  <c r="K52" i="3"/>
  <c r="E17" i="3"/>
  <c r="L46" i="3"/>
  <c r="L52" i="3"/>
  <c r="C86" i="3"/>
  <c r="G90" i="3"/>
  <c r="I97" i="3"/>
  <c r="L30" i="3"/>
  <c r="D38" i="3"/>
  <c r="R38" i="3" s="1" a="1"/>
  <c r="R38" i="3" s="1"/>
  <c r="I42" i="3"/>
  <c r="H45" i="3"/>
  <c r="I49" i="3"/>
  <c r="AC49" i="3" s="1" a="1"/>
  <c r="AC49" i="3" s="1"/>
  <c r="B60" i="3"/>
  <c r="D63" i="3"/>
  <c r="R63" i="3" s="1" a="1"/>
  <c r="R63" i="3" s="1"/>
  <c r="G71" i="3"/>
  <c r="O71" i="3" s="1" a="1"/>
  <c r="O71" i="3" s="1"/>
  <c r="C79" i="3"/>
  <c r="C83" i="3"/>
  <c r="G86" i="3"/>
  <c r="K90" i="3"/>
  <c r="D98" i="3"/>
  <c r="Q87" i="3"/>
  <c r="Q63" i="3"/>
  <c r="Q39" i="3"/>
  <c r="B35" i="3"/>
  <c r="E38" i="3"/>
  <c r="J42" i="3"/>
  <c r="J49" i="3"/>
  <c r="C60" i="3"/>
  <c r="J63" i="3"/>
  <c r="H71" i="3"/>
  <c r="D79" i="3"/>
  <c r="F83" i="3"/>
  <c r="H86" i="3"/>
  <c r="L90" i="3"/>
  <c r="E98" i="3"/>
  <c r="K97" i="3"/>
  <c r="E31" i="3"/>
  <c r="H35" i="3"/>
  <c r="I38" i="3"/>
  <c r="B43" i="3"/>
  <c r="K46" i="3"/>
  <c r="D50" i="3"/>
  <c r="R50" i="3" s="1" a="1"/>
  <c r="R50" i="3" s="1"/>
  <c r="E53" i="3"/>
  <c r="I56" i="3"/>
  <c r="J60" i="3"/>
  <c r="B64" i="3"/>
  <c r="L71" i="3"/>
  <c r="E76" i="3"/>
  <c r="H79" i="3"/>
  <c r="J83" i="3"/>
  <c r="L86" i="3"/>
  <c r="D91" i="3"/>
  <c r="R91" i="3" s="1" a="1"/>
  <c r="R91" i="3" s="1"/>
  <c r="K94" i="3"/>
  <c r="I98" i="3"/>
  <c r="Q33" i="3"/>
  <c r="I90" i="3"/>
  <c r="D30" i="3"/>
  <c r="R30" i="3" s="1" a="1"/>
  <c r="R30" i="3" s="1"/>
  <c r="K49" i="3"/>
  <c r="F98" i="3"/>
  <c r="D45" i="3"/>
  <c r="R45" i="3" s="1" a="1"/>
  <c r="R45" i="3" s="1"/>
  <c r="G42" i="3"/>
  <c r="G38" i="3"/>
  <c r="B53" i="3"/>
  <c r="B91" i="3"/>
  <c r="J38" i="3"/>
  <c r="C43" i="3"/>
  <c r="E50" i="3"/>
  <c r="F53" i="3"/>
  <c r="J64" i="3"/>
  <c r="F76" i="3"/>
  <c r="I79" i="3"/>
  <c r="Q79" i="3" s="1"/>
  <c r="K83" i="3"/>
  <c r="E91" i="3"/>
  <c r="L94" i="3"/>
  <c r="L98" i="3"/>
  <c r="G31" i="3"/>
  <c r="J35" i="3"/>
  <c r="K38" i="3"/>
  <c r="D43" i="3"/>
  <c r="R43" i="3" s="1" a="1"/>
  <c r="R43" i="3" s="1"/>
  <c r="F50" i="3"/>
  <c r="I53" i="3"/>
  <c r="K56" i="3"/>
  <c r="D69" i="3"/>
  <c r="R69" i="3" s="1" a="1"/>
  <c r="R69" i="3" s="1"/>
  <c r="B72" i="3"/>
  <c r="G76" i="3"/>
  <c r="O76" i="3" s="1" a="1"/>
  <c r="O76" i="3" s="1"/>
  <c r="J79" i="3"/>
  <c r="L83" i="3"/>
  <c r="C87" i="3"/>
  <c r="F91" i="3"/>
  <c r="X117" i="3"/>
  <c r="D42" i="3"/>
  <c r="H31" i="3"/>
  <c r="K35" i="3"/>
  <c r="L38" i="3"/>
  <c r="E43" i="3"/>
  <c r="B47" i="3"/>
  <c r="G50" i="3"/>
  <c r="L53" i="3"/>
  <c r="L56" i="3"/>
  <c r="E69" i="3"/>
  <c r="C72" i="3"/>
  <c r="H76" i="3"/>
  <c r="K79" i="3"/>
  <c r="D87" i="3"/>
  <c r="G91" i="3"/>
  <c r="B95" i="3"/>
  <c r="H42" i="3"/>
  <c r="B83" i="3"/>
  <c r="C98" i="3"/>
  <c r="E79" i="3"/>
  <c r="E86" i="3"/>
  <c r="B79" i="3"/>
  <c r="F86" i="3"/>
  <c r="K42" i="3"/>
  <c r="I71" i="3"/>
  <c r="Q71" i="3" s="1"/>
  <c r="I86" i="3"/>
  <c r="Q86" i="3" s="1"/>
  <c r="E18" i="3"/>
  <c r="L42" i="3"/>
  <c r="F60" i="3"/>
  <c r="L63" i="3"/>
  <c r="J71" i="3"/>
  <c r="H83" i="3"/>
  <c r="G98" i="3"/>
  <c r="H38" i="3"/>
  <c r="C50" i="3"/>
  <c r="K71" i="3"/>
  <c r="I83" i="3"/>
  <c r="Q83" i="3" s="1"/>
  <c r="F43" i="3"/>
  <c r="I76" i="3"/>
  <c r="Q76" i="3" s="1"/>
  <c r="L79" i="3"/>
  <c r="H91" i="3"/>
  <c r="J76" i="3"/>
  <c r="E37" i="3"/>
  <c r="F45" i="3"/>
  <c r="K63" i="3"/>
  <c r="G83" i="3"/>
  <c r="F79" i="3"/>
  <c r="J86" i="3"/>
  <c r="C53" i="3"/>
  <c r="G60" i="3"/>
  <c r="B76" i="3"/>
  <c r="K86" i="3"/>
  <c r="C91" i="3"/>
  <c r="D94" i="3"/>
  <c r="R94" i="3" s="1" a="1"/>
  <c r="R94" i="3" s="1"/>
  <c r="H98" i="3"/>
  <c r="C39" i="3"/>
  <c r="I50" i="3"/>
  <c r="C54" i="3"/>
  <c r="E61" i="3"/>
  <c r="I91" i="3"/>
  <c r="B36" i="3"/>
  <c r="D39" i="3"/>
  <c r="R39" i="3" s="1" a="1"/>
  <c r="R39" i="3" s="1"/>
  <c r="H43" i="3"/>
  <c r="K76" i="3"/>
  <c r="C36" i="3"/>
  <c r="G39" i="3"/>
  <c r="I43" i="3"/>
  <c r="L54" i="3"/>
  <c r="B58" i="3"/>
  <c r="C62" i="3"/>
  <c r="I69" i="3"/>
  <c r="Q69" i="3" s="1"/>
  <c r="I73" i="3"/>
  <c r="Q73" i="3" s="1"/>
  <c r="L76" i="3"/>
  <c r="C80" i="3"/>
  <c r="K91" i="3"/>
  <c r="H95" i="3"/>
  <c r="B80" i="3"/>
  <c r="J43" i="3"/>
  <c r="D62" i="3"/>
  <c r="R62" i="3" s="1" a="1"/>
  <c r="R62" i="3" s="1"/>
  <c r="F80" i="3"/>
  <c r="B88" i="3"/>
  <c r="I95" i="3"/>
  <c r="G43" i="3"/>
  <c r="I57" i="3"/>
  <c r="L50" i="3"/>
  <c r="D54" i="3"/>
  <c r="R54" i="3" s="1" a="1"/>
  <c r="R54" i="3" s="1"/>
  <c r="J91" i="3"/>
  <c r="J39" i="3"/>
  <c r="J69" i="3"/>
  <c r="K43" i="3"/>
  <c r="B59" i="3"/>
  <c r="L69" i="3"/>
  <c r="B77" i="3"/>
  <c r="I80" i="3"/>
  <c r="Q80" i="3" s="1"/>
  <c r="G88" i="3"/>
  <c r="K95" i="3"/>
  <c r="D36" i="3"/>
  <c r="R36" i="3" s="1" a="1"/>
  <c r="R36" i="3" s="1"/>
  <c r="K73" i="3"/>
  <c r="F36" i="3"/>
  <c r="K39" i="3"/>
  <c r="B55" i="3"/>
  <c r="E62" i="3"/>
  <c r="E23" i="3"/>
  <c r="C32" i="3"/>
  <c r="G36" i="3"/>
  <c r="L39" i="3"/>
  <c r="K47" i="3"/>
  <c r="C55" i="3"/>
  <c r="C59" i="3"/>
  <c r="F62" i="3"/>
  <c r="C74" i="3"/>
  <c r="E77" i="3"/>
  <c r="J80" i="3"/>
  <c r="J88" i="3"/>
  <c r="L95" i="3"/>
  <c r="U100" i="3"/>
  <c r="E45" i="3"/>
  <c r="D86" i="3"/>
  <c r="C30" i="3"/>
  <c r="C38" i="3"/>
  <c r="G45" i="3"/>
  <c r="C63" i="3"/>
  <c r="J90" i="3"/>
  <c r="F38" i="3"/>
  <c r="D60" i="3"/>
  <c r="R60" i="3" s="1" a="1"/>
  <c r="R60" i="3" s="1"/>
  <c r="B29" i="3"/>
  <c r="F32" i="3"/>
  <c r="J36" i="3"/>
  <c r="L47" i="3"/>
  <c r="D55" i="3"/>
  <c r="R55" i="3" s="1" a="1"/>
  <c r="R55" i="3" s="1"/>
  <c r="F59" i="3"/>
  <c r="G62" i="3"/>
  <c r="B67" i="3"/>
  <c r="D70" i="3"/>
  <c r="R70" i="3" s="1" a="1"/>
  <c r="R70" i="3" s="1"/>
  <c r="D74" i="3"/>
  <c r="F77" i="3"/>
  <c r="K80" i="3"/>
  <c r="K88" i="3"/>
  <c r="B92" i="3"/>
  <c r="H90" i="3"/>
  <c r="C26" i="3"/>
  <c r="E29" i="3"/>
  <c r="I32" i="3"/>
  <c r="B40" i="3"/>
  <c r="B52" i="3"/>
  <c r="E55" i="3"/>
  <c r="G59" i="3"/>
  <c r="H62" i="3"/>
  <c r="C67" i="3"/>
  <c r="E70" i="3"/>
  <c r="E74" i="3"/>
  <c r="L77" i="3"/>
  <c r="L80" i="3"/>
  <c r="F92" i="3"/>
  <c r="B96" i="3"/>
  <c r="X119" i="3"/>
  <c r="B32" i="3"/>
  <c r="F29" i="3"/>
  <c r="J32" i="3"/>
  <c r="H59" i="3"/>
  <c r="I62" i="3"/>
  <c r="F74" i="3"/>
  <c r="H49" i="3"/>
  <c r="H73" i="3"/>
  <c r="H97" i="3"/>
  <c r="B41" i="3"/>
  <c r="B65" i="3"/>
  <c r="J73" i="3"/>
  <c r="B89" i="3"/>
  <c r="C96" i="3"/>
  <c r="J97" i="3"/>
  <c r="B34" i="3"/>
  <c r="C89" i="3"/>
  <c r="B51" i="3"/>
  <c r="C58" i="3"/>
  <c r="C82" i="3"/>
  <c r="D89" i="3"/>
  <c r="E96" i="3"/>
  <c r="L97" i="3"/>
  <c r="C27" i="3"/>
  <c r="D34" i="3"/>
  <c r="R34" i="3" s="1" a="1"/>
  <c r="R34" i="3" s="1"/>
  <c r="E41" i="3"/>
  <c r="B44" i="3"/>
  <c r="I45" i="3"/>
  <c r="F48" i="3"/>
  <c r="C51" i="3"/>
  <c r="D58" i="3"/>
  <c r="R58" i="3" s="1" a="1"/>
  <c r="R58" i="3" s="1"/>
  <c r="E65" i="3"/>
  <c r="B68" i="3"/>
  <c r="F72" i="3"/>
  <c r="C75" i="3"/>
  <c r="D82" i="3"/>
  <c r="E89" i="3"/>
  <c r="F96" i="3"/>
  <c r="S96" i="3" s="1" a="1"/>
  <c r="S96" i="3" s="1"/>
  <c r="D27" i="3"/>
  <c r="R27" i="3" s="1" a="1"/>
  <c r="R27" i="3" s="1"/>
  <c r="E34" i="3"/>
  <c r="B37" i="3"/>
  <c r="F41" i="3"/>
  <c r="C44" i="3"/>
  <c r="J45" i="3"/>
  <c r="G48" i="3"/>
  <c r="D51" i="3"/>
  <c r="R51" i="3" s="1" a="1"/>
  <c r="R51" i="3" s="1"/>
  <c r="E58" i="3"/>
  <c r="B61" i="3"/>
  <c r="F65" i="3"/>
  <c r="C68" i="3"/>
  <c r="G72" i="3"/>
  <c r="O72" i="3" s="1" a="1"/>
  <c r="O72" i="3" s="1"/>
  <c r="D75" i="3"/>
  <c r="E82" i="3"/>
  <c r="B85" i="3"/>
  <c r="F89" i="3"/>
  <c r="C92" i="3"/>
  <c r="G96" i="3"/>
  <c r="E27" i="3"/>
  <c r="B30" i="3"/>
  <c r="F34" i="3"/>
  <c r="C37" i="3"/>
  <c r="G41" i="3"/>
  <c r="D44" i="3"/>
  <c r="R44" i="3" s="1" a="1"/>
  <c r="R44" i="3" s="1"/>
  <c r="K45" i="3"/>
  <c r="H48" i="3"/>
  <c r="E51" i="3"/>
  <c r="B54" i="3"/>
  <c r="F58" i="3"/>
  <c r="C61" i="3"/>
  <c r="G65" i="3"/>
  <c r="D68" i="3"/>
  <c r="R68" i="3" s="1" a="1"/>
  <c r="R68" i="3" s="1"/>
  <c r="K69" i="3"/>
  <c r="H72" i="3"/>
  <c r="E75" i="3"/>
  <c r="B78" i="3"/>
  <c r="F82" i="3"/>
  <c r="C85" i="3"/>
  <c r="G89" i="3"/>
  <c r="O89" i="3" s="1" a="1"/>
  <c r="O89" i="3" s="1"/>
  <c r="D92" i="3"/>
  <c r="R92" i="3" s="1" a="1"/>
  <c r="R92" i="3" s="1"/>
  <c r="K93" i="3"/>
  <c r="H96" i="3"/>
  <c r="C65" i="3"/>
  <c r="F27" i="3"/>
  <c r="G34" i="3"/>
  <c r="D37" i="3"/>
  <c r="R37" i="3" s="1" a="1"/>
  <c r="R37" i="3" s="1"/>
  <c r="H41" i="3"/>
  <c r="E44" i="3"/>
  <c r="L45" i="3"/>
  <c r="I48" i="3"/>
  <c r="F51" i="3"/>
  <c r="G58" i="3"/>
  <c r="D61" i="3"/>
  <c r="R61" i="3" s="1" a="1"/>
  <c r="R61" i="3" s="1"/>
  <c r="H65" i="3"/>
  <c r="E68" i="3"/>
  <c r="I72" i="3"/>
  <c r="Q72" i="3" s="1"/>
  <c r="F75" i="3"/>
  <c r="C78" i="3"/>
  <c r="G82" i="3"/>
  <c r="O82" i="3" s="1" a="1"/>
  <c r="O82" i="3" s="1"/>
  <c r="D85" i="3"/>
  <c r="H89" i="3"/>
  <c r="E92" i="3"/>
  <c r="I96" i="3"/>
  <c r="I41" i="3"/>
  <c r="F68" i="3"/>
  <c r="F44" i="3"/>
  <c r="J72" i="3"/>
  <c r="G75" i="3"/>
  <c r="O75" i="3" s="1" a="1"/>
  <c r="O75" i="3" s="1"/>
  <c r="H82" i="3"/>
  <c r="I89" i="3"/>
  <c r="Q89" i="3" s="1"/>
  <c r="J96" i="3"/>
  <c r="H27" i="3"/>
  <c r="E30" i="3"/>
  <c r="I34" i="3"/>
  <c r="F37" i="3"/>
  <c r="C40" i="3"/>
  <c r="J41" i="3"/>
  <c r="G44" i="3"/>
  <c r="D47" i="3"/>
  <c r="R47" i="3" s="1" a="1"/>
  <c r="R47" i="3" s="1"/>
  <c r="K48" i="3"/>
  <c r="H51" i="3"/>
  <c r="E54" i="3"/>
  <c r="B57" i="3"/>
  <c r="I58" i="3"/>
  <c r="F61" i="3"/>
  <c r="C64" i="3"/>
  <c r="J65" i="3"/>
  <c r="G68" i="3"/>
  <c r="D71" i="3"/>
  <c r="R71" i="3" s="1" a="1"/>
  <c r="R71" i="3" s="1"/>
  <c r="K72" i="3"/>
  <c r="H75" i="3"/>
  <c r="E78" i="3"/>
  <c r="B81" i="3"/>
  <c r="I82" i="3"/>
  <c r="Q82" i="3" s="1"/>
  <c r="F85" i="3"/>
  <c r="C88" i="3"/>
  <c r="J89" i="3"/>
  <c r="G92" i="3"/>
  <c r="O92" i="3" s="1" a="1"/>
  <c r="O92" i="3" s="1"/>
  <c r="D95" i="3"/>
  <c r="R95" i="3" s="1" a="1"/>
  <c r="R95" i="3" s="1"/>
  <c r="K96" i="3"/>
  <c r="H34" i="3"/>
  <c r="B26" i="3"/>
  <c r="I27" i="3"/>
  <c r="F30" i="3"/>
  <c r="J34" i="3"/>
  <c r="G37" i="3"/>
  <c r="D40" i="3"/>
  <c r="R40" i="3" s="1" a="1"/>
  <c r="R40" i="3" s="1"/>
  <c r="K41" i="3"/>
  <c r="H44" i="3"/>
  <c r="L48" i="3"/>
  <c r="B50" i="3"/>
  <c r="I51" i="3"/>
  <c r="F54" i="3"/>
  <c r="C57" i="3"/>
  <c r="J58" i="3"/>
  <c r="G61" i="3"/>
  <c r="D64" i="3"/>
  <c r="R64" i="3" s="1" a="1"/>
  <c r="R64" i="3" s="1"/>
  <c r="K65" i="3"/>
  <c r="H68" i="3"/>
  <c r="B74" i="3"/>
  <c r="I75" i="3"/>
  <c r="Q75" i="3" s="1"/>
  <c r="F78" i="3"/>
  <c r="C81" i="3"/>
  <c r="J82" i="3"/>
  <c r="G85" i="3"/>
  <c r="O85" i="3" s="1" a="1"/>
  <c r="O85" i="3" s="1"/>
  <c r="D88" i="3"/>
  <c r="K89" i="3"/>
  <c r="H92" i="3"/>
  <c r="E95" i="3"/>
  <c r="B98" i="3"/>
  <c r="D41" i="3"/>
  <c r="R41" i="3" s="1" a="1"/>
  <c r="R41" i="3" s="1"/>
  <c r="D65" i="3"/>
  <c r="R65" i="3" s="1" a="1"/>
  <c r="R65" i="3" s="1"/>
  <c r="L73" i="3"/>
  <c r="B75" i="3"/>
  <c r="G27" i="3"/>
  <c r="G51" i="3"/>
  <c r="H58" i="3"/>
  <c r="I65" i="3"/>
  <c r="J27" i="3"/>
  <c r="G30" i="3"/>
  <c r="K34" i="3"/>
  <c r="H37" i="3"/>
  <c r="E40" i="3"/>
  <c r="L41" i="3"/>
  <c r="I44" i="3"/>
  <c r="J51" i="3"/>
  <c r="G54" i="3"/>
  <c r="D57" i="3"/>
  <c r="R57" i="3" s="1" a="1"/>
  <c r="R57" i="3" s="1"/>
  <c r="K58" i="3"/>
  <c r="H61" i="3"/>
  <c r="E64" i="3"/>
  <c r="I68" i="3"/>
  <c r="J75" i="3"/>
  <c r="G78" i="3"/>
  <c r="O78" i="3" s="1" a="1"/>
  <c r="O78" i="3" s="1"/>
  <c r="D81" i="3"/>
  <c r="K82" i="3"/>
  <c r="H85" i="3"/>
  <c r="E88" i="3"/>
  <c r="I92" i="3"/>
  <c r="B27" i="3"/>
  <c r="C34" i="3"/>
  <c r="K27" i="3"/>
  <c r="H30" i="3"/>
  <c r="I37" i="3"/>
  <c r="F40" i="3"/>
  <c r="J44" i="3"/>
  <c r="K51" i="3"/>
  <c r="H54" i="3"/>
  <c r="E57" i="3"/>
  <c r="I61" i="3"/>
  <c r="F64" i="3"/>
  <c r="J68" i="3"/>
  <c r="K75" i="3"/>
  <c r="H78" i="3"/>
  <c r="E81" i="3"/>
  <c r="I85" i="3"/>
  <c r="Q85" i="3" s="1"/>
  <c r="F88" i="3"/>
  <c r="J92" i="3"/>
  <c r="I30" i="3"/>
  <c r="J37" i="3"/>
  <c r="G40" i="3"/>
  <c r="K44" i="3"/>
  <c r="I54" i="3"/>
  <c r="F57" i="3"/>
  <c r="J61" i="3"/>
  <c r="G64" i="3"/>
  <c r="K68" i="3"/>
  <c r="F81" i="3"/>
  <c r="J85" i="3"/>
  <c r="K92" i="3"/>
  <c r="C29" i="3"/>
  <c r="J54" i="3"/>
  <c r="G57" i="3"/>
  <c r="K61" i="3"/>
  <c r="H64" i="3"/>
  <c r="B70" i="3"/>
  <c r="C77" i="3"/>
  <c r="J78" i="3"/>
  <c r="G81" i="3"/>
  <c r="O81" i="3" s="1" a="1"/>
  <c r="O81" i="3" s="1"/>
  <c r="K85" i="3"/>
  <c r="H88" i="3"/>
  <c r="B94" i="3"/>
  <c r="L49" i="3"/>
  <c r="J30" i="3"/>
  <c r="K37" i="3"/>
  <c r="H40" i="3"/>
  <c r="B46" i="3"/>
  <c r="D29" i="3"/>
  <c r="R29" i="3" s="1" a="1"/>
  <c r="R29" i="3" s="1"/>
  <c r="E36" i="3"/>
  <c r="B39" i="3"/>
  <c r="I40" i="3"/>
  <c r="C46" i="3"/>
  <c r="D53" i="3"/>
  <c r="R53" i="3" s="1" a="1"/>
  <c r="R53" i="3" s="1"/>
  <c r="H57" i="3"/>
  <c r="E60" i="3"/>
  <c r="B63" i="3"/>
  <c r="I64" i="3"/>
  <c r="C70" i="3"/>
  <c r="D77" i="3"/>
  <c r="H81" i="3"/>
  <c r="E84" i="3"/>
  <c r="B87" i="3"/>
  <c r="I88" i="3"/>
  <c r="Q88" i="3" s="1"/>
  <c r="C94" i="3"/>
  <c r="K40" i="3"/>
  <c r="E94" i="3"/>
  <c r="B97" i="3"/>
  <c r="B49" i="3"/>
  <c r="J57" i="3"/>
  <c r="J26" i="3"/>
  <c r="G29" i="3"/>
  <c r="D32" i="3"/>
  <c r="R32" i="3" s="1" a="1"/>
  <c r="R32" i="3" s="1"/>
  <c r="H36" i="3"/>
  <c r="E39" i="3"/>
  <c r="B42" i="3"/>
  <c r="F46" i="3"/>
  <c r="C49" i="3"/>
  <c r="J50" i="3"/>
  <c r="G53" i="3"/>
  <c r="D56" i="3"/>
  <c r="R56" i="3" s="1" a="1"/>
  <c r="R56" i="3" s="1"/>
  <c r="K57" i="3"/>
  <c r="H60" i="3"/>
  <c r="E63" i="3"/>
  <c r="L64" i="3"/>
  <c r="B66" i="3"/>
  <c r="F70" i="3"/>
  <c r="C73" i="3"/>
  <c r="J74" i="3"/>
  <c r="G77" i="3"/>
  <c r="O77" i="3" s="1" a="1"/>
  <c r="O77" i="3" s="1"/>
  <c r="D80" i="3"/>
  <c r="K81" i="3"/>
  <c r="H84" i="3"/>
  <c r="E87" i="3"/>
  <c r="B90" i="3"/>
  <c r="F94" i="3"/>
  <c r="C97" i="3"/>
  <c r="J98" i="3"/>
  <c r="B73" i="3"/>
  <c r="J81" i="3"/>
  <c r="H29" i="3"/>
  <c r="E32" i="3"/>
  <c r="I36" i="3"/>
  <c r="F39" i="3"/>
  <c r="C42" i="3"/>
  <c r="G46" i="3"/>
  <c r="D49" i="3"/>
  <c r="R49" i="3" s="1" a="1"/>
  <c r="R49" i="3" s="1"/>
  <c r="H53" i="3"/>
  <c r="E56" i="3"/>
  <c r="I60" i="3"/>
  <c r="F63" i="3"/>
  <c r="C66" i="3"/>
  <c r="G70" i="3"/>
  <c r="O70" i="3" s="1" a="1"/>
  <c r="O70" i="3" s="1"/>
  <c r="D73" i="3"/>
  <c r="H77" i="3"/>
  <c r="E80" i="3"/>
  <c r="I84" i="3"/>
  <c r="Q84" i="3" s="1"/>
  <c r="F87" i="3"/>
  <c r="C90" i="3"/>
  <c r="G94" i="3"/>
  <c r="T95" i="3"/>
  <c r="D97" i="3"/>
  <c r="E49" i="3"/>
  <c r="G63" i="3"/>
  <c r="D66" i="3"/>
  <c r="S66" i="3" s="1" a="1"/>
  <c r="S66" i="3" s="1"/>
  <c r="H70" i="3"/>
  <c r="E73" i="3"/>
  <c r="I77" i="3"/>
  <c r="Q77" i="3" s="1"/>
  <c r="J84" i="3"/>
  <c r="G87" i="3"/>
  <c r="D90" i="3"/>
  <c r="S90" i="3" s="1" a="1"/>
  <c r="S90" i="3" s="1"/>
  <c r="H94" i="3"/>
  <c r="E97" i="3"/>
  <c r="C28" i="3"/>
  <c r="J29" i="3"/>
  <c r="G32" i="3"/>
  <c r="D35" i="3"/>
  <c r="R35" i="3" s="1" a="1"/>
  <c r="R35" i="3" s="1"/>
  <c r="K36" i="3"/>
  <c r="H39" i="3"/>
  <c r="E42" i="3"/>
  <c r="B45" i="3"/>
  <c r="I46" i="3"/>
  <c r="F49" i="3"/>
  <c r="C52" i="3"/>
  <c r="J53" i="3"/>
  <c r="G56" i="3"/>
  <c r="D59" i="3"/>
  <c r="R59" i="3" s="1" a="1"/>
  <c r="R59" i="3" s="1"/>
  <c r="K60" i="3"/>
  <c r="H63" i="3"/>
  <c r="E66" i="3"/>
  <c r="B69" i="3"/>
  <c r="I70" i="3"/>
  <c r="Q70" i="3" s="1"/>
  <c r="F73" i="3"/>
  <c r="C76" i="3"/>
  <c r="J77" i="3"/>
  <c r="G80" i="3"/>
  <c r="O80" i="3" s="1" a="1"/>
  <c r="O80" i="3" s="1"/>
  <c r="D83" i="3"/>
  <c r="K84" i="3"/>
  <c r="H87" i="3"/>
  <c r="E90" i="3"/>
  <c r="B93" i="3"/>
  <c r="I94" i="3"/>
  <c r="F97" i="3"/>
  <c r="I19" i="3" l="1"/>
  <c r="I20" i="3"/>
  <c r="J20" i="3"/>
  <c r="K20" i="3" s="1"/>
  <c r="J18" i="3"/>
  <c r="J19" i="3"/>
  <c r="K19" i="3" s="1"/>
  <c r="I18" i="3"/>
  <c r="I21" i="3" s="1"/>
  <c r="T78" i="3" a="1"/>
  <c r="T78" i="3" s="1"/>
  <c r="R78" i="3" a="1"/>
  <c r="R78" i="3" s="1"/>
  <c r="AC37" i="3" a="1"/>
  <c r="AC37" i="3" s="1"/>
  <c r="AD37" i="3" a="1"/>
  <c r="AD37" i="3" s="1"/>
  <c r="AA37" i="3" a="1"/>
  <c r="AA37" i="3" s="1"/>
  <c r="T82" i="3" a="1"/>
  <c r="T82" i="3" s="1"/>
  <c r="R82" i="3" a="1"/>
  <c r="R82" i="3" s="1"/>
  <c r="AC39" i="3" a="1"/>
  <c r="AC39" i="3" s="1"/>
  <c r="AD39" i="3" a="1"/>
  <c r="AD39" i="3" s="1"/>
  <c r="AA39" i="3" a="1"/>
  <c r="AA39" i="3" s="1"/>
  <c r="AC35" i="3" a="1"/>
  <c r="AC35" i="3" s="1"/>
  <c r="AD35" i="3" a="1"/>
  <c r="AD35" i="3" s="1"/>
  <c r="AA35" i="3" a="1"/>
  <c r="AA35" i="3" s="1"/>
  <c r="S95" i="3" a="1"/>
  <c r="S95" i="3" s="1"/>
  <c r="AC31" i="3" a="1"/>
  <c r="AC31" i="3" s="1"/>
  <c r="AD31" i="3" a="1"/>
  <c r="AD31" i="3" s="1"/>
  <c r="AA31" i="3" a="1"/>
  <c r="AA31" i="3" s="1"/>
  <c r="AC26" i="3" a="1"/>
  <c r="AC26" i="3" s="1"/>
  <c r="AD26" i="3" a="1"/>
  <c r="AD26" i="3" s="1"/>
  <c r="AA26" i="3" a="1"/>
  <c r="AA26" i="3" s="1"/>
  <c r="U35" i="3" a="1"/>
  <c r="U35" i="3" s="1"/>
  <c r="S35" i="3" a="1"/>
  <c r="S35" i="3" s="1"/>
  <c r="AC68" i="3" a="1"/>
  <c r="AC68" i="3" s="1"/>
  <c r="AD68" i="3" a="1"/>
  <c r="AD68" i="3" s="1"/>
  <c r="AA68" i="3" a="1"/>
  <c r="AA68" i="3" s="1"/>
  <c r="U77" i="3" a="1"/>
  <c r="U77" i="3" s="1"/>
  <c r="S77" i="3" a="1"/>
  <c r="S77" i="3" s="1"/>
  <c r="U80" i="3" a="1"/>
  <c r="U80" i="3" s="1"/>
  <c r="S80" i="3" a="1"/>
  <c r="S80" i="3" s="1"/>
  <c r="U45" i="3" a="1"/>
  <c r="U45" i="3" s="1"/>
  <c r="S45" i="3" a="1"/>
  <c r="S45" i="3" s="1"/>
  <c r="AC50" i="3" a="1"/>
  <c r="AC50" i="3" s="1"/>
  <c r="AD50" i="3" a="1"/>
  <c r="AD50" i="3" s="1"/>
  <c r="AA50" i="3" a="1"/>
  <c r="AA50" i="3" s="1"/>
  <c r="U47" i="3" a="1"/>
  <c r="U47" i="3" s="1"/>
  <c r="S47" i="3" a="1"/>
  <c r="S47" i="3" s="1"/>
  <c r="U92" i="3" a="1"/>
  <c r="U92" i="3" s="1"/>
  <c r="S92" i="3" a="1"/>
  <c r="S92" i="3" s="1"/>
  <c r="T74" i="3" a="1"/>
  <c r="T74" i="3" s="1"/>
  <c r="R74" i="3" a="1"/>
  <c r="R74" i="3" s="1"/>
  <c r="AC30" i="3" a="1"/>
  <c r="AC30" i="3" s="1"/>
  <c r="AD30" i="3" a="1"/>
  <c r="AD30" i="3" s="1"/>
  <c r="AA30" i="3" a="1"/>
  <c r="AA30" i="3" s="1"/>
  <c r="AC65" i="3" a="1"/>
  <c r="AC65" i="3" s="1"/>
  <c r="AD65" i="3" a="1"/>
  <c r="AD65" i="3" s="1"/>
  <c r="AA65" i="3" a="1"/>
  <c r="AA65" i="3" s="1"/>
  <c r="T75" i="3" a="1"/>
  <c r="T75" i="3" s="1"/>
  <c r="R75" i="3" a="1"/>
  <c r="R75" i="3" s="1"/>
  <c r="U26" i="3" a="1"/>
  <c r="U26" i="3" s="1"/>
  <c r="S26" i="3" a="1"/>
  <c r="S26" i="3" s="1"/>
  <c r="U69" i="3" a="1"/>
  <c r="U69" i="3" s="1"/>
  <c r="S69" i="3" a="1"/>
  <c r="S69" i="3" s="1"/>
  <c r="U49" i="3" a="1"/>
  <c r="U49" i="3" s="1"/>
  <c r="S49" i="3" a="1"/>
  <c r="S49" i="3" s="1"/>
  <c r="AA63" i="3" a="1"/>
  <c r="AA63" i="3" s="1"/>
  <c r="AC63" i="3" a="1"/>
  <c r="AC63" i="3" s="1"/>
  <c r="AD63" i="3" a="1"/>
  <c r="AD63" i="3" s="1"/>
  <c r="AC46" i="3" a="1"/>
  <c r="AC46" i="3" s="1"/>
  <c r="AD46" i="3" a="1"/>
  <c r="AD46" i="3" s="1"/>
  <c r="AA46" i="3" a="1"/>
  <c r="AA46" i="3" s="1"/>
  <c r="U61" i="3" a="1"/>
  <c r="U61" i="3" s="1"/>
  <c r="S61" i="3" a="1"/>
  <c r="S61" i="3" s="1"/>
  <c r="AC57" i="3" a="1"/>
  <c r="AC57" i="3" s="1"/>
  <c r="AD57" i="3" a="1"/>
  <c r="AD57" i="3" s="1"/>
  <c r="AA57" i="3" a="1"/>
  <c r="AA57" i="3" s="1"/>
  <c r="U58" i="3" a="1"/>
  <c r="U58" i="3" s="1"/>
  <c r="S58" i="3" a="1"/>
  <c r="S58" i="3" s="1"/>
  <c r="U48" i="3" a="1"/>
  <c r="U48" i="3" s="1"/>
  <c r="S48" i="3" a="1"/>
  <c r="S48" i="3" s="1"/>
  <c r="AC62" i="3" a="1"/>
  <c r="AC62" i="3" s="1"/>
  <c r="AD62" i="3" a="1"/>
  <c r="AD62" i="3" s="1"/>
  <c r="AA62" i="3" a="1"/>
  <c r="AA62" i="3" s="1"/>
  <c r="S86" i="3" a="1"/>
  <c r="S86" i="3" s="1"/>
  <c r="U86" i="3" a="1"/>
  <c r="U86" i="3" s="1"/>
  <c r="AC55" i="3" a="1"/>
  <c r="AC55" i="3" s="1"/>
  <c r="AD55" i="3" a="1"/>
  <c r="AD55" i="3" s="1"/>
  <c r="AA55" i="3" a="1"/>
  <c r="AA55" i="3" s="1"/>
  <c r="AC66" i="3" a="1"/>
  <c r="AC66" i="3" s="1"/>
  <c r="AD66" i="3" a="1"/>
  <c r="AD66" i="3" s="1"/>
  <c r="AA66" i="3" a="1"/>
  <c r="AA66" i="3" s="1"/>
  <c r="S88" i="3" a="1"/>
  <c r="S88" i="3" s="1"/>
  <c r="U88" i="3" a="1"/>
  <c r="U88" i="3" s="1"/>
  <c r="AC51" i="3" a="1"/>
  <c r="AC51" i="3" s="1"/>
  <c r="AD51" i="3" a="1"/>
  <c r="AD51" i="3" s="1"/>
  <c r="AA51" i="3" a="1"/>
  <c r="AA51" i="3" s="1"/>
  <c r="AD27" i="3" a="1"/>
  <c r="AD27" i="3" s="1"/>
  <c r="AA27" i="3" a="1"/>
  <c r="AA27" i="3" s="1"/>
  <c r="AC27" i="3" a="1"/>
  <c r="AC27" i="3" s="1"/>
  <c r="AC67" i="3" a="1"/>
  <c r="AC67" i="3" s="1"/>
  <c r="AD67" i="3" a="1"/>
  <c r="AD67" i="3" s="1"/>
  <c r="AA67" i="3" a="1"/>
  <c r="AA67" i="3" s="1"/>
  <c r="AC48" i="3" a="1"/>
  <c r="AC48" i="3" s="1"/>
  <c r="AD48" i="3" a="1"/>
  <c r="AD48" i="3" s="1"/>
  <c r="AA48" i="3" a="1"/>
  <c r="AA48" i="3" s="1"/>
  <c r="U32" i="3" a="1"/>
  <c r="U32" i="3" s="1"/>
  <c r="S32" i="3" a="1"/>
  <c r="S32" i="3" s="1"/>
  <c r="U76" i="3" a="1"/>
  <c r="U76" i="3" s="1"/>
  <c r="S76" i="3" a="1"/>
  <c r="S76" i="3" s="1"/>
  <c r="U83" i="3" a="1"/>
  <c r="U83" i="3" s="1"/>
  <c r="S83" i="3" a="1"/>
  <c r="S83" i="3" s="1"/>
  <c r="AD49" i="3" a="1"/>
  <c r="AD49" i="3" s="1"/>
  <c r="U51" i="3" a="1"/>
  <c r="U51" i="3" s="1"/>
  <c r="S51" i="3" a="1"/>
  <c r="S51" i="3" s="1"/>
  <c r="U89" i="3" a="1"/>
  <c r="U89" i="3" s="1"/>
  <c r="S89" i="3" a="1"/>
  <c r="S89" i="3" s="1"/>
  <c r="AC56" i="3" a="1"/>
  <c r="AC56" i="3" s="1"/>
  <c r="AD56" i="3" a="1"/>
  <c r="AD56" i="3" s="1"/>
  <c r="AA56" i="3" a="1"/>
  <c r="AA56" i="3" s="1"/>
  <c r="T80" i="3" a="1"/>
  <c r="T80" i="3" s="1"/>
  <c r="R80" i="3" a="1"/>
  <c r="R80" i="3" s="1"/>
  <c r="T88" i="3" a="1"/>
  <c r="T88" i="3" s="1"/>
  <c r="R88" i="3" a="1"/>
  <c r="R88" i="3" s="1"/>
  <c r="R66" i="3" a="1"/>
  <c r="R66" i="3" s="1"/>
  <c r="U66" i="3" a="1"/>
  <c r="U66" i="3" s="1"/>
  <c r="U39" i="3" a="1"/>
  <c r="U39" i="3" s="1"/>
  <c r="S39" i="3" a="1"/>
  <c r="S39" i="3" s="1"/>
  <c r="U78" i="3" a="1"/>
  <c r="U78" i="3" s="1"/>
  <c r="S78" i="3" a="1"/>
  <c r="S78" i="3" s="1"/>
  <c r="AC34" i="3" a="1"/>
  <c r="AC34" i="3" s="1"/>
  <c r="AD34" i="3" a="1"/>
  <c r="AD34" i="3" s="1"/>
  <c r="AA34" i="3" a="1"/>
  <c r="AA34" i="3" s="1"/>
  <c r="S65" i="3" a="1"/>
  <c r="S65" i="3" s="1"/>
  <c r="U65" i="3" a="1"/>
  <c r="U65" i="3" s="1"/>
  <c r="U59" i="3" a="1"/>
  <c r="U59" i="3" s="1"/>
  <c r="S59" i="3" a="1"/>
  <c r="S59" i="3" s="1"/>
  <c r="AC44" i="3" a="1"/>
  <c r="AC44" i="3" s="1"/>
  <c r="AD44" i="3" a="1"/>
  <c r="AD44" i="3" s="1"/>
  <c r="AA44" i="3" a="1"/>
  <c r="AA44" i="3" s="1"/>
  <c r="AA41" i="3" a="1"/>
  <c r="AA41" i="3" s="1"/>
  <c r="AC41" i="3" a="1"/>
  <c r="AC41" i="3" s="1"/>
  <c r="AD41" i="3" a="1"/>
  <c r="AD41" i="3" s="1"/>
  <c r="S43" i="3" a="1"/>
  <c r="S43" i="3" s="1"/>
  <c r="U43" i="3" a="1"/>
  <c r="U43" i="3" s="1"/>
  <c r="U91" i="3" a="1"/>
  <c r="U91" i="3" s="1"/>
  <c r="S91" i="3" a="1"/>
  <c r="S91" i="3" s="1"/>
  <c r="T79" i="3" a="1"/>
  <c r="T79" i="3" s="1"/>
  <c r="R79" i="3" a="1"/>
  <c r="R79" i="3" s="1"/>
  <c r="U67" i="3" a="1"/>
  <c r="U67" i="3" s="1"/>
  <c r="S67" i="3" a="1"/>
  <c r="S67" i="3" s="1"/>
  <c r="S44" i="3" a="1"/>
  <c r="S44" i="3" s="1"/>
  <c r="U44" i="3" a="1"/>
  <c r="U44" i="3" s="1"/>
  <c r="U72" i="3" a="1"/>
  <c r="U72" i="3" s="1"/>
  <c r="S72" i="3" a="1"/>
  <c r="S72" i="3" s="1"/>
  <c r="U68" i="3" a="1"/>
  <c r="U68" i="3" s="1"/>
  <c r="S68" i="3" a="1"/>
  <c r="S68" i="3" s="1"/>
  <c r="U70" i="3" a="1"/>
  <c r="U70" i="3" s="1"/>
  <c r="S70" i="3" a="1"/>
  <c r="S70" i="3" s="1"/>
  <c r="U93" i="3" a="1"/>
  <c r="U93" i="3" s="1"/>
  <c r="S93" i="3" a="1"/>
  <c r="S93" i="3" s="1"/>
  <c r="U52" i="3" a="1"/>
  <c r="U52" i="3" s="1"/>
  <c r="S52" i="3" a="1"/>
  <c r="S52" i="3" s="1"/>
  <c r="AA49" i="3" a="1"/>
  <c r="AA49" i="3" s="1"/>
  <c r="AC59" i="3" a="1"/>
  <c r="AC59" i="3" s="1"/>
  <c r="AD59" i="3" a="1"/>
  <c r="AD59" i="3" s="1"/>
  <c r="AA59" i="3" a="1"/>
  <c r="AA59" i="3" s="1"/>
  <c r="U62" i="3" a="1"/>
  <c r="U62" i="3" s="1"/>
  <c r="S62" i="3" a="1"/>
  <c r="S62" i="3" s="1"/>
  <c r="AC32" i="3" a="1"/>
  <c r="AC32" i="3" s="1"/>
  <c r="AD32" i="3" a="1"/>
  <c r="AD32" i="3" s="1"/>
  <c r="AA32" i="3" a="1"/>
  <c r="AA32" i="3" s="1"/>
  <c r="T81" i="3" a="1"/>
  <c r="T81" i="3" s="1"/>
  <c r="R81" i="3" a="1"/>
  <c r="R81" i="3" s="1"/>
  <c r="AC61" i="3" a="1"/>
  <c r="AC61" i="3" s="1"/>
  <c r="AD61" i="3" a="1"/>
  <c r="AD61" i="3" s="1"/>
  <c r="AA61" i="3" a="1"/>
  <c r="AA61" i="3" s="1"/>
  <c r="U84" i="3" a="1"/>
  <c r="U84" i="3" s="1"/>
  <c r="S84" i="3" a="1"/>
  <c r="S84" i="3" s="1"/>
  <c r="U55" i="3" a="1"/>
  <c r="U55" i="3" s="1"/>
  <c r="U53" i="3" a="1"/>
  <c r="U53" i="3" s="1"/>
  <c r="S53" i="3" a="1"/>
  <c r="S53" i="3" s="1"/>
  <c r="AC53" i="3" a="1"/>
  <c r="AC53" i="3" s="1"/>
  <c r="AD53" i="3" a="1"/>
  <c r="AD53" i="3" s="1"/>
  <c r="AA53" i="3" a="1"/>
  <c r="AA53" i="3" s="1"/>
  <c r="U81" i="3" a="1"/>
  <c r="U81" i="3" s="1"/>
  <c r="S81" i="3" a="1"/>
  <c r="S81" i="3" s="1"/>
  <c r="S64" i="3" a="1"/>
  <c r="S64" i="3" s="1"/>
  <c r="U64" i="3" a="1"/>
  <c r="U64" i="3" s="1"/>
  <c r="U34" i="3" a="1"/>
  <c r="U34" i="3" s="1"/>
  <c r="S34" i="3" a="1"/>
  <c r="S34" i="3" s="1"/>
  <c r="U41" i="3" a="1"/>
  <c r="U41" i="3" s="1"/>
  <c r="S41" i="3" a="1"/>
  <c r="S41" i="3" s="1"/>
  <c r="U74" i="3" a="1"/>
  <c r="U74" i="3" s="1"/>
  <c r="S74" i="3" a="1"/>
  <c r="S74" i="3" s="1"/>
  <c r="S38" i="3" a="1"/>
  <c r="S38" i="3" s="1"/>
  <c r="U38" i="3" a="1"/>
  <c r="U38" i="3" s="1"/>
  <c r="T83" i="3" a="1"/>
  <c r="T83" i="3" s="1"/>
  <c r="R83" i="3" a="1"/>
  <c r="R83" i="3" s="1"/>
  <c r="U37" i="3" a="1"/>
  <c r="U37" i="3" s="1"/>
  <c r="S37" i="3" a="1"/>
  <c r="S37" i="3" s="1"/>
  <c r="AC36" i="3" a="1"/>
  <c r="AC36" i="3" s="1"/>
  <c r="AD36" i="3" a="1"/>
  <c r="AD36" i="3" s="1"/>
  <c r="AA36" i="3" a="1"/>
  <c r="AA36" i="3" s="1"/>
  <c r="S55" i="3" a="1"/>
  <c r="S55" i="3" s="1"/>
  <c r="U27" i="3" a="1"/>
  <c r="U27" i="3" s="1"/>
  <c r="S27" i="3" a="1"/>
  <c r="S27" i="3" s="1"/>
  <c r="R42" i="3" a="1"/>
  <c r="R42" i="3" s="1"/>
  <c r="S42" i="3" a="1"/>
  <c r="S42" i="3" s="1"/>
  <c r="T77" i="3" a="1"/>
  <c r="T77" i="3" s="1"/>
  <c r="R77" i="3" a="1"/>
  <c r="R77" i="3" s="1"/>
  <c r="U40" i="3" a="1"/>
  <c r="U40" i="3" s="1"/>
  <c r="S40" i="3" a="1"/>
  <c r="S40" i="3" s="1"/>
  <c r="T73" i="3" a="1"/>
  <c r="T73" i="3" s="1"/>
  <c r="R73" i="3" a="1"/>
  <c r="R73" i="3" s="1"/>
  <c r="T90" i="3" a="1"/>
  <c r="T90" i="3" s="1"/>
  <c r="R90" i="3" a="1"/>
  <c r="R90" i="3" s="1"/>
  <c r="U94" i="3" a="1"/>
  <c r="U94" i="3" s="1"/>
  <c r="S94" i="3" a="1"/>
  <c r="S94" i="3" s="1"/>
  <c r="AC29" i="3" a="1"/>
  <c r="AC29" i="3" s="1"/>
  <c r="AD29" i="3" a="1"/>
  <c r="AD29" i="3" s="1"/>
  <c r="AA29" i="3" a="1"/>
  <c r="AA29" i="3" s="1"/>
  <c r="AC47" i="3" a="1"/>
  <c r="AC47" i="3" s="1"/>
  <c r="AD47" i="3" a="1"/>
  <c r="AD47" i="3" s="1"/>
  <c r="AA47" i="3" a="1"/>
  <c r="AA47" i="3" s="1"/>
  <c r="U31" i="3" a="1"/>
  <c r="U31" i="3" s="1"/>
  <c r="S31" i="3" a="1"/>
  <c r="S31" i="3" s="1"/>
  <c r="U82" i="3" a="1"/>
  <c r="U82" i="3" s="1"/>
  <c r="S82" i="3" a="1"/>
  <c r="S82" i="3" s="1"/>
  <c r="T86" i="3" a="1"/>
  <c r="T86" i="3" s="1"/>
  <c r="R86" i="3" a="1"/>
  <c r="R86" i="3" s="1"/>
  <c r="U79" i="3" a="1"/>
  <c r="U79" i="3" s="1"/>
  <c r="S79" i="3" a="1"/>
  <c r="S79" i="3" s="1"/>
  <c r="U60" i="3" a="1"/>
  <c r="U60" i="3" s="1"/>
  <c r="S60" i="3" a="1"/>
  <c r="S60" i="3" s="1"/>
  <c r="U63" i="3" a="1"/>
  <c r="U63" i="3" s="1"/>
  <c r="S63" i="3" a="1"/>
  <c r="S63" i="3" s="1"/>
  <c r="AC58" i="3" a="1"/>
  <c r="AC58" i="3" s="1"/>
  <c r="AD58" i="3" a="1"/>
  <c r="AD58" i="3" s="1"/>
  <c r="AA58" i="3" a="1"/>
  <c r="AA58" i="3" s="1"/>
  <c r="AC52" i="3" a="1"/>
  <c r="AC52" i="3" s="1"/>
  <c r="AD52" i="3" a="1"/>
  <c r="AD52" i="3" s="1"/>
  <c r="AA52" i="3" a="1"/>
  <c r="AA52" i="3" s="1"/>
  <c r="U30" i="3" a="1"/>
  <c r="U30" i="3" s="1"/>
  <c r="S30" i="3" a="1"/>
  <c r="S30" i="3" s="1"/>
  <c r="AC64" i="3" a="1"/>
  <c r="AC64" i="3" s="1"/>
  <c r="AD64" i="3" a="1"/>
  <c r="AD64" i="3" s="1"/>
  <c r="AA64" i="3" a="1"/>
  <c r="AA64" i="3" s="1"/>
  <c r="U54" i="3" a="1"/>
  <c r="U54" i="3" s="1"/>
  <c r="S54" i="3" a="1"/>
  <c r="S54" i="3" s="1"/>
  <c r="T85" i="3" a="1"/>
  <c r="T85" i="3" s="1"/>
  <c r="R85" i="3" a="1"/>
  <c r="R85" i="3" s="1"/>
  <c r="S87" i="3" a="1"/>
  <c r="S87" i="3" s="1"/>
  <c r="U87" i="3" a="1"/>
  <c r="U87" i="3" s="1"/>
  <c r="U46" i="3" a="1"/>
  <c r="U46" i="3" s="1"/>
  <c r="S46" i="3" a="1"/>
  <c r="S46" i="3" s="1"/>
  <c r="T89" i="3" a="1"/>
  <c r="T89" i="3" s="1"/>
  <c r="R89" i="3" a="1"/>
  <c r="R89" i="3" s="1"/>
  <c r="U57" i="3" a="1"/>
  <c r="U57" i="3" s="1"/>
  <c r="S57" i="3" a="1"/>
  <c r="S57" i="3" s="1"/>
  <c r="U29" i="3" a="1"/>
  <c r="U29" i="3" s="1"/>
  <c r="S29" i="3" a="1"/>
  <c r="S29" i="3" s="1"/>
  <c r="AC45" i="3" a="1"/>
  <c r="AC45" i="3" s="1"/>
  <c r="AD45" i="3" a="1"/>
  <c r="AD45" i="3" s="1"/>
  <c r="AA45" i="3" a="1"/>
  <c r="AA45" i="3" s="1"/>
  <c r="AA43" i="3" a="1"/>
  <c r="AA43" i="3" s="1"/>
  <c r="AC43" i="3" a="1"/>
  <c r="AC43" i="3" s="1"/>
  <c r="AD43" i="3" a="1"/>
  <c r="AD43" i="3" s="1"/>
  <c r="T84" i="3" a="1"/>
  <c r="T84" i="3" s="1"/>
  <c r="R84" i="3" a="1"/>
  <c r="R84" i="3" s="1"/>
  <c r="U73" i="3" a="1"/>
  <c r="U73" i="3" s="1"/>
  <c r="S73" i="3" a="1"/>
  <c r="S73" i="3" s="1"/>
  <c r="U85" i="3" a="1"/>
  <c r="U85" i="3" s="1"/>
  <c r="S85" i="3" a="1"/>
  <c r="S85" i="3" s="1"/>
  <c r="U75" i="3" a="1"/>
  <c r="U75" i="3" s="1"/>
  <c r="S75" i="3" a="1"/>
  <c r="S75" i="3" s="1"/>
  <c r="AC60" i="3" a="1"/>
  <c r="AC60" i="3" s="1"/>
  <c r="AD60" i="3" a="1"/>
  <c r="AD60" i="3" s="1"/>
  <c r="AA60" i="3" a="1"/>
  <c r="AA60" i="3" s="1"/>
  <c r="T87" i="3" a="1"/>
  <c r="T87" i="3" s="1"/>
  <c r="R87" i="3" a="1"/>
  <c r="R87" i="3" s="1"/>
  <c r="AC38" i="3" a="1"/>
  <c r="AC38" i="3" s="1"/>
  <c r="AD38" i="3" a="1"/>
  <c r="AD38" i="3" s="1"/>
  <c r="AA38" i="3" a="1"/>
  <c r="AA38" i="3" s="1"/>
  <c r="U42" i="3" a="1"/>
  <c r="U42" i="3" s="1"/>
  <c r="AA42" i="3" a="1"/>
  <c r="AA42" i="3" s="1"/>
  <c r="AC42" i="3" a="1"/>
  <c r="AC42" i="3" s="1"/>
  <c r="AD42" i="3" a="1"/>
  <c r="AD42" i="3" s="1"/>
  <c r="U56" i="3" a="1"/>
  <c r="U56" i="3" s="1"/>
  <c r="S56" i="3" a="1"/>
  <c r="S56" i="3" s="1"/>
  <c r="AD28" i="3" a="1"/>
  <c r="AD28" i="3" s="1"/>
  <c r="AA28" i="3" a="1"/>
  <c r="AA28" i="3" s="1"/>
  <c r="AC28" i="3" a="1"/>
  <c r="AC28" i="3" s="1"/>
  <c r="AC40" i="3" a="1"/>
  <c r="AC40" i="3" s="1"/>
  <c r="AD40" i="3" a="1"/>
  <c r="AD40" i="3" s="1"/>
  <c r="AA40" i="3" a="1"/>
  <c r="AA40" i="3" s="1"/>
  <c r="AC54" i="3" a="1"/>
  <c r="AC54" i="3" s="1"/>
  <c r="AD54" i="3" a="1"/>
  <c r="AD54" i="3" s="1"/>
  <c r="AA54" i="3" a="1"/>
  <c r="AA54" i="3" s="1"/>
  <c r="U36" i="3" a="1"/>
  <c r="U36" i="3" s="1"/>
  <c r="S36" i="3" a="1"/>
  <c r="S36" i="3" s="1"/>
  <c r="U50" i="3" a="1"/>
  <c r="U50" i="3" s="1"/>
  <c r="S50" i="3" a="1"/>
  <c r="S50" i="3" s="1"/>
  <c r="U71" i="3" a="1"/>
  <c r="U71" i="3" s="1"/>
  <c r="S71" i="3" a="1"/>
  <c r="S71" i="3" s="1"/>
  <c r="U28" i="3" a="1"/>
  <c r="U28" i="3" s="1"/>
  <c r="S28" i="3" a="1"/>
  <c r="S28" i="3" s="1"/>
  <c r="U90" i="3" a="1"/>
  <c r="U90" i="3" s="1"/>
  <c r="T32" i="3" a="1"/>
  <c r="T32" i="3" s="1"/>
  <c r="T57" i="3" a="1"/>
  <c r="T57" i="3" s="1"/>
  <c r="T43" i="3" a="1"/>
  <c r="T43" i="3" s="1"/>
  <c r="T45" i="3" a="1"/>
  <c r="T45" i="3" s="1"/>
  <c r="T61" i="3" a="1"/>
  <c r="T61" i="3" s="1"/>
  <c r="T36" i="3" a="1"/>
  <c r="T36" i="3" s="1"/>
  <c r="T50" i="3" a="1"/>
  <c r="T50" i="3" s="1"/>
  <c r="T65" i="3" a="1"/>
  <c r="T65" i="3" s="1"/>
  <c r="T38" i="3" a="1"/>
  <c r="T38" i="3" s="1"/>
  <c r="T72" i="3" a="1"/>
  <c r="T72" i="3" s="1"/>
  <c r="T71" i="3" a="1"/>
  <c r="T71" i="3" s="1"/>
  <c r="T30" i="3" a="1"/>
  <c r="T30" i="3" s="1"/>
  <c r="T68" i="3" a="1"/>
  <c r="T68" i="3" s="1"/>
  <c r="T62" i="3" a="1"/>
  <c r="T62" i="3" s="1"/>
  <c r="T39" i="3" a="1"/>
  <c r="T39" i="3" s="1"/>
  <c r="T56" i="3" a="1"/>
  <c r="T56" i="3" s="1"/>
  <c r="T64" i="3" a="1"/>
  <c r="T64" i="3" s="1"/>
  <c r="T58" i="3" a="1"/>
  <c r="T58" i="3" s="1"/>
  <c r="T70" i="3" a="1"/>
  <c r="T70" i="3" s="1"/>
  <c r="T27" i="3" a="1"/>
  <c r="T27" i="3" s="1"/>
  <c r="T66" i="3" a="1"/>
  <c r="T66" i="3" s="1"/>
  <c r="T49" i="3" a="1"/>
  <c r="T49" i="3" s="1"/>
  <c r="T29" i="3" a="1"/>
  <c r="T29" i="3" s="1"/>
  <c r="T37" i="3" a="1"/>
  <c r="T37" i="3" s="1"/>
  <c r="T31" i="3" a="1"/>
  <c r="T31" i="3" s="1"/>
  <c r="T55" i="3" a="1"/>
  <c r="T55" i="3" s="1"/>
  <c r="T42" i="3" a="1"/>
  <c r="T42" i="3" s="1"/>
  <c r="T63" i="3" a="1"/>
  <c r="T63" i="3" s="1"/>
  <c r="W93" i="3"/>
  <c r="T40" i="3" a="1"/>
  <c r="T40" i="3" s="1"/>
  <c r="T35" i="3" a="1"/>
  <c r="T35" i="3" s="1"/>
  <c r="T51" i="3" a="1"/>
  <c r="T51" i="3" s="1"/>
  <c r="T34" i="3" a="1"/>
  <c r="T34" i="3" s="1"/>
  <c r="T59" i="3" a="1"/>
  <c r="T59" i="3" s="1"/>
  <c r="T53" i="3" a="1"/>
  <c r="T53" i="3" s="1"/>
  <c r="T47" i="3" a="1"/>
  <c r="T47" i="3" s="1"/>
  <c r="T44" i="3" a="1"/>
  <c r="T44" i="3" s="1"/>
  <c r="T26" i="3" a="1"/>
  <c r="T26" i="3" s="1"/>
  <c r="U23" i="3" s="1"/>
  <c r="T41" i="3" a="1"/>
  <c r="T41" i="3" s="1"/>
  <c r="T60" i="3" a="1"/>
  <c r="T60" i="3" s="1"/>
  <c r="T54" i="3" a="1"/>
  <c r="T54" i="3" s="1"/>
  <c r="T46" i="3" a="1"/>
  <c r="T46" i="3" s="1"/>
  <c r="T48" i="3" a="1"/>
  <c r="T48" i="3" s="1"/>
  <c r="T69" i="3" a="1"/>
  <c r="T69" i="3" s="1"/>
  <c r="T67" i="3" a="1"/>
  <c r="T67" i="3" s="1"/>
  <c r="N57" i="3" a="1"/>
  <c r="N57" i="3" s="1"/>
  <c r="M84" i="3" a="1"/>
  <c r="M84" i="3" s="1"/>
  <c r="N53" i="3" a="1"/>
  <c r="N53" i="3" s="1"/>
  <c r="AE40" i="3" a="1"/>
  <c r="AE40" i="3" s="1"/>
  <c r="AB40" i="3" a="1"/>
  <c r="AB40" i="3" s="1"/>
  <c r="N40" i="3" a="1"/>
  <c r="N40" i="3" s="1"/>
  <c r="AB60" i="3" a="1"/>
  <c r="AB60" i="3" s="1"/>
  <c r="AE60" i="3" a="1"/>
  <c r="AE60" i="3" s="1"/>
  <c r="M87" i="3" a="1"/>
  <c r="M87" i="3" s="1"/>
  <c r="AB38" i="3" a="1"/>
  <c r="AB38" i="3" s="1"/>
  <c r="AE38" i="3" a="1"/>
  <c r="AE38" i="3" s="1"/>
  <c r="AB54" i="3" a="1"/>
  <c r="AB54" i="3" s="1"/>
  <c r="AE54" i="3" a="1"/>
  <c r="AE54" i="3" s="1"/>
  <c r="N36" i="3" a="1"/>
  <c r="N36" i="3" s="1"/>
  <c r="N50" i="3" a="1"/>
  <c r="N50" i="3" s="1"/>
  <c r="N71" i="3" a="1"/>
  <c r="N71" i="3" s="1"/>
  <c r="U95" i="3"/>
  <c r="M78" i="3" a="1"/>
  <c r="M78" i="3" s="1"/>
  <c r="AB28" i="3" a="1"/>
  <c r="AB28" i="3" s="1"/>
  <c r="AE28" i="3" a="1"/>
  <c r="AE28" i="3" s="1"/>
  <c r="N64" i="3" a="1"/>
  <c r="N64" i="3" s="1"/>
  <c r="N54" i="3" a="1"/>
  <c r="N54" i="3" s="1"/>
  <c r="AB43" i="3" a="1"/>
  <c r="AB43" i="3" s="1"/>
  <c r="AE43" i="3" a="1"/>
  <c r="AE43" i="3" s="1"/>
  <c r="AE42" i="3" a="1"/>
  <c r="AE42" i="3" s="1"/>
  <c r="AB42" i="3" a="1"/>
  <c r="AB42" i="3" s="1"/>
  <c r="AB37" i="3" a="1"/>
  <c r="AB37" i="3" s="1"/>
  <c r="AE37" i="3" a="1"/>
  <c r="AE37" i="3" s="1"/>
  <c r="O96" i="3" a="1"/>
  <c r="O96" i="3" s="1"/>
  <c r="M82" i="3" a="1"/>
  <c r="M82" i="3" s="1"/>
  <c r="AB39" i="3" a="1"/>
  <c r="AB39" i="3" s="1"/>
  <c r="AE39" i="3" a="1"/>
  <c r="AE39" i="3" s="1"/>
  <c r="AB35" i="3" a="1"/>
  <c r="AB35" i="3" s="1"/>
  <c r="AE35" i="3" a="1"/>
  <c r="AE35" i="3" s="1"/>
  <c r="N28" i="3" a="1"/>
  <c r="N28" i="3" s="1"/>
  <c r="AB58" i="3" a="1"/>
  <c r="AB58" i="3" s="1"/>
  <c r="AE58" i="3" a="1"/>
  <c r="AE58" i="3" s="1"/>
  <c r="AB52" i="3" a="1"/>
  <c r="AB52" i="3" s="1"/>
  <c r="AE52" i="3" a="1"/>
  <c r="AE52" i="3" s="1"/>
  <c r="AB31" i="3" a="1"/>
  <c r="AB31" i="3" s="1"/>
  <c r="AE31" i="3" a="1"/>
  <c r="AE31" i="3" s="1"/>
  <c r="AB26" i="3" a="1"/>
  <c r="AB26" i="3" s="1"/>
  <c r="AE26" i="3" a="1"/>
  <c r="AE26" i="3" s="1"/>
  <c r="N35" i="3" a="1"/>
  <c r="N35" i="3" s="1"/>
  <c r="AB56" i="3" a="1"/>
  <c r="AB56" i="3" s="1"/>
  <c r="AE56" i="3" a="1"/>
  <c r="AE56" i="3" s="1"/>
  <c r="M80" i="3" a="1"/>
  <c r="M80" i="3" s="1"/>
  <c r="N47" i="3" a="1"/>
  <c r="N47" i="3" s="1"/>
  <c r="M73" i="3" a="1"/>
  <c r="M73" i="3" s="1"/>
  <c r="M90" i="3" a="1"/>
  <c r="M90" i="3" s="1"/>
  <c r="AB29" i="3" a="1"/>
  <c r="AB29" i="3" s="1"/>
  <c r="AE29" i="3" a="1"/>
  <c r="AE29" i="3" s="1"/>
  <c r="N56" i="3" a="1"/>
  <c r="N56" i="3" s="1"/>
  <c r="N60" i="3" a="1"/>
  <c r="N60" i="3" s="1"/>
  <c r="N30" i="3" a="1"/>
  <c r="N30" i="3" s="1"/>
  <c r="N44" i="3" a="1"/>
  <c r="N44" i="3" s="1"/>
  <c r="N51" i="3" a="1"/>
  <c r="N51" i="3" s="1"/>
  <c r="N72" i="3" a="1"/>
  <c r="N72" i="3" s="1"/>
  <c r="AB68" i="3" a="1"/>
  <c r="AB68" i="3" s="1"/>
  <c r="AE68" i="3" a="1"/>
  <c r="AE68" i="3" s="1"/>
  <c r="N45" i="3" a="1"/>
  <c r="N45" i="3" s="1"/>
  <c r="AB50" i="3" a="1"/>
  <c r="AB50" i="3" s="1"/>
  <c r="AE50" i="3" a="1"/>
  <c r="AE50" i="3" s="1"/>
  <c r="M74" i="3" a="1"/>
  <c r="M74" i="3" s="1"/>
  <c r="O94" i="3" a="1"/>
  <c r="O94" i="3" s="1"/>
  <c r="M81" i="3" a="1"/>
  <c r="M81" i="3" s="1"/>
  <c r="AB61" i="3" a="1"/>
  <c r="AB61" i="3" s="1"/>
  <c r="AE61" i="3" a="1"/>
  <c r="AE61" i="3" s="1"/>
  <c r="N29" i="3" a="1"/>
  <c r="N29" i="3" s="1"/>
  <c r="AB45" i="3" a="1"/>
  <c r="AB45" i="3" s="1"/>
  <c r="AE45" i="3" a="1"/>
  <c r="AE45" i="3" s="1"/>
  <c r="N49" i="3" a="1"/>
  <c r="N49" i="3" s="1"/>
  <c r="AE63" i="3" a="1"/>
  <c r="AE63" i="3" s="1"/>
  <c r="AB63" i="3" a="1"/>
  <c r="AB63" i="3" s="1"/>
  <c r="AB46" i="3" a="1"/>
  <c r="AB46" i="3" s="1"/>
  <c r="AE46" i="3" a="1"/>
  <c r="AE46" i="3" s="1"/>
  <c r="M88" i="3" a="1"/>
  <c r="M88" i="3" s="1"/>
  <c r="N68" i="3" a="1"/>
  <c r="N68" i="3" s="1"/>
  <c r="AB57" i="3" a="1"/>
  <c r="AB57" i="3" s="1"/>
  <c r="AE57" i="3" a="1"/>
  <c r="AE57" i="3" s="1"/>
  <c r="AB30" i="3" a="1"/>
  <c r="AB30" i="3" s="1"/>
  <c r="AE30" i="3" a="1"/>
  <c r="AE30" i="3" s="1"/>
  <c r="AB65" i="3" a="1"/>
  <c r="AB65" i="3" s="1"/>
  <c r="AE65" i="3" a="1"/>
  <c r="AE65" i="3" s="1"/>
  <c r="M75" i="3" a="1"/>
  <c r="M75" i="3" s="1"/>
  <c r="M83" i="3" a="1"/>
  <c r="M83" i="3" s="1"/>
  <c r="N39" i="3" a="1"/>
  <c r="N39" i="3" s="1"/>
  <c r="N70" i="3" a="1"/>
  <c r="N70" i="3" s="1"/>
  <c r="N61" i="3" a="1"/>
  <c r="N61" i="3" s="1"/>
  <c r="N58" i="3" a="1"/>
  <c r="N58" i="3" s="1"/>
  <c r="N48" i="3" a="1"/>
  <c r="N48" i="3" s="1"/>
  <c r="AB62" i="3" a="1"/>
  <c r="AB62" i="3" s="1"/>
  <c r="AE62" i="3" a="1"/>
  <c r="AE62" i="3" s="1"/>
  <c r="N69" i="3" a="1"/>
  <c r="N69" i="3" s="1"/>
  <c r="N26" i="3" a="1"/>
  <c r="N26" i="3" s="1"/>
  <c r="M86" i="3" a="1"/>
  <c r="M86" i="3" s="1"/>
  <c r="AB55" i="3" a="1"/>
  <c r="AB55" i="3" s="1"/>
  <c r="AE55" i="3" a="1"/>
  <c r="AE55" i="3" s="1"/>
  <c r="AB66" i="3" a="1"/>
  <c r="AB66" i="3" s="1"/>
  <c r="AE66" i="3" a="1"/>
  <c r="AE66" i="3" s="1"/>
  <c r="M77" i="3" a="1"/>
  <c r="M77" i="3" s="1"/>
  <c r="N59" i="3" a="1"/>
  <c r="N59" i="3" s="1"/>
  <c r="AB51" i="3" a="1"/>
  <c r="AB51" i="3" s="1"/>
  <c r="AE51" i="3" a="1"/>
  <c r="AE51" i="3" s="1"/>
  <c r="N27" i="3" a="1"/>
  <c r="N27" i="3" s="1"/>
  <c r="AB27" i="3" a="1"/>
  <c r="AB27" i="3" s="1"/>
  <c r="AE27" i="3" a="1"/>
  <c r="AE27" i="3" s="1"/>
  <c r="AB67" i="3" a="1"/>
  <c r="AB67" i="3" s="1"/>
  <c r="AE67" i="3" a="1"/>
  <c r="AE67" i="3" s="1"/>
  <c r="N63" i="3" a="1"/>
  <c r="N63" i="3" s="1"/>
  <c r="AB59" i="3" a="1"/>
  <c r="AB59" i="3" s="1"/>
  <c r="AE59" i="3" a="1"/>
  <c r="AE59" i="3" s="1"/>
  <c r="N62" i="3" a="1"/>
  <c r="N62" i="3" s="1"/>
  <c r="AB34" i="3" a="1"/>
  <c r="AB34" i="3" s="1"/>
  <c r="AE34" i="3" a="1"/>
  <c r="AE34" i="3" s="1"/>
  <c r="N65" i="3" a="1"/>
  <c r="N65" i="3" s="1"/>
  <c r="AB32" i="3" a="1"/>
  <c r="AB32" i="3" s="1"/>
  <c r="AE32" i="3" a="1"/>
  <c r="AE32" i="3" s="1"/>
  <c r="AB48" i="3" a="1"/>
  <c r="AB48" i="3" s="1"/>
  <c r="AE48" i="3" a="1"/>
  <c r="AE48" i="3" s="1"/>
  <c r="N32" i="3" a="1"/>
  <c r="N32" i="3" s="1"/>
  <c r="AB53" i="3" a="1"/>
  <c r="AB53" i="3" s="1"/>
  <c r="AE53" i="3" a="1"/>
  <c r="AE53" i="3" s="1"/>
  <c r="AB44" i="3" a="1"/>
  <c r="AB44" i="3" s="1"/>
  <c r="AE44" i="3" a="1"/>
  <c r="AE44" i="3" s="1"/>
  <c r="AE41" i="3" a="1"/>
  <c r="AE41" i="3" s="1"/>
  <c r="AB41" i="3" a="1"/>
  <c r="AB41" i="3" s="1"/>
  <c r="N43" i="3" a="1"/>
  <c r="N43" i="3" s="1"/>
  <c r="M79" i="3" a="1"/>
  <c r="M79" i="3" s="1"/>
  <c r="N67" i="3" a="1"/>
  <c r="N67" i="3" s="1"/>
  <c r="N52" i="3" a="1"/>
  <c r="N52" i="3" s="1"/>
  <c r="N38" i="3" a="1"/>
  <c r="N38" i="3" s="1"/>
  <c r="AE64" i="3" a="1"/>
  <c r="AE64" i="3" s="1"/>
  <c r="AB64" i="3" a="1"/>
  <c r="AB64" i="3" s="1"/>
  <c r="N34" i="3" a="1"/>
  <c r="N34" i="3" s="1"/>
  <c r="N41" i="3" a="1"/>
  <c r="N41" i="3" s="1"/>
  <c r="N46" i="3" a="1"/>
  <c r="N46" i="3" s="1"/>
  <c r="N37" i="3" a="1"/>
  <c r="N37" i="3" s="1"/>
  <c r="AB36" i="3" a="1"/>
  <c r="AB36" i="3" s="1"/>
  <c r="AE36" i="3" a="1"/>
  <c r="AE36" i="3" s="1"/>
  <c r="M85" i="3" a="1"/>
  <c r="M85" i="3" s="1"/>
  <c r="M89" i="3" a="1"/>
  <c r="M89" i="3" s="1"/>
  <c r="AB47" i="3" a="1"/>
  <c r="AB47" i="3" s="1"/>
  <c r="AE47" i="3" a="1"/>
  <c r="AE47" i="3" s="1"/>
  <c r="N31" i="3" a="1"/>
  <c r="N31" i="3" s="1"/>
  <c r="Q32" i="3"/>
  <c r="Q52" i="3"/>
  <c r="Q62" i="3"/>
  <c r="Q31" i="3"/>
  <c r="Q68" i="3"/>
  <c r="Q67" i="3"/>
  <c r="Q34" i="3"/>
  <c r="Q54" i="3"/>
  <c r="Q51" i="3"/>
  <c r="Q57" i="3"/>
  <c r="Q35" i="3"/>
  <c r="O43" i="3" a="1"/>
  <c r="O43" i="3" s="1"/>
  <c r="Q29" i="3"/>
  <c r="Q28" i="3"/>
  <c r="Q56" i="3"/>
  <c r="O29" i="3" a="1"/>
  <c r="O29" i="3" s="1"/>
  <c r="Q64" i="3"/>
  <c r="Q37" i="3"/>
  <c r="Q53" i="3"/>
  <c r="O42" i="3" a="1"/>
  <c r="O42" i="3" s="1"/>
  <c r="Q30" i="3"/>
  <c r="Q43" i="3"/>
  <c r="O39" i="3" a="1"/>
  <c r="O39" i="3" s="1"/>
  <c r="Q47" i="3"/>
  <c r="Q66" i="3"/>
  <c r="Q59" i="3"/>
  <c r="Q60" i="3"/>
  <c r="Q44" i="3"/>
  <c r="Q38" i="3"/>
  <c r="Q41" i="3"/>
  <c r="Q36" i="3"/>
  <c r="Q65" i="3"/>
  <c r="Q58" i="3"/>
  <c r="O41" i="3" a="1"/>
  <c r="O41" i="3" s="1"/>
  <c r="Q61" i="3"/>
  <c r="Q45" i="3"/>
  <c r="Q50" i="3"/>
  <c r="Q49" i="3"/>
  <c r="Q40" i="3"/>
  <c r="Q27" i="3"/>
  <c r="O68" i="3" a="1"/>
  <c r="O68" i="3" s="1"/>
  <c r="P68" i="3" s="1"/>
  <c r="Q48" i="3"/>
  <c r="Q46" i="3"/>
  <c r="Q42" i="3"/>
  <c r="Q55" i="3"/>
  <c r="M41" i="3" a="1"/>
  <c r="M41" i="3" s="1"/>
  <c r="P41" i="3"/>
  <c r="M65" i="3" a="1"/>
  <c r="M65" i="3" s="1"/>
  <c r="M64" i="3" a="1"/>
  <c r="M64" i="3" s="1"/>
  <c r="P64" i="3"/>
  <c r="M44" i="3" a="1"/>
  <c r="M44" i="3" s="1"/>
  <c r="P44" i="3"/>
  <c r="M60" i="3" a="1"/>
  <c r="M60" i="3" s="1"/>
  <c r="P60" i="3"/>
  <c r="M26" i="3" a="1"/>
  <c r="M26" i="3" s="1"/>
  <c r="M54" i="3" a="1"/>
  <c r="M54" i="3" s="1"/>
  <c r="M38" i="3" a="1"/>
  <c r="M38" i="3" s="1"/>
  <c r="M46" i="3" a="1"/>
  <c r="M46" i="3" s="1"/>
  <c r="P46" i="3"/>
  <c r="M27" i="3" a="1"/>
  <c r="M27" i="3" s="1"/>
  <c r="M48" i="3" a="1"/>
  <c r="M48" i="3" s="1"/>
  <c r="P48" i="3"/>
  <c r="M32" i="3" a="1"/>
  <c r="M32" i="3" s="1"/>
  <c r="M69" i="3" a="1"/>
  <c r="M69" i="3" s="1"/>
  <c r="P69" i="3"/>
  <c r="M57" i="3" a="1"/>
  <c r="M57" i="3" s="1"/>
  <c r="M59" i="3" a="1"/>
  <c r="M59" i="3" s="1"/>
  <c r="M40" i="3" a="1"/>
  <c r="M40" i="3" s="1"/>
  <c r="M67" i="3" a="1"/>
  <c r="M67" i="3" s="1"/>
  <c r="P67" i="3"/>
  <c r="M50" i="3" a="1"/>
  <c r="M50" i="3" s="1"/>
  <c r="P50" i="3"/>
  <c r="M53" i="3" a="1"/>
  <c r="M53" i="3" s="1"/>
  <c r="M61" i="3" a="1"/>
  <c r="M61" i="3" s="1"/>
  <c r="P61" i="3"/>
  <c r="M36" i="3" a="1"/>
  <c r="M36" i="3" s="1"/>
  <c r="P36" i="3"/>
  <c r="M43" i="3" a="1"/>
  <c r="M43" i="3" s="1"/>
  <c r="M45" i="3" a="1"/>
  <c r="M45" i="3" s="1"/>
  <c r="P45" i="3"/>
  <c r="M66" i="3" a="1"/>
  <c r="M66" i="3" s="1"/>
  <c r="P66" i="3"/>
  <c r="M49" i="3" a="1"/>
  <c r="M49" i="3" s="1"/>
  <c r="P49" i="3"/>
  <c r="M68" i="3" a="1"/>
  <c r="M68" i="3" s="1"/>
  <c r="M62" i="3" a="1"/>
  <c r="M62" i="3" s="1"/>
  <c r="P62" i="3"/>
  <c r="M39" i="3" a="1"/>
  <c r="M39" i="3" s="1"/>
  <c r="P39" i="3"/>
  <c r="M30" i="3" a="1"/>
  <c r="M30" i="3" s="1"/>
  <c r="P30" i="3"/>
  <c r="M72" i="3" a="1"/>
  <c r="M72" i="3" s="1"/>
  <c r="M29" i="3" a="1"/>
  <c r="M29" i="3" s="1"/>
  <c r="P29" i="3" s="1"/>
  <c r="M58" i="3" a="1"/>
  <c r="M58" i="3" s="1"/>
  <c r="M70" i="3" a="1"/>
  <c r="M70" i="3" s="1"/>
  <c r="P70" i="3"/>
  <c r="M71" i="3" a="1"/>
  <c r="M71" i="3" s="1"/>
  <c r="P71" i="3"/>
  <c r="M37" i="3" a="1"/>
  <c r="M37" i="3" s="1"/>
  <c r="P37" i="3"/>
  <c r="M35" i="3" a="1"/>
  <c r="M35" i="3" s="1"/>
  <c r="P35" i="3"/>
  <c r="M55" i="3" a="1"/>
  <c r="M55" i="3" s="1"/>
  <c r="P55" i="3"/>
  <c r="M42" i="3" a="1"/>
  <c r="M42" i="3" s="1"/>
  <c r="M63" i="3" a="1"/>
  <c r="M63" i="3" s="1"/>
  <c r="M31" i="3" a="1"/>
  <c r="M31" i="3" s="1"/>
  <c r="M56" i="3" a="1"/>
  <c r="M56" i="3" s="1"/>
  <c r="M47" i="3" a="1"/>
  <c r="M47" i="3" s="1"/>
  <c r="M51" i="3" a="1"/>
  <c r="M51" i="3" s="1"/>
  <c r="P51" i="3"/>
  <c r="M34" i="3" a="1"/>
  <c r="M34" i="3" s="1"/>
  <c r="W100" i="3"/>
  <c r="O56" i="3" a="1"/>
  <c r="O56" i="3" s="1"/>
  <c r="O54" i="3" a="1"/>
  <c r="O54" i="3" s="1"/>
  <c r="X95" i="3"/>
  <c r="O95" i="3" a="1"/>
  <c r="O95" i="3" s="1"/>
  <c r="O28" i="3" a="1"/>
  <c r="O28" i="3" s="1"/>
  <c r="P28" i="3" s="1"/>
  <c r="O87" i="3" a="1"/>
  <c r="O87" i="3" s="1"/>
  <c r="O36" i="3" a="1"/>
  <c r="O36" i="3" s="1"/>
  <c r="O35" i="3" a="1"/>
  <c r="O35" i="3" s="1"/>
  <c r="O86" i="3" a="1"/>
  <c r="O86" i="3" s="1"/>
  <c r="O52" i="3" a="1"/>
  <c r="O52" i="3" s="1"/>
  <c r="O45" i="3" a="1"/>
  <c r="O45" i="3" s="1"/>
  <c r="O26" i="3" a="1"/>
  <c r="O26" i="3" s="1"/>
  <c r="Y26" i="3" a="1"/>
  <c r="Y26" i="3" s="1"/>
  <c r="O63" i="3" a="1"/>
  <c r="O63" i="3" s="1"/>
  <c r="P63" i="3" s="1"/>
  <c r="O46" i="3" a="1"/>
  <c r="O46" i="3" s="1"/>
  <c r="O57" i="3" a="1"/>
  <c r="O57" i="3" s="1"/>
  <c r="O58" i="3" a="1"/>
  <c r="O58" i="3" s="1"/>
  <c r="O30" i="3" a="1"/>
  <c r="O30" i="3" s="1"/>
  <c r="X93" i="3"/>
  <c r="O93" i="3" a="1"/>
  <c r="O93" i="3" s="1"/>
  <c r="O84" i="3" a="1"/>
  <c r="O84" i="3" s="1"/>
  <c r="O51" i="3" a="1"/>
  <c r="O51" i="3" s="1"/>
  <c r="O60" i="3" a="1"/>
  <c r="O60" i="3" s="1"/>
  <c r="O55" i="3" a="1"/>
  <c r="O55" i="3" s="1"/>
  <c r="O66" i="3" a="1"/>
  <c r="O66" i="3" s="1"/>
  <c r="W98" i="3"/>
  <c r="X98" i="3"/>
  <c r="O27" i="3" a="1"/>
  <c r="O27" i="3" s="1"/>
  <c r="O67" i="3" a="1"/>
  <c r="O67" i="3" s="1"/>
  <c r="O34" i="3" a="1"/>
  <c r="O34" i="3" s="1"/>
  <c r="T91" i="3"/>
  <c r="O91" i="3" a="1"/>
  <c r="O91" i="3" s="1"/>
  <c r="O38" i="3" a="1"/>
  <c r="O38" i="3" s="1"/>
  <c r="O37" i="3" a="1"/>
  <c r="O37" i="3" s="1"/>
  <c r="O32" i="3" a="1"/>
  <c r="O32" i="3" s="1"/>
  <c r="O65" i="3" a="1"/>
  <c r="O65" i="3" s="1"/>
  <c r="O53" i="3" a="1"/>
  <c r="O53" i="3" s="1"/>
  <c r="O62" i="3" a="1"/>
  <c r="O62" i="3" s="1"/>
  <c r="O83" i="3" a="1"/>
  <c r="O83" i="3" s="1"/>
  <c r="O61" i="3" a="1"/>
  <c r="O61" i="3" s="1"/>
  <c r="O44" i="3" a="1"/>
  <c r="O44" i="3" s="1"/>
  <c r="O48" i="3" a="1"/>
  <c r="O48" i="3" s="1"/>
  <c r="O88" i="3" a="1"/>
  <c r="O88" i="3" s="1"/>
  <c r="O59" i="3" a="1"/>
  <c r="O59" i="3" s="1"/>
  <c r="O64" i="3" a="1"/>
  <c r="O64" i="3" s="1"/>
  <c r="X90" i="3"/>
  <c r="O90" i="3" a="1"/>
  <c r="O90" i="3" s="1"/>
  <c r="O47" i="3" a="1"/>
  <c r="O47" i="3" s="1"/>
  <c r="O40" i="3" a="1"/>
  <c r="O40" i="3" s="1"/>
  <c r="O50" i="3" a="1"/>
  <c r="O50" i="3" s="1"/>
  <c r="O31" i="3" a="1"/>
  <c r="O31" i="3" s="1"/>
  <c r="Z61" i="3" a="1"/>
  <c r="Z61" i="3" s="1"/>
  <c r="Z34" i="3" a="1"/>
  <c r="Z34" i="3" s="1"/>
  <c r="Z35" i="3" a="1"/>
  <c r="Z35" i="3" s="1"/>
  <c r="Z28" i="3" a="1"/>
  <c r="Z28" i="3" s="1"/>
  <c r="Z52" i="3" a="1"/>
  <c r="Z52" i="3" s="1"/>
  <c r="Z43" i="3" a="1"/>
  <c r="Z43" i="3" s="1"/>
  <c r="Z63" i="3" a="1"/>
  <c r="Z63" i="3" s="1"/>
  <c r="W77" i="3" a="1"/>
  <c r="W77" i="3" s="1"/>
  <c r="W81" i="3" a="1"/>
  <c r="W81" i="3" s="1"/>
  <c r="W95" i="3"/>
  <c r="Z46" i="3" a="1"/>
  <c r="Z46" i="3" s="1"/>
  <c r="T119" i="3"/>
  <c r="Z26" i="3" a="1"/>
  <c r="Z26" i="3" s="1"/>
  <c r="Z54" i="3" a="1"/>
  <c r="Z54" i="3" s="1"/>
  <c r="T93" i="3"/>
  <c r="Z48" i="3" a="1"/>
  <c r="Z48" i="3" s="1"/>
  <c r="Z60" i="3" a="1"/>
  <c r="Z60" i="3" s="1"/>
  <c r="Z45" i="3" a="1"/>
  <c r="Z45" i="3" s="1"/>
  <c r="Z41" i="3" a="1"/>
  <c r="Z41" i="3" s="1"/>
  <c r="Z44" i="3" a="1"/>
  <c r="Z44" i="3" s="1"/>
  <c r="Z32" i="3" a="1"/>
  <c r="Z32" i="3" s="1"/>
  <c r="Z39" i="3" a="1"/>
  <c r="Z39" i="3" s="1"/>
  <c r="Z59" i="3" a="1"/>
  <c r="Z59" i="3" s="1"/>
  <c r="Z30" i="3" a="1"/>
  <c r="Z30" i="3" s="1"/>
  <c r="Z57" i="3" a="1"/>
  <c r="Z57" i="3" s="1"/>
  <c r="Z62" i="3" a="1"/>
  <c r="Z62" i="3" s="1"/>
  <c r="Z37" i="3" a="1"/>
  <c r="Z37" i="3" s="1"/>
  <c r="W80" i="3" a="1"/>
  <c r="W80" i="3" s="1"/>
  <c r="W82" i="3" a="1"/>
  <c r="W82" i="3" s="1"/>
  <c r="Z38" i="3" a="1"/>
  <c r="Z38" i="3" s="1"/>
  <c r="Z55" i="3" a="1"/>
  <c r="Z55" i="3" s="1"/>
  <c r="Z66" i="3" a="1"/>
  <c r="Z66" i="3" s="1"/>
  <c r="Z53" i="3" a="1"/>
  <c r="Z53" i="3" s="1"/>
  <c r="Z33" i="3" a="1"/>
  <c r="Z33" i="3" s="1"/>
  <c r="Z42" i="3" a="1"/>
  <c r="Z42" i="3" s="1"/>
  <c r="Z67" i="3" a="1"/>
  <c r="Z67" i="3" s="1"/>
  <c r="W85" i="3" a="1"/>
  <c r="W85" i="3" s="1"/>
  <c r="Z51" i="3" a="1"/>
  <c r="Z51" i="3" s="1"/>
  <c r="Z68" i="3" a="1"/>
  <c r="Z68" i="3" s="1"/>
  <c r="Z50" i="3" a="1"/>
  <c r="Z50" i="3" s="1"/>
  <c r="Z31" i="3" a="1"/>
  <c r="Z31" i="3" s="1"/>
  <c r="Z64" i="3" a="1"/>
  <c r="Z64" i="3" s="1"/>
  <c r="Z27" i="3" a="1"/>
  <c r="Z27" i="3" s="1"/>
  <c r="Z58" i="3" a="1"/>
  <c r="Z58" i="3" s="1"/>
  <c r="Z36" i="3" a="1"/>
  <c r="Z36" i="3" s="1"/>
  <c r="Z47" i="3" a="1"/>
  <c r="Z47" i="3" s="1"/>
  <c r="Z56" i="3" a="1"/>
  <c r="Z56" i="3" s="1"/>
  <c r="Z29" i="3" a="1"/>
  <c r="Z29" i="3" s="1"/>
  <c r="W78" i="3" a="1"/>
  <c r="W78" i="3" s="1"/>
  <c r="Z65" i="3" a="1"/>
  <c r="Z65" i="3" s="1"/>
  <c r="Z40" i="3" a="1"/>
  <c r="Z40" i="3" s="1"/>
  <c r="W117" i="3"/>
  <c r="U119" i="3"/>
  <c r="X28" i="3" a="1"/>
  <c r="X28" i="3" s="1"/>
  <c r="X44" i="3" a="1"/>
  <c r="X44" i="3" s="1"/>
  <c r="W44" i="3" a="1"/>
  <c r="W44" i="3" s="1"/>
  <c r="X34" i="3" a="1"/>
  <c r="X34" i="3" s="1"/>
  <c r="W34" i="3" a="1"/>
  <c r="W34" i="3" s="1"/>
  <c r="X56" i="3" a="1"/>
  <c r="X56" i="3" s="1"/>
  <c r="W56" i="3" a="1"/>
  <c r="W56" i="3" s="1"/>
  <c r="X54" i="3" a="1"/>
  <c r="X54" i="3" s="1"/>
  <c r="W54" i="3" a="1"/>
  <c r="W54" i="3" s="1"/>
  <c r="X43" i="3" a="1"/>
  <c r="X43" i="3" s="1"/>
  <c r="W43" i="3" a="1"/>
  <c r="W43" i="3" s="1"/>
  <c r="X47" i="3" a="1"/>
  <c r="X47" i="3" s="1"/>
  <c r="W47" i="3" a="1"/>
  <c r="W47" i="3" s="1"/>
  <c r="W32" i="3" a="1"/>
  <c r="W32" i="3" s="1"/>
  <c r="X32" i="3" a="1"/>
  <c r="X32" i="3" s="1"/>
  <c r="X86" i="3"/>
  <c r="W86" i="3" a="1"/>
  <c r="W86" i="3" s="1"/>
  <c r="W48" i="3" a="1"/>
  <c r="W48" i="3" s="1"/>
  <c r="X48" i="3" a="1"/>
  <c r="X48" i="3" s="1"/>
  <c r="X57" i="3" a="1"/>
  <c r="X57" i="3" s="1"/>
  <c r="W57" i="3" a="1"/>
  <c r="W57" i="3" s="1"/>
  <c r="X41" i="3" a="1"/>
  <c r="X41" i="3" s="1"/>
  <c r="W41" i="3" a="1"/>
  <c r="W41" i="3" s="1"/>
  <c r="X37" i="3" a="1"/>
  <c r="X37" i="3" s="1"/>
  <c r="W37" i="3" a="1"/>
  <c r="W37" i="3" s="1"/>
  <c r="X53" i="3" a="1"/>
  <c r="X53" i="3" s="1"/>
  <c r="W53" i="3" a="1"/>
  <c r="W53" i="3" s="1"/>
  <c r="X33" i="3" a="1"/>
  <c r="X33" i="3" s="1"/>
  <c r="W33" i="3" a="1"/>
  <c r="W33" i="3" s="1"/>
  <c r="W119" i="3"/>
  <c r="X62" i="3" a="1"/>
  <c r="X62" i="3" s="1"/>
  <c r="W62" i="3" a="1"/>
  <c r="W62" i="3" s="1"/>
  <c r="X60" i="3" a="1"/>
  <c r="X60" i="3" s="1"/>
  <c r="W60" i="3" a="1"/>
  <c r="W60" i="3" s="1"/>
  <c r="W71" i="3" a="1"/>
  <c r="W71" i="3" s="1"/>
  <c r="X71" i="3" a="1"/>
  <c r="X71" i="3" s="1"/>
  <c r="X35" i="3" a="1"/>
  <c r="X35" i="3" s="1"/>
  <c r="W35" i="3" a="1"/>
  <c r="W35" i="3" s="1"/>
  <c r="X30" i="3" a="1"/>
  <c r="X30" i="3" s="1"/>
  <c r="W30" i="3" a="1"/>
  <c r="W30" i="3" s="1"/>
  <c r="X59" i="3" a="1"/>
  <c r="X59" i="3" s="1"/>
  <c r="W59" i="3" a="1"/>
  <c r="W59" i="3" s="1"/>
  <c r="X52" i="3" a="1"/>
  <c r="X52" i="3" s="1"/>
  <c r="W52" i="3" a="1"/>
  <c r="W52" i="3" s="1"/>
  <c r="W29" i="3" a="1"/>
  <c r="W29" i="3" s="1"/>
  <c r="X29" i="3" a="1"/>
  <c r="X29" i="3" s="1"/>
  <c r="X46" i="3" a="1"/>
  <c r="X46" i="3" s="1"/>
  <c r="W46" i="3" a="1"/>
  <c r="W46" i="3" s="1"/>
  <c r="W72" i="3" a="1"/>
  <c r="W72" i="3" s="1"/>
  <c r="X72" i="3" a="1"/>
  <c r="X72" i="3" s="1"/>
  <c r="W75" i="3" a="1"/>
  <c r="W75" i="3" s="1"/>
  <c r="X75" i="3" a="1"/>
  <c r="X75" i="3" s="1"/>
  <c r="X76" i="3" a="1"/>
  <c r="X76" i="3" s="1"/>
  <c r="W76" i="3" a="1"/>
  <c r="W76" i="3" s="1"/>
  <c r="X26" i="3" a="1"/>
  <c r="X26" i="3" s="1"/>
  <c r="X27" i="3" a="1"/>
  <c r="X27" i="3" s="1"/>
  <c r="W27" i="3" a="1"/>
  <c r="W27" i="3" s="1"/>
  <c r="W70" i="3" a="1"/>
  <c r="W70" i="3" s="1"/>
  <c r="X70" i="3" a="1"/>
  <c r="X70" i="3" s="1"/>
  <c r="W40" i="3" a="1"/>
  <c r="W40" i="3" s="1"/>
  <c r="X40" i="3" a="1"/>
  <c r="X40" i="3" s="1"/>
  <c r="X39" i="3" a="1"/>
  <c r="X39" i="3" s="1"/>
  <c r="W39" i="3" a="1"/>
  <c r="W39" i="3" s="1"/>
  <c r="X64" i="3" a="1"/>
  <c r="X64" i="3" s="1"/>
  <c r="W64" i="3" a="1"/>
  <c r="W64" i="3" s="1"/>
  <c r="W51" i="3" a="1"/>
  <c r="W51" i="3" s="1"/>
  <c r="X51" i="3" a="1"/>
  <c r="X51" i="3" s="1"/>
  <c r="X68" i="3" a="1"/>
  <c r="X68" i="3" s="1"/>
  <c r="W68" i="3" a="1"/>
  <c r="W68" i="3" s="1"/>
  <c r="W83" i="3" a="1"/>
  <c r="W83" i="3" s="1"/>
  <c r="X38" i="3" a="1"/>
  <c r="X38" i="3" s="1"/>
  <c r="W38" i="3" a="1"/>
  <c r="W38" i="3" s="1"/>
  <c r="X42" i="3" a="1"/>
  <c r="X42" i="3" s="1"/>
  <c r="W42" i="3" a="1"/>
  <c r="W42" i="3" s="1"/>
  <c r="X69" i="3" a="1"/>
  <c r="X69" i="3" s="1"/>
  <c r="W69" i="3" a="1"/>
  <c r="W69" i="3" s="1"/>
  <c r="X58" i="3" a="1"/>
  <c r="X58" i="3" s="1"/>
  <c r="W58" i="3" a="1"/>
  <c r="W58" i="3" s="1"/>
  <c r="X84" i="3"/>
  <c r="W84" i="3" a="1"/>
  <c r="W84" i="3" s="1"/>
  <c r="W55" i="3" a="1"/>
  <c r="W55" i="3" s="1"/>
  <c r="X55" i="3" a="1"/>
  <c r="X55" i="3" s="1"/>
  <c r="X66" i="3" a="1"/>
  <c r="X66" i="3" s="1"/>
  <c r="W66" i="3" a="1"/>
  <c r="W66" i="3" s="1"/>
  <c r="X36" i="3" a="1"/>
  <c r="X36" i="3" s="1"/>
  <c r="W36" i="3" a="1"/>
  <c r="W36" i="3" s="1"/>
  <c r="W50" i="3" a="1"/>
  <c r="W50" i="3" s="1"/>
  <c r="X50" i="3" a="1"/>
  <c r="X50" i="3" s="1"/>
  <c r="X31" i="3" a="1"/>
  <c r="X31" i="3" s="1"/>
  <c r="W31" i="3" a="1"/>
  <c r="W31" i="3" s="1"/>
  <c r="W74" i="3" a="1"/>
  <c r="W74" i="3" s="1"/>
  <c r="X74" i="3" a="1"/>
  <c r="X74" i="3" s="1"/>
  <c r="X61" i="3" a="1"/>
  <c r="X61" i="3" s="1"/>
  <c r="W61" i="3" a="1"/>
  <c r="W61" i="3" s="1"/>
  <c r="X45" i="3" a="1"/>
  <c r="X45" i="3" s="1"/>
  <c r="W45" i="3" a="1"/>
  <c r="W45" i="3" s="1"/>
  <c r="X63" i="3" a="1"/>
  <c r="X63" i="3" s="1"/>
  <c r="W63" i="3" a="1"/>
  <c r="W63" i="3" s="1"/>
  <c r="X65" i="3" a="1"/>
  <c r="X65" i="3" s="1"/>
  <c r="W65" i="3" a="1"/>
  <c r="W65" i="3" s="1"/>
  <c r="X67" i="3" a="1"/>
  <c r="X67" i="3" s="1"/>
  <c r="W67" i="3" a="1"/>
  <c r="W67" i="3" s="1"/>
  <c r="W90" i="3"/>
  <c r="X83" i="3"/>
  <c r="U117" i="3"/>
  <c r="X100" i="3"/>
  <c r="T100" i="3"/>
  <c r="T117" i="3"/>
  <c r="W88" i="3"/>
  <c r="X88" i="3"/>
  <c r="W91" i="3"/>
  <c r="X91" i="3"/>
  <c r="X87" i="3"/>
  <c r="W87" i="3"/>
  <c r="T94" i="3"/>
  <c r="X94" i="3"/>
  <c r="W94" i="3"/>
  <c r="X78" i="3"/>
  <c r="X82" i="3"/>
  <c r="X85" i="3"/>
  <c r="X89" i="3"/>
  <c r="W89" i="3"/>
  <c r="X101" i="3"/>
  <c r="W101" i="3"/>
  <c r="U101" i="3"/>
  <c r="T101" i="3"/>
  <c r="X81" i="3"/>
  <c r="X96" i="3"/>
  <c r="W96" i="3"/>
  <c r="U96" i="3"/>
  <c r="T96" i="3"/>
  <c r="X118" i="3"/>
  <c r="W118" i="3"/>
  <c r="U118" i="3"/>
  <c r="T118" i="3"/>
  <c r="X80" i="3"/>
  <c r="X92" i="3"/>
  <c r="W92" i="3"/>
  <c r="T92" i="3"/>
  <c r="X77" i="3"/>
  <c r="X116" i="3"/>
  <c r="W116" i="3"/>
  <c r="U116" i="3"/>
  <c r="T116" i="3"/>
  <c r="X99" i="3"/>
  <c r="U99" i="3"/>
  <c r="W99" i="3"/>
  <c r="T99" i="3"/>
  <c r="P43" i="3" l="1"/>
  <c r="P65" i="3"/>
  <c r="P42" i="3"/>
  <c r="J21" i="3"/>
  <c r="K21" i="3" s="1"/>
  <c r="K18" i="3"/>
  <c r="AD70" i="3" a="1"/>
  <c r="AD70" i="3" s="1"/>
  <c r="Q17" i="3" s="1"/>
  <c r="P56" i="3"/>
  <c r="P6" i="3"/>
  <c r="P72" i="3"/>
  <c r="C9" i="3"/>
  <c r="O8" i="3"/>
  <c r="O6" i="3"/>
  <c r="AC70" i="3" a="1"/>
  <c r="AC70" i="3" s="1"/>
  <c r="P17" i="3" s="1"/>
  <c r="P18" i="3" s="1"/>
  <c r="Q8" i="3"/>
  <c r="N6" i="3"/>
  <c r="Q6" i="3"/>
  <c r="AE70" i="3" a="1"/>
  <c r="AE70" i="3" s="1"/>
  <c r="R17" i="3" s="1"/>
  <c r="P52" i="3"/>
  <c r="N8" i="3"/>
  <c r="B9" i="3" s="1"/>
  <c r="P34" i="3"/>
  <c r="P40" i="3"/>
  <c r="P59" i="3"/>
  <c r="P57" i="3"/>
  <c r="P47" i="3"/>
  <c r="P8" i="3"/>
  <c r="P31" i="3"/>
  <c r="P32" i="3"/>
  <c r="P27" i="3"/>
  <c r="P38" i="3"/>
  <c r="P54" i="3"/>
  <c r="P26" i="3"/>
  <c r="P53" i="3"/>
  <c r="P58" i="3"/>
  <c r="N5" i="3"/>
  <c r="B7" i="3" s="1"/>
  <c r="O5" i="3"/>
  <c r="Q5" i="3"/>
  <c r="P7" i="3"/>
  <c r="P5" i="3"/>
  <c r="P9" i="3"/>
  <c r="C7" i="3"/>
  <c r="O7" i="3"/>
  <c r="C8" i="3"/>
  <c r="Q7" i="3"/>
  <c r="N7" i="3"/>
  <c r="B8" i="3" s="1"/>
  <c r="U98" i="3"/>
  <c r="P14" i="3" s="1"/>
  <c r="T98" i="3"/>
  <c r="O14" i="3" s="1"/>
  <c r="R98" i="3"/>
  <c r="M14" i="3" s="1"/>
  <c r="M15" i="3" s="1"/>
  <c r="S98" i="3"/>
  <c r="N14" i="3" s="1"/>
  <c r="N15" i="3" s="1"/>
  <c r="AA70" i="3" a="1"/>
  <c r="AA70" i="3" s="1"/>
  <c r="N17" i="3" s="1"/>
  <c r="N18" i="3" s="1"/>
  <c r="Z70" i="3" a="1"/>
  <c r="Z70" i="3" s="1"/>
  <c r="M17" i="3" s="1"/>
  <c r="M18" i="3" s="1"/>
  <c r="AB70" i="3" a="1"/>
  <c r="AB70" i="3" s="1"/>
  <c r="O17" i="3" s="1"/>
  <c r="O18" i="3" s="1"/>
  <c r="N9" i="3" l="1"/>
  <c r="O9" i="3"/>
  <c r="Q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<sst xmlns="http://schemas.openxmlformats.org/spreadsheetml/2006/main" count="10161" uniqueCount="2169">
  <si>
    <t>count (y/n)</t>
  </si>
  <si>
    <t>Test</t>
  </si>
  <si>
    <t>Trolley orientation</t>
  </si>
  <si>
    <t>Type</t>
  </si>
  <si>
    <t>Side align</t>
  </si>
  <si>
    <t>Notes</t>
  </si>
  <si>
    <t>Check type</t>
  </si>
  <si>
    <t>Drive under</t>
  </si>
  <si>
    <t>notes</t>
  </si>
  <si>
    <t>fine align</t>
  </si>
  <si>
    <t>fine align extra light</t>
  </si>
  <si>
    <t>docking</t>
  </si>
  <si>
    <t>deliver</t>
  </si>
  <si>
    <t>drive out</t>
  </si>
  <si>
    <t>return charging</t>
  </si>
  <si>
    <t>y</t>
  </si>
  <si>
    <t>Normal</t>
  </si>
  <si>
    <t>Trash Trolley</t>
  </si>
  <si>
    <t>success</t>
  </si>
  <si>
    <t>correct</t>
  </si>
  <si>
    <t>NO</t>
  </si>
  <si>
    <t>Flipped 180 deg</t>
  </si>
  <si>
    <t>unsuccessfull</t>
  </si>
  <si>
    <t>YES</t>
  </si>
  <si>
    <t>too_dark_added light_new_fine_aling_try</t>
  </si>
  <si>
    <t>docking unsucessfull_helped_docking</t>
  </si>
  <si>
    <t>Laundry Trolley</t>
  </si>
  <si>
    <t>partial</t>
  </si>
  <si>
    <t>needed retry</t>
  </si>
  <si>
    <t>success on second2</t>
  </si>
  <si>
    <t>too far but did drive under</t>
  </si>
  <si>
    <t>after changing target value</t>
  </si>
  <si>
    <t>needed retry/ move an centimeter</t>
  </si>
  <si>
    <t>needed retry/ drove to far</t>
  </si>
  <si>
    <t>restart robot, aruko node crashed and goal pose got too unreliable</t>
  </si>
  <si>
    <t>drove to far, corrected</t>
  </si>
  <si>
    <t>wheels in way after moving wheel success</t>
  </si>
  <si>
    <t>f hit wheels</t>
  </si>
  <si>
    <t>cleaned wheels , two more aruco crashes --&gt; fixed arucu node</t>
  </si>
  <si>
    <t>needed a second try</t>
  </si>
  <si>
    <t>needed second try</t>
  </si>
  <si>
    <t>needed more time (2ndcommand)</t>
  </si>
  <si>
    <t>f hit wheel</t>
  </si>
  <si>
    <t>succeded after restarting aruko node</t>
  </si>
  <si>
    <t>lost camera signal</t>
  </si>
  <si>
    <t>restarted robot</t>
  </si>
  <si>
    <t>n</t>
  </si>
  <si>
    <t>lost camera again - only empty_trolleys now</t>
  </si>
  <si>
    <t>Drove to charging zone</t>
  </si>
  <si>
    <t>empty</t>
  </si>
  <si>
    <t>drove</t>
  </si>
  <si>
    <t>goal failed</t>
  </si>
  <si>
    <t>too close too trolley</t>
  </si>
  <si>
    <t>2nd cmd charging</t>
  </si>
  <si>
    <t>drove too far, repostitioned robot</t>
  </si>
  <si>
    <t>nothing detected</t>
  </si>
  <si>
    <t>Laundry&amp;Trash Drive under</t>
  </si>
  <si>
    <t>Docking total</t>
  </si>
  <si>
    <t>Deliver</t>
  </si>
  <si>
    <t>Drive out</t>
  </si>
  <si>
    <t>Full success</t>
  </si>
  <si>
    <t>Correct</t>
  </si>
  <si>
    <t>Partial success</t>
  </si>
  <si>
    <t>Incorrect</t>
  </si>
  <si>
    <t>Unsuccussfull</t>
  </si>
  <si>
    <t>Empty - send warning drive back charging</t>
  </si>
  <si>
    <t>Side align failed due to bad odometrie (drove too far)</t>
  </si>
  <si>
    <t>Drove</t>
  </si>
  <si>
    <t>Docking without light</t>
  </si>
  <si>
    <t>6 times</t>
  </si>
  <si>
    <t>Goal failed</t>
  </si>
  <si>
    <t>Aruco node died</t>
  </si>
  <si>
    <t>Amount counted runs laundry trash</t>
  </si>
  <si>
    <t>excluded</t>
  </si>
  <si>
    <t>trolley wroong positioned exclude run</t>
  </si>
  <si>
    <t>aruko node died</t>
  </si>
  <si>
    <t>Run Id Manual</t>
  </si>
  <si>
    <t>wall_time</t>
  </si>
  <si>
    <t>ros_time_sec</t>
  </si>
  <si>
    <t>run_id</t>
  </si>
  <si>
    <t>elapsed_sec</t>
  </si>
  <si>
    <t>event_type</t>
  </si>
  <si>
    <t>source</t>
  </si>
  <si>
    <t>label</t>
  </si>
  <si>
    <t>data</t>
  </si>
  <si>
    <t>2026-06-19_13-35-38-302756</t>
  </si>
  <si>
    <t>20260619_133538</t>
  </si>
  <si>
    <t>0.000</t>
  </si>
  <si>
    <t>run_start</t>
  </si>
  <si>
    <t>logger</t>
  </si>
  <si>
    <t>command_trolley_ready</t>
  </si>
  <si>
    <t>2026-06-19_13-35-38-304263</t>
  </si>
  <si>
    <t>0.002</t>
  </si>
  <si>
    <t>command</t>
  </si>
  <si>
    <t>trolley_command</t>
  </si>
  <si>
    <t>trolley_ready</t>
  </si>
  <si>
    <t>2026-06-19_13-35-38-307258</t>
  </si>
  <si>
    <t>0.005</t>
  </si>
  <si>
    <t>dropzone_status</t>
  </si>
  <si>
    <t>dropzone</t>
  </si>
  <si>
    <t>approach_goal_sent</t>
  </si>
  <si>
    <t>approach_goal_sent. Inspect the robot pose, then approve side alignment with: ros2 topic pub --once /trolley_command std_msgs/msg/String "{data: 'side_align'}"</t>
  </si>
  <si>
    <t>2026-06-19_13-36-11-270822</t>
  </si>
  <si>
    <t>run_end</t>
  </si>
  <si>
    <t>auto_closed_before_command_trolley_ready</t>
  </si>
  <si>
    <t>2026-06-19_13-36-11-272558</t>
  </si>
  <si>
    <t>20260619_133611</t>
  </si>
  <si>
    <t>2026-06-19_13-36-11-273476</t>
  </si>
  <si>
    <t>0.001</t>
  </si>
  <si>
    <t>2026-06-19_13-36-11-276228</t>
  </si>
  <si>
    <t>0.004</t>
  </si>
  <si>
    <t>2026-06-19_13-37-08-194963</t>
  </si>
  <si>
    <t>2026-06-19_13-37-08-197502</t>
  </si>
  <si>
    <t>20260619_133708</t>
  </si>
  <si>
    <t>2026-06-19_13-37-08-199036</t>
  </si>
  <si>
    <t>2026-06-19_13-37-08-203294</t>
  </si>
  <si>
    <t>0.006</t>
  </si>
  <si>
    <t>2026-06-19_13-37-26-702925</t>
  </si>
  <si>
    <t>side_align</t>
  </si>
  <si>
    <t>2026-06-19_13-37-26-708780</t>
  </si>
  <si>
    <t>status</t>
  </si>
  <si>
    <t>side_aligning via side_align_left. Waiting for side_align_left_done.</t>
  </si>
  <si>
    <t>2026-06-19_13-37-26-710258</t>
  </si>
  <si>
    <t>physical_status</t>
  </si>
  <si>
    <t>physical_alignment</t>
  </si>
  <si>
    <t>side_align_left_started</t>
  </si>
  <si>
    <t>2026-06-19_13-37-32-571275</t>
  </si>
  <si>
    <t>side_align_complete</t>
  </si>
  <si>
    <t>side_align_left_done | final camera=left ids=[22, 23, 24, 25, 26] target_pair=[24, 25] target_x=+0.3576 target_y=+0.2541 center_x=+0.3144 center_y=-0.0530 yaw=+179.71deg error_x=+0.0016 yaw_error=-0.29deg tolerance_x=0.0060 tolerance_yaw=2.00deg</t>
  </si>
  <si>
    <t>2026-06-19_13-37-32-574208</t>
  </si>
  <si>
    <t>side_align_complete: side_align_left_done | final camera=left ids=[22, 23, 24, 25, 26] target_pair=[24, 25] target_x=+0.3576 target_y=+0.2541 center_x=+0.3144 center_y=-0.0530 yaw=+179.71deg error_x=+0.0016 yaw_error=-0.29deg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</si>
  <si>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2026-06-19_13-37-34-978948</t>
  </si>
  <si>
    <t>yolo_detection</t>
  </si>
  <si>
    <t>yolo</t>
  </si>
  <si>
    <t>trash_trolley</t>
  </si>
  <si>
    <t>{"classes": ["trash_trolley"]}</t>
  </si>
  <si>
    <t>2026-06-19_13-37-43-968504</t>
  </si>
  <si>
    <t>trolley_type_checked</t>
  </si>
  <si>
    <t>trolley_type_checked: trash_trolley via live_yolov8_topic</t>
  </si>
  <si>
    <t>2026-06-19_13-37-43-971801</t>
  </si>
  <si>
    <t>check_trolley_type</t>
  </si>
  <si>
    <t>2026-06-19_13-38-00-510675</t>
  </si>
  <si>
    <t>drive_under_active via drive_straight_under. Waiting for drive_straight_under_done.</t>
  </si>
  <si>
    <t>2026-06-19_13-38-00-511968</t>
  </si>
  <si>
    <t>drive_straight_under_started</t>
  </si>
  <si>
    <t>2026-06-19_13-38-00-516941</t>
  </si>
  <si>
    <t>drive_under</t>
  </si>
  <si>
    <t>2026-06-19_13-38-09-972920</t>
  </si>
  <si>
    <t>under_trolley</t>
  </si>
  <si>
    <t>drive_straight_under_done</t>
  </si>
  <si>
    <t>2026-06-19_13-38-09-976491</t>
  </si>
  <si>
    <t>under_trolley. Inspect position, then approve final ArUco alignment with: ros2 topic pub --once /trolley_command std_msgs/msg/String "{data: 'fine_align'}"</t>
  </si>
  <si>
    <t>2026-06-19_13-38-44-014843</t>
  </si>
  <si>
    <t>fine_align</t>
  </si>
  <si>
    <t>2026-06-19_13-38-44-019192</t>
  </si>
  <si>
    <t>fine_aligning via fine_align_under. Waiting for fine_align_under_done.</t>
  </si>
  <si>
    <t>2026-06-19_13-38-44-022311</t>
  </si>
  <si>
    <t>front_rear_camera_switch_started</t>
  </si>
  <si>
    <t>2026-06-19_13-38-45-573353</t>
  </si>
  <si>
    <t>fine_align_under_started</t>
  </si>
  <si>
    <t>2026-06-19_13-39-12-070750</t>
  </si>
  <si>
    <t>fine_align_complete</t>
  </si>
  <si>
    <t>fine_align_under_done | final ids=[3, 12] center_x=+0.1290 center_y=-0.0002 yaw=-12.73deg orientation=normal error_x=-0.0035 error_y=-0.0064 yaw_error=-1.73deg target_x=+0.1325 target_y=+0.0062 tolerance_x=0.0040 tolerance_y=0.0100 tolerance_yaw=3.00deg</t>
  </si>
  <si>
    <t>2026-06-19_13-39-12-074796</t>
  </si>
  <si>
    <t>fine_align_complete: fine_align_under_done | final ids=[3, 12] center_x=+0.1290 center_y=-0.0002 yaw=-12.73deg orientation=normal error_x=-0.0035 error_y=-0.0064 yaw_error=-1.73deg target_x=+0.1325 target_y=+0.0062 tolerance_x=0.0040 tolerance_y=0.0100 tolerance_yaw=3.00deg. Remembered trash_trolley</t>
  </si>
  <si>
    <t>2026-06-19_13-40-27-248245</t>
  </si>
  <si>
    <t>manual_mark</t>
  </si>
  <si>
    <t>operator</t>
  </si>
  <si>
    <t>docking sucessfull</t>
  </si>
  <si>
    <t>2026-06-19_13-40-32-503391</t>
  </si>
  <si>
    <t>deliver_trolley</t>
  </si>
  <si>
    <t>2026-06-19_13-40-32-505854</t>
  </si>
  <si>
    <t>dropoff_goal_sent</t>
  </si>
  <si>
    <t>dropoff_goal_sent: remembered trash_trolley -&gt; trash_dropoff. When the robot arrives, approve trolley release with: ros2 topic pub --once /trolley_command std_msgs/msg/String "{data: 'drive_out'}"</t>
  </si>
  <si>
    <t>2026-06-19_13-41-13-307342</t>
  </si>
  <si>
    <t>drive_out</t>
  </si>
  <si>
    <t>2026-06-19_13-41-13-308960</t>
  </si>
  <si>
    <t>drive_out_active for 7.0s. Publishing direct cmd_vel to release trolley.</t>
  </si>
  <si>
    <t>2026-06-19_13-41-20-310921</t>
  </si>
  <si>
    <t>drive_out_done</t>
  </si>
  <si>
    <t>drive_out_done. Released trash_trolley</t>
  </si>
  <si>
    <t>2026-06-19_13-41-20-311469</t>
  </si>
  <si>
    <t>2026-06-19_13-41-58-818796</t>
  </si>
  <si>
    <t>20260619_134158</t>
  </si>
  <si>
    <t>manual_mark_without_active_run</t>
  </si>
  <si>
    <t>2026-06-19_13-41-58-821957</t>
  </si>
  <si>
    <t>perfect_run</t>
  </si>
  <si>
    <t>2026-06-19_13-42-16-682291</t>
  </si>
  <si>
    <t>manual_end</t>
  </si>
  <si>
    <t>2026-06-19_13-46-53-486307</t>
  </si>
  <si>
    <t>20260619_134653</t>
  </si>
  <si>
    <t>2026-06-19_13-46-53-488085</t>
  </si>
  <si>
    <t>2026-06-19_13-46-53-499885</t>
  </si>
  <si>
    <t>0.014</t>
  </si>
  <si>
    <t>2026-06-19_13-47-26-282777</t>
  </si>
  <si>
    <t>charging</t>
  </si>
  <si>
    <t>2026-06-19_13-48-00-448218</t>
  </si>
  <si>
    <t>2026-06-19_13-48-44-273425</t>
  </si>
  <si>
    <t>2026-06-19_13-48-44-275478</t>
  </si>
  <si>
    <t>20260619_134844</t>
  </si>
  <si>
    <t>2026-06-19_13-48-44-279590</t>
  </si>
  <si>
    <t>2026-06-19_13-48-44-280997</t>
  </si>
  <si>
    <t>2026-06-19_13-48-59-168241</t>
  </si>
  <si>
    <t>2026-06-19_13-48-59-173977</t>
  </si>
  <si>
    <t>2026-06-19_13-48-59-174601</t>
  </si>
  <si>
    <t>2026-06-19_13-49-06-771249</t>
  </si>
  <si>
    <t>side_align_left_done | final camera=left ids=[23, 24, 25, 26] target_pair=[24, 25] target_x=+0.3594 target_y=+0.2713 center_x=+0.3676 center_y=-0.0358 yaw=+179.75deg error_x=+0.0034 yaw_error=-0.25deg tolerance_x=0.0060 tolerance_yaw=2.00deg</t>
  </si>
  <si>
    <t>2026-06-19_13-49-06-776398</t>
  </si>
  <si>
    <t>side_align_complete: side_align_left_done | final camera=left ids=[23, 24, 25, 26] target_pair=[24, 25] target_x=+0.3594 target_y=+0.2713 center_x=+0.3676 center_y=-0.0358 yaw=+179.75deg error_x=+0.0034 yaw_error=-0.25deg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</si>
  <si>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2026-06-19_13-49-08-698387</t>
  </si>
  <si>
    <t>2026-06-19_13-49-26-308673</t>
  </si>
  <si>
    <t>2026-06-19_13-49-26-310423</t>
  </si>
  <si>
    <t>2026-06-19_13-49-40-274334</t>
  </si>
  <si>
    <t>object_detection_correct</t>
  </si>
  <si>
    <t>2026-06-19_13-49-51-345483</t>
  </si>
  <si>
    <t>2026-06-19_13-49-51-349667</t>
  </si>
  <si>
    <t>2026-06-19_13-49-51-351361</t>
  </si>
  <si>
    <t>2026-06-19_13-50-00-775206</t>
  </si>
  <si>
    <t>2026-06-19_13-50-00-779925</t>
  </si>
  <si>
    <t>2026-06-19_13-50-08-739386</t>
  </si>
  <si>
    <t>2026-06-19_13-50-08-741222</t>
  </si>
  <si>
    <t>2026-06-19_13-50-08-742852</t>
  </si>
  <si>
    <t>2026-06-19_13-50-10-273862</t>
  </si>
  <si>
    <t>2026-06-19_13-50-10-971665</t>
  </si>
  <si>
    <t>fine_align_under_done | final ids=[3, 12] center_x=+0.1306 center_y=+0.0009 yaw=-13.02deg orientation=normal error_x=-0.0019 error_y=-0.0053 yaw_error=-2.02deg target_x=+0.1325 target_y=+0.0062 tolerance_x=0.0040 tolerance_y=0.0100 tolerance_yaw=3.00deg</t>
  </si>
  <si>
    <t>2026-06-19_13-50-10-973548</t>
  </si>
  <si>
    <t>fine_align_complete: fine_align_under_done | final ids=[3, 12] center_x=+0.1306 center_y=+0.0009 yaw=-13.02deg orientation=normal error_x=-0.0019 error_y=-0.0053 yaw_error=-2.02deg target_x=+0.1325 target_y=+0.0062 tolerance_x=0.0040 tolerance_y=0.0100 tolerance_yaw=3.00deg. Remembered trash_trolley</t>
  </si>
  <si>
    <t>2026-06-19_13-50-44-904193</t>
  </si>
  <si>
    <t>2026-06-19_13-50-55-117266</t>
  </si>
  <si>
    <t>2026-06-19_13-50-55-325800</t>
  </si>
  <si>
    <t>2026-06-19_13-51-22-648237</t>
  </si>
  <si>
    <t>2026-06-19_13-51-22-651480</t>
  </si>
  <si>
    <t>2026-06-19_13-51-29-653701</t>
  </si>
  <si>
    <t>2026-06-19_13-51-29-654365</t>
  </si>
  <si>
    <t>2026-06-19_13-53-13-933669</t>
  </si>
  <si>
    <t>20260619_135313</t>
  </si>
  <si>
    <t>2026-06-19_13-53-13-935286</t>
  </si>
  <si>
    <t>2026-06-19_13-53-13-942016</t>
  </si>
  <si>
    <t>0.011</t>
  </si>
  <si>
    <t>2026-06-19_13-53-32-298721</t>
  </si>
  <si>
    <t>2026-06-19_13-53-32-304496</t>
  </si>
  <si>
    <t>2026-06-19_13-53-32-305235</t>
  </si>
  <si>
    <t>2026-06-19_13-53-50-973517</t>
  </si>
  <si>
    <t>side_align_left_done | final camera=left ids=[17, 18, 19, 20] target_pair=[18, 19] target_x=+0.3503 target_y=+0.2783 center_x=+0.3593 center_y=+0.5844 yaw=-179.92deg error_x=-0.0057 yaw_error=+0.08deg tolerance_x=0.0060 tolerance_yaw=2.00deg</t>
  </si>
  <si>
    <t>2026-06-19_13-53-50-977689</t>
  </si>
  <si>
    <t>side_align_complete: side_align_left_done | final camera=left ids=[17, 18, 19, 20] target_pair=[18, 19] target_x=+0.3503 target_y=+0.2783 center_x=+0.3593 center_y=+0.5844 yaw=-179.92deg error_x=-0.0057 yaw_error=+0.08deg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</si>
  <si>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2026-06-19_13-53-52-969127</t>
  </si>
  <si>
    <t>2026-06-19_13-54-00-297672</t>
  </si>
  <si>
    <t>2026-06-19_13-54-00-493920</t>
  </si>
  <si>
    <t>2026-06-19_13-54-12-212256</t>
  </si>
  <si>
    <t>2026-06-19_13-54-21-390433</t>
  </si>
  <si>
    <t>2026-06-19_13-54-21-395351</t>
  </si>
  <si>
    <t>2026-06-19_13-54-21-404201</t>
  </si>
  <si>
    <t>2026-06-19_13-54-30-873322</t>
  </si>
  <si>
    <t>2026-06-19_13-54-30-875893</t>
  </si>
  <si>
    <t>2026-06-19_13-54-43-421364</t>
  </si>
  <si>
    <t>2026-06-19_13-54-43-423040</t>
  </si>
  <si>
    <t>2026-06-19_13-54-43-429260</t>
  </si>
  <si>
    <t>2026-06-19_13-54-44-973289</t>
  </si>
  <si>
    <t>2026-06-19_13-55-30-069913</t>
  </si>
  <si>
    <t>fine_align_under_timeout</t>
  </si>
  <si>
    <t>2026-06-19_13-55-30-071942</t>
  </si>
  <si>
    <t>fine_alignment_stopped: fine_align_under_timeout</t>
  </si>
  <si>
    <t>2026-06-19_13-56-07-474633</t>
  </si>
  <si>
    <t>2026-06-19_13-56-36-324142</t>
  </si>
  <si>
    <t>2026-06-19_13-56-36-325612</t>
  </si>
  <si>
    <t>2026-06-19_13-56-36-331838</t>
  </si>
  <si>
    <t>2026-06-19_13-56-37-870933</t>
  </si>
  <si>
    <t>2026-06-19_13-56-57-470810</t>
  </si>
  <si>
    <t>fine_align_under_done | final ids=[3, 12] center_x=+0.1407 center_y=+0.0088 yaw=+164.99deg orientation=flipped_180 error_x=+0.0037 error_y=+0.0050 yaw_error=-0.01deg target_x=+0.1370 target_y=+0.0038 tolerance_x=0.0040 tolerance_y=0.0100 tolerance_yaw=3.00deg</t>
  </si>
  <si>
    <t>2026-06-19_13-56-57-472760</t>
  </si>
  <si>
    <t>fine_align_complete: fine_align_under_done | final ids=[3, 12] center_x=+0.1407 center_y=+0.0088 yaw=+164.99deg orientation=flipped_180 error_x=+0.0037 error_y=+0.0050 yaw_error=-0.01deg target_x=+0.1370 target_y=+0.0038 tolerance_x=0.0040 tolerance_y=0.0100 tolerance_yaw=3.00deg. Remembered trash_trolley</t>
  </si>
  <si>
    <t>2026-06-19_13-58-48-051289</t>
  </si>
  <si>
    <t>2026-06-19_13-58-48-058701</t>
  </si>
  <si>
    <t>2026-06-19_13-58-48-148465</t>
  </si>
  <si>
    <t>2026-06-19_13-58-49-571680</t>
  </si>
  <si>
    <t>2026-06-19_13-58-50-274440</t>
  </si>
  <si>
    <t>fine_align_under_done | final ids=[3, 12] center_x=+0.1364 center_y=+0.0001 yaw=+163.66deg orientation=flipped_180 error_x=-0.0006 error_y=-0.0037 yaw_error=-1.34deg target_x=+0.1370 target_y=+0.0038 tolerance_x=0.0040 tolerance_y=0.0100 tolerance_yaw=3.00deg</t>
  </si>
  <si>
    <t>2026-06-19_13-58-50-279789</t>
  </si>
  <si>
    <t>fine_align_complete: fine_align_under_done | final ids=[3, 12] center_x=+0.1364 center_y=+0.0001 yaw=+163.66deg orientation=flipped_180 error_x=-0.0006 error_y=-0.0037 yaw_error=-1.34deg target_x=+0.1370 target_y=+0.0038 tolerance_x=0.0040 tolerance_y=0.0100 tolerance_yaw=3.00deg. Remembered trash_trolley</t>
  </si>
  <si>
    <t>2026-06-19_13-58-55-597917</t>
  </si>
  <si>
    <t>2026-06-19_13-59-11-954990</t>
  </si>
  <si>
    <t>2026-06-19_13-59-11-957121</t>
  </si>
  <si>
    <t>2026-06-19_13-59-33-224778</t>
  </si>
  <si>
    <t>2026-06-19_13-59-33-229118</t>
  </si>
  <si>
    <t>2026-06-19_13-59-40-230059</t>
  </si>
  <si>
    <t>2026-06-19_13-59-40-230587</t>
  </si>
  <si>
    <t>2026-06-19_14-02-35-582732</t>
  </si>
  <si>
    <t>20260619_140235</t>
  </si>
  <si>
    <t>2026-06-19_14-02-35-584532</t>
  </si>
  <si>
    <t>reseting_start_position</t>
  </si>
  <si>
    <t>2026-06-19_14-03-17-680316</t>
  </si>
  <si>
    <t>2026-06-19_14-03-17-778063</t>
  </si>
  <si>
    <t>2026-06-19_14-03-17-780025</t>
  </si>
  <si>
    <t>20260619_140317</t>
  </si>
  <si>
    <t>2026-06-19_14-03-17-781040</t>
  </si>
  <si>
    <t>2026-06-19_14-03-51-725611</t>
  </si>
  <si>
    <t>2026-06-19_14-03-51-727492</t>
  </si>
  <si>
    <t>20260619_140351</t>
  </si>
  <si>
    <t>2026-06-19_14-03-51-728474</t>
  </si>
  <si>
    <t>2026-06-19_14-03-51-729450</t>
  </si>
  <si>
    <t>2026-06-19_14-04-07-297811</t>
  </si>
  <si>
    <t>2026-06-19_14-04-07-304759</t>
  </si>
  <si>
    <t>2026-06-19_14-04-07-306002</t>
  </si>
  <si>
    <t>2026-06-19_14-04-13-471241</t>
  </si>
  <si>
    <t>side_align_left_done | final camera=left ids=[17, 18, 19, 20] target_pair=[18, 19] target_x=+0.3564 target_y=+0.2735 center_x=+0.3584 center_y=+0.5793 yaw=-178.91deg error_x=+0.0004 yaw_error=+1.09deg tolerance_x=0.0060 tolerance_yaw=2.00deg</t>
  </si>
  <si>
    <t>2026-06-19_14-04-13-477237</t>
  </si>
  <si>
    <t>side_align_complete: side_align_left_done | final camera=left ids=[17, 18, 19, 20] target_pair=[18, 19] target_x=+0.3564 target_y=+0.2735 center_x=+0.3584 center_y=+0.5793 yaw=-178.91deg error_x=+0.0004 yaw_error=+1.09deg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</si>
  <si>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2026-06-19_14-04-15-271129</t>
  </si>
  <si>
    <t>laundry_trolley</t>
  </si>
  <si>
    <t>{"classes": ["laundry_trolley"]}</t>
  </si>
  <si>
    <t>2026-06-19_14-04-23-559743</t>
  </si>
  <si>
    <t>2026-06-19_14-04-23-577009</t>
  </si>
  <si>
    <t>trolley_type_checked: laundry_trolley via live_yolov8_topic</t>
  </si>
  <si>
    <t>2026-06-19_14-04-38-864852</t>
  </si>
  <si>
    <t>2026-06-19_14-04-52-919208</t>
  </si>
  <si>
    <t>2026-06-19_14-04-52-921569</t>
  </si>
  <si>
    <t>2026-06-19_14-04-52-927796</t>
  </si>
  <si>
    <t>2026-06-19_14-05-02-372652</t>
  </si>
  <si>
    <t>2026-06-19_14-05-02-375377</t>
  </si>
  <si>
    <t>2026-06-19_14-05-07-239467</t>
  </si>
  <si>
    <t>2026-06-19_14-05-07-246040</t>
  </si>
  <si>
    <t>2026-06-19_14-05-07-246742</t>
  </si>
  <si>
    <t>2026-06-19_14-05-08-775016</t>
  </si>
  <si>
    <t>2026-06-19_14-05-14-670519</t>
  </si>
  <si>
    <t>fine_align_under_done | final ids=[3, 12] center_x=+0.1389 center_y=+0.0134 yaw=+163.55deg orientation=flipped_180 error_x=+0.0019 error_y=+0.0096 yaw_error=-1.45deg target_x=+0.1370 target_y=+0.0038 tolerance_x=0.0040 tolerance_y=0.0100 tolerance_yaw=3.00deg</t>
  </si>
  <si>
    <t>2026-06-19_14-05-14-673508</t>
  </si>
  <si>
    <t>fine_align_complete: fine_align_under_done | final ids=[3, 12] center_x=+0.1389 center_y=+0.0134 yaw=+163.55deg orientation=flipped_180 error_x=+0.0019 error_y=+0.0096 yaw_error=-1.45deg target_x=+0.1370 target_y=+0.0038 tolerance_x=0.0040 tolerance_y=0.0100 tolerance_yaw=3.00deg. Remembered laundry_trolley</t>
  </si>
  <si>
    <t>2026-06-19_14-05-47-471383</t>
  </si>
  <si>
    <t>2026-06-19_14-06-03-696123</t>
  </si>
  <si>
    <t>2026-06-19_14-06-03-702160</t>
  </si>
  <si>
    <t>dropoff_goal_sent: remembered laundry_trolley -&gt; laundry_dropoff. When the robot arrives, approve trolley release with: ros2 topic pub --once /trolley_command std_msgs/msg/String "{data: 'drive_out'}"</t>
  </si>
  <si>
    <t>2026-06-19_14-06-20-129287</t>
  </si>
  <si>
    <t>2026-06-19_14-06-20-132738</t>
  </si>
  <si>
    <t>2026-06-19_14-06-27-133437</t>
  </si>
  <si>
    <t>drive_out_done. Released laundry_trolley</t>
  </si>
  <si>
    <t>2026-06-19_14-06-27-133969</t>
  </si>
  <si>
    <t>2026-06-19_14-07-29-889716</t>
  </si>
  <si>
    <t>20260619_140729</t>
  </si>
  <si>
    <t>2026-06-19_14-07-29-891335</t>
  </si>
  <si>
    <t>2026-06-19_14-07-29-892851</t>
  </si>
  <si>
    <t>0.003</t>
  </si>
  <si>
    <t>2026-06-19_14-07-44-007674</t>
  </si>
  <si>
    <t>2026-06-19_14-07-44-012327</t>
  </si>
  <si>
    <t>2026-06-19_14-07-44-020780</t>
  </si>
  <si>
    <t>2026-06-19_14-07-59-470945</t>
  </si>
  <si>
    <t>side_align_left_done | final camera=left ids=[18, 19, 20] target_pair=[18, 19] target_x=+0.3533 target_y=+0.2888 center_x=+0.4077 center_y=+0.5950 yaw=+179.80deg error_x=-0.0027 yaw_error=-0.20deg tolerance_x=0.0060 tolerance_yaw=2.00deg</t>
  </si>
  <si>
    <t>2026-06-19_14-07-59-477441</t>
  </si>
  <si>
    <t>side_align_complete: side_align_left_done | final camera=left ids=[18, 19, 20] target_pair=[18, 19] target_x=+0.3533 target_y=+0.2888 center_x=+0.4077 center_y=+0.5950 yaw=+179.80deg error_x=-0.0027 yaw_error=-0.20deg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</si>
  <si>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2026-06-19_14-08-01-263374</t>
  </si>
  <si>
    <t>2026-06-19_14-08-07-636166</t>
  </si>
  <si>
    <t>2026-06-19_14-08-07-745876</t>
  </si>
  <si>
    <t>2026-06-19_14-08-21-733033</t>
  </si>
  <si>
    <t>2026-06-19_14-08-29-331396</t>
  </si>
  <si>
    <t>2026-06-19_14-08-29-334844</t>
  </si>
  <si>
    <t>2026-06-19_14-08-29-337836</t>
  </si>
  <si>
    <t>2026-06-19_14-08-38-775108</t>
  </si>
  <si>
    <t>2026-06-19_14-08-38-780335</t>
  </si>
  <si>
    <t>2026-06-19_14-08-44-089409</t>
  </si>
  <si>
    <t>2026-06-19_14-08-44-091299</t>
  </si>
  <si>
    <t>2026-06-19_14-08-44-287982</t>
  </si>
  <si>
    <t>2026-06-19_14-08-45-671596</t>
  </si>
  <si>
    <t>2026-06-19_14-09-30-769953</t>
  </si>
  <si>
    <t>2026-06-19_14-09-30-771347</t>
  </si>
  <si>
    <t>2026-06-19_14-09-39-106241</t>
  </si>
  <si>
    <t>2026-06-19_14-10-08-878212</t>
  </si>
  <si>
    <t>2026-06-19_14-10-08-890419</t>
  </si>
  <si>
    <t>2026-06-19_14-10-08-891202</t>
  </si>
  <si>
    <t>2026-06-19_14-10-10-471695</t>
  </si>
  <si>
    <t>2026-06-19_14-10-55-473580</t>
  </si>
  <si>
    <t>2026-06-19_14-10-55-481754</t>
  </si>
  <si>
    <t>2026-06-19_14-11-15-648940</t>
  </si>
  <si>
    <t>2026-06-19_14-11-37-750346</t>
  </si>
  <si>
    <t>2026-06-19_14-11-37-753045</t>
  </si>
  <si>
    <t>2026-06-19_14-11-37-757727</t>
  </si>
  <si>
    <t>2026-06-19_14-11-39-272530</t>
  </si>
  <si>
    <t>2026-06-19_14-11-58-872092</t>
  </si>
  <si>
    <t>fine_align_under_done | final ids=[3, 12] center_x=+0.1404 center_y=+0.0088 yaw=+164.10deg orientation=flipped_180 error_x=+0.0034 error_y=+0.0050 yaw_error=-0.90deg target_x=+0.1370 target_y=+0.0038 tolerance_x=0.0040 tolerance_y=0.0100 tolerance_yaw=3.00deg</t>
  </si>
  <si>
    <t>2026-06-19_14-11-58-876875</t>
  </si>
  <si>
    <t>fine_align_complete: fine_align_under_done | final ids=[3, 12] center_x=+0.1404 center_y=+0.0088 yaw=+164.10deg orientation=flipped_180 error_x=+0.0034 error_y=+0.0050 yaw_error=-0.90deg target_x=+0.1370 target_y=+0.0038 tolerance_x=0.0040 tolerance_y=0.0100 tolerance_yaw=3.00deg. Remembered laundry_trolley</t>
  </si>
  <si>
    <t>2026-06-19_14-13-03-050153</t>
  </si>
  <si>
    <t>2026-06-19_14-13-03-056645</t>
  </si>
  <si>
    <t>2026-06-19_14-13-03-145231</t>
  </si>
  <si>
    <t>2026-06-19_14-13-04-572326</t>
  </si>
  <si>
    <t>2026-06-19_14-13-05-274069</t>
  </si>
  <si>
    <t>fine_align_under_done | final ids=[3, 12] center_x=+0.1345 center_y=+0.0089 yaw=+165.30deg orientation=flipped_180 error_x=-0.0025 error_y=+0.0051 yaw_error=+0.30deg target_x=+0.1370 target_y=+0.0038 tolerance_x=0.0040 tolerance_y=0.0100 tolerance_yaw=3.00deg</t>
  </si>
  <si>
    <t>2026-06-19_14-13-05-278037</t>
  </si>
  <si>
    <t>fine_align_complete: fine_align_under_done | final ids=[3, 12] center_x=+0.1345 center_y=+0.0089 yaw=+165.30deg orientation=flipped_180 error_x=-0.0025 error_y=+0.0051 yaw_error=+0.30deg target_x=+0.1370 target_y=+0.0038 tolerance_x=0.0040 tolerance_y=0.0100 tolerance_yaw=3.00deg. Remembered laundry_trolley</t>
  </si>
  <si>
    <t>2026-06-19_14-13-16-776911</t>
  </si>
  <si>
    <t>2026-06-19_14-13-16-784016</t>
  </si>
  <si>
    <t>2026-06-19_14-13-33-250846</t>
  </si>
  <si>
    <t>2026-06-19_14-13-33-261635</t>
  </si>
  <si>
    <t>2026-06-19_14-13-40-252527</t>
  </si>
  <si>
    <t>2026-06-19_14-13-40-253045</t>
  </si>
  <si>
    <t>2026-06-19_14-42-21-482893</t>
  </si>
  <si>
    <t>20260619_144221</t>
  </si>
  <si>
    <t>2026-06-19_14-42-21-484315</t>
  </si>
  <si>
    <t>reset_starting_point</t>
  </si>
  <si>
    <t>2026-06-19_14-42-33-999786</t>
  </si>
  <si>
    <t>2026-06-19_14-42-34-001555</t>
  </si>
  <si>
    <t>20260619_144234</t>
  </si>
  <si>
    <t>2026-06-19_14-42-34-002467</t>
  </si>
  <si>
    <t>2026-06-19_14-42-34-004519</t>
  </si>
  <si>
    <t>2026-06-19_14-42-53-074576</t>
  </si>
  <si>
    <t>2026-06-19_14-42-53-079255</t>
  </si>
  <si>
    <t>2026-06-19_14-42-53-080421</t>
  </si>
  <si>
    <t>2026-06-19_14-43-08-078531</t>
  </si>
  <si>
    <t>side_align_left_done | final camera=left ids=[23, 24, 25, 26] target_pair=[24, 25] target_x=+0.3555 target_y=+0.2667 center_x=+0.3715 center_y=-0.0403 yaw=-178.38deg error_x=-0.0005 yaw_error=+1.62deg tolerance_x=0.0060 tolerance_yaw=2.00deg</t>
  </si>
  <si>
    <t>2026-06-19_14-43-08-082672</t>
  </si>
  <si>
    <t>side_align_complete: side_align_left_done | final camera=left ids=[23, 24, 25, 26] target_pair=[24, 25] target_x=+0.3555 target_y=+0.2667 center_x=+0.3715 center_y=-0.0403 yaw=-178.38deg error_x=-0.0005 yaw_error=+1.62deg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</si>
  <si>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2026-06-19_14-43-09-960323</t>
  </si>
  <si>
    <t>2026-06-19_14-43-27-489867</t>
  </si>
  <si>
    <t>2026-06-19_14-43-27-491066</t>
  </si>
  <si>
    <t>2026-06-19_14-43-37-147570</t>
  </si>
  <si>
    <t>2026-06-19_14-43-45-722909</t>
  </si>
  <si>
    <t>2026-06-19_14-43-45-726551</t>
  </si>
  <si>
    <t>2026-06-19_14-43-45-728041</t>
  </si>
  <si>
    <t>2026-06-19_14-43-55-173373</t>
  </si>
  <si>
    <t>2026-06-19_14-43-55-176354</t>
  </si>
  <si>
    <t>2026-06-19_14-44-01-501520</t>
  </si>
  <si>
    <t>2026-06-19_14-44-01-506866</t>
  </si>
  <si>
    <t>2026-06-19_14-44-01-508967</t>
  </si>
  <si>
    <t>2026-06-19_14-44-03-072450</t>
  </si>
  <si>
    <t>2026-06-19_14-44-13-370657</t>
  </si>
  <si>
    <t>fine_align_under_done | final ids=[3, 12] center_x=+0.1291 center_y=-0.0015 yaw=-13.23deg orientation=normal error_x=-0.0034 error_y=-0.0077 yaw_error=-2.23deg target_x=+0.1325 target_y=+0.0062 tolerance_x=0.0040 tolerance_y=0.0100 tolerance_yaw=3.00deg</t>
  </si>
  <si>
    <t>2026-06-19_14-44-13-372874</t>
  </si>
  <si>
    <t>fine_align_complete: fine_align_under_done | final ids=[3, 12] center_x=+0.1291 center_y=-0.0015 yaw=-13.23deg orientation=normal error_x=-0.0034 error_y=-0.0077 yaw_error=-2.23deg target_x=+0.1325 target_y=+0.0062 tolerance_x=0.0040 tolerance_y=0.0100 tolerance_yaw=3.00deg. Remembered laundry_trolley</t>
  </si>
  <si>
    <t>2026-06-19_14-45-05-757128</t>
  </si>
  <si>
    <t>2026-06-19_14-45-14-205651</t>
  </si>
  <si>
    <t>2026-06-19_14-45-14-209995</t>
  </si>
  <si>
    <t>2026-06-19_14-45-31-257474</t>
  </si>
  <si>
    <t>2026-06-19_14-45-31-259034</t>
  </si>
  <si>
    <t>2026-06-19_14-45-38-263210</t>
  </si>
  <si>
    <t>2026-06-19_14-45-38-263769</t>
  </si>
  <si>
    <t>2026-06-19_14-46-01-269409</t>
  </si>
  <si>
    <t>20260619_144601</t>
  </si>
  <si>
    <t>2026-06-19_14-46-01-270949</t>
  </si>
  <si>
    <t>whole_run_sucessfull</t>
  </si>
  <si>
    <t>2026-06-19_14-47-00-350998</t>
  </si>
  <si>
    <t>2026-06-19_14-47-04-004933</t>
  </si>
  <si>
    <t>2026-06-19_14-47-19-595171</t>
  </si>
  <si>
    <t>2026-06-19_14-47-19-597095</t>
  </si>
  <si>
    <t>20260619_144719</t>
  </si>
  <si>
    <t>2026-06-19_14-47-19-598249</t>
  </si>
  <si>
    <t>2026-06-19_14-47-19-602341</t>
  </si>
  <si>
    <t>2026-06-19_14-47-30-720399</t>
  </si>
  <si>
    <t>2026-06-19_14-48-06-594375</t>
  </si>
  <si>
    <t>2026-06-19_14-48-06-596161</t>
  </si>
  <si>
    <t>20260619_144806</t>
  </si>
  <si>
    <t>2026-06-19_14-48-06-597128</t>
  </si>
  <si>
    <t>2026-06-19_14-48-06-598114</t>
  </si>
  <si>
    <t>2026-06-19_14-48-21-984045</t>
  </si>
  <si>
    <t>2026-06-19_14-48-21-988842</t>
  </si>
  <si>
    <t>2026-06-19_14-48-21-990079</t>
  </si>
  <si>
    <t>2026-06-19_14-48-27-672370</t>
  </si>
  <si>
    <t>side_align_left_done | final camera=left ids=[23, 24, 25, 26] target_pair=[24, 25] target_x=+0.3576 target_y=+0.2735 center_x=+0.3761 center_y=-0.0334 yaw=-178.28deg error_x=+0.0016 yaw_error=+1.72deg tolerance_x=0.0060 tolerance_yaw=2.00deg</t>
  </si>
  <si>
    <t>2026-06-19_14-48-27-674830</t>
  </si>
  <si>
    <t>side_align_complete: side_align_left_done | final camera=left ids=[23, 24, 25, 26] target_pair=[24, 25] target_x=+0.3576 target_y=+0.2735 center_x=+0.3761 center_y=-0.0334 yaw=-178.28deg error_x=+0.0016 yaw_error=+1.72deg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</si>
  <si>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2026-06-19_14-48-29-699438</t>
  </si>
  <si>
    <t>2026-06-19_14-48-36-284056</t>
  </si>
  <si>
    <t>2026-06-19_14-48-36-290058</t>
  </si>
  <si>
    <t>2026-06-19_14-48-48-420706</t>
  </si>
  <si>
    <t>2026-06-19_14-48-57-246441</t>
  </si>
  <si>
    <t>2026-06-19_14-48-57-255604</t>
  </si>
  <si>
    <t>2026-06-19_14-48-57-341494</t>
  </si>
  <si>
    <t>2026-06-19_14-49-06-675425</t>
  </si>
  <si>
    <t>2026-06-19_14-49-06-676811</t>
  </si>
  <si>
    <t>2026-06-19_14-49-12-363646</t>
  </si>
  <si>
    <t>2026-06-19_14-49-12-368571</t>
  </si>
  <si>
    <t>2026-06-19_14-49-12-370645</t>
  </si>
  <si>
    <t>2026-06-19_14-49-13-971197</t>
  </si>
  <si>
    <t>2026-06-19_14-49-23-671170</t>
  </si>
  <si>
    <t>fine_align_under_done | final ids=[3, 12] center_x=+0.1363 center_y=+0.0060 yaw=-12.41deg orientation=normal error_x=+0.0038 error_y=-0.0002 yaw_error=-1.41deg target_x=+0.1325 target_y=+0.0062 tolerance_x=0.0040 tolerance_y=0.0100 tolerance_yaw=3.00deg</t>
  </si>
  <si>
    <t>2026-06-19_14-49-23-674417</t>
  </si>
  <si>
    <t>fine_align_complete: fine_align_under_done | final ids=[3, 12] center_x=+0.1363 center_y=+0.0060 yaw=-12.41deg orientation=normal error_x=+0.0038 error_y=-0.0002 yaw_error=-1.41deg target_x=+0.1325 target_y=+0.0062 tolerance_x=0.0040 tolerance_y=0.0100 tolerance_yaw=3.00deg. Remembered laundry_trolley</t>
  </si>
  <si>
    <t>2026-06-19_14-49-39-864822</t>
  </si>
  <si>
    <t>2026-06-19_14-49-39-871257</t>
  </si>
  <si>
    <t>2026-06-19_14-50-02-109162</t>
  </si>
  <si>
    <t>2026-06-19_14-50-02-119007</t>
  </si>
  <si>
    <t>2026-06-19_14-50-09-117730</t>
  </si>
  <si>
    <t>2026-06-19_14-50-09-118325</t>
  </si>
  <si>
    <t>2026-06-19_14-50-13-094375</t>
  </si>
  <si>
    <t>20260619_145013</t>
  </si>
  <si>
    <t>2026-06-19_14-50-13-095933</t>
  </si>
  <si>
    <t>2026-06-19_14-50-19-933419</t>
  </si>
  <si>
    <t>2026-06-19_14-53-04-374889</t>
  </si>
  <si>
    <t>2026-06-19_14-53-04-567990</t>
  </si>
  <si>
    <t>2026-06-19_14-53-04-569968</t>
  </si>
  <si>
    <t>20260619_145304</t>
  </si>
  <si>
    <t>2026-06-19_14-53-04-570912</t>
  </si>
  <si>
    <t>2026-06-19_14-53-20-368038</t>
  </si>
  <si>
    <t>2026-06-19_14-53-43-390836</t>
  </si>
  <si>
    <t>2026-06-19_14-53-43-392653</t>
  </si>
  <si>
    <t>20260619_145343</t>
  </si>
  <si>
    <t>2026-06-19_14-53-43-393718</t>
  </si>
  <si>
    <t>2026-06-19_14-53-43-397388</t>
  </si>
  <si>
    <t>2026-06-19_14-54-22-600210</t>
  </si>
  <si>
    <t>2026-06-19_14-54-30-833393</t>
  </si>
  <si>
    <t>2026-06-19_14-54-30-835301</t>
  </si>
  <si>
    <t>20260619_145430</t>
  </si>
  <si>
    <t>2026-06-19_14-54-30-838203</t>
  </si>
  <si>
    <t>2026-06-19_14-54-30-840333</t>
  </si>
  <si>
    <t>2026-06-19_14-54-43-297072</t>
  </si>
  <si>
    <t>2026-06-19_14-54-43-298595</t>
  </si>
  <si>
    <t>2026-06-19_14-54-43-303737</t>
  </si>
  <si>
    <t>2026-06-19_14-55-15-675104</t>
  </si>
  <si>
    <t>side_align_left_done | final camera=left ids=[18, 19, 20, 21] target_pair=[18, 19] target_x=+0.3616 target_y=+0.2856 center_x=+0.4674 center_y=+0.5940 yaw=-178.80deg error_x=+0.0056 yaw_error=+1.20deg tolerance_x=0.0060 tolerance_yaw=2.00deg</t>
  </si>
  <si>
    <t>2026-06-19_14-55-15-680009</t>
  </si>
  <si>
    <t>side_align_complete: side_align_left_done | final camera=left ids=[18, 19, 20, 21] target_pair=[18, 19] target_x=+0.3616 target_y=+0.2856 center_x=+0.4674 center_y=+0.5940 yaw=-178.80deg error_x=+0.0056 yaw_error=+1.20deg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</si>
  <si>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2026-06-19_14-55-17-432503</t>
  </si>
  <si>
    <t>2026-06-19_14-55-52-821560</t>
  </si>
  <si>
    <t>trolley_ready_drove_too_far</t>
  </si>
  <si>
    <t>2026-06-19_14-56-02-031929</t>
  </si>
  <si>
    <t>2026-06-19_14-56-02-036553</t>
  </si>
  <si>
    <t>2026-06-19_14-56-20-426884</t>
  </si>
  <si>
    <t>2026-06-19_14-56-33-593990</t>
  </si>
  <si>
    <t>2026-06-19_14-56-33-596322</t>
  </si>
  <si>
    <t>2026-06-19_14-56-33-602338</t>
  </si>
  <si>
    <t>2026-06-19_14-56-43-072418</t>
  </si>
  <si>
    <t>2026-06-19_14-56-43-074631</t>
  </si>
  <si>
    <t>2026-06-19_14-57-22-134124</t>
  </si>
  <si>
    <t>drive_under_unsucessfull_trolley had the brakes_rotated_in</t>
  </si>
  <si>
    <t>2026-06-19_14-58-04-426867</t>
  </si>
  <si>
    <t>reset_to_start</t>
  </si>
  <si>
    <t>2026-06-19_14-59-51-598531</t>
  </si>
  <si>
    <t>2026-06-19_15-00-00-909495</t>
  </si>
  <si>
    <t>2026-06-19_15-00-00-911276</t>
  </si>
  <si>
    <t>20260619_150000</t>
  </si>
  <si>
    <t>2026-06-19_15-00-00-913321</t>
  </si>
  <si>
    <t>2026-06-19_15-00-00-924380</t>
  </si>
  <si>
    <t>0.013</t>
  </si>
  <si>
    <t>2026-06-19_15-00-16-490967</t>
  </si>
  <si>
    <t>2026-06-19_15-00-16-497906</t>
  </si>
  <si>
    <t>2026-06-19_15-00-16-501180</t>
  </si>
  <si>
    <t>2026-06-19_15-00-38-376645</t>
  </si>
  <si>
    <t>side_align_left_done | final camera=left ids=[17, 18, 19, 20] target_pair=[18, 19] target_x=+0.3514 target_y=+0.2723 center_x=+0.3595 center_y=+0.5781 yaw=-179.83deg error_x=-0.0046 yaw_error=+0.17deg tolerance_x=0.0060 tolerance_yaw=2.00deg</t>
  </si>
  <si>
    <t>2026-06-19_15-00-38-381507</t>
  </si>
  <si>
    <t>side_align_complete: side_align_left_done | final camera=left ids=[17, 18, 19, 20] target_pair=[18, 19] target_x=+0.3514 target_y=+0.2723 center_x=+0.3595 center_y=+0.5781 yaw=-179.83deg error_x=-0.0046 yaw_error=+0.17deg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</si>
  <si>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2026-06-19_15-00-40-290888</t>
  </si>
  <si>
    <t>2026-06-19_15-00-51-239523</t>
  </si>
  <si>
    <t>2026-06-19_15-00-51-240836</t>
  </si>
  <si>
    <t>2026-06-19_15-01-02-676967</t>
  </si>
  <si>
    <t>2026-06-19_15-01-10-153477</t>
  </si>
  <si>
    <t>2026-06-19_15-01-10-155270</t>
  </si>
  <si>
    <t>2026-06-19_15-01-10-170042</t>
  </si>
  <si>
    <t>2026-06-19_15-01-19-571832</t>
  </si>
  <si>
    <t>2026-06-19_15-01-19-574118</t>
  </si>
  <si>
    <t>2026-06-19_15-01-23-272171</t>
  </si>
  <si>
    <t>2026-06-19_15-01-23-282680</t>
  </si>
  <si>
    <t>2026-06-19_15-01-23-284251</t>
  </si>
  <si>
    <t>2026-06-19_15-01-24-872416</t>
  </si>
  <si>
    <t>2026-06-19_15-01-29-271886</t>
  </si>
  <si>
    <t>fine_align_under_done | final ids=[3, 12] center_x=+0.1365 center_y=+0.0128 yaw=+164.36deg orientation=flipped_180 error_x=-0.0005 error_y=+0.0090 yaw_error=-0.64deg target_x=+0.1370 target_y=+0.0038 tolerance_x=0.0040 tolerance_y=0.0100 tolerance_yaw=3.00deg</t>
  </si>
  <si>
    <t>2026-06-19_15-01-29-282737</t>
  </si>
  <si>
    <t>fine_align_complete: fine_align_under_done | final ids=[3, 12] center_x=+0.1365 center_y=+0.0128 yaw=+164.36deg orientation=flipped_180 error_x=-0.0005 error_y=+0.0090 yaw_error=-0.64deg target_x=+0.1370 target_y=+0.0038 tolerance_x=0.0040 tolerance_y=0.0100 tolerance_yaw=3.00deg. Remembered trash_trolley</t>
  </si>
  <si>
    <t>2026-06-19_15-02-30-472012</t>
  </si>
  <si>
    <t>2026-06-19_15-02-42-886291</t>
  </si>
  <si>
    <t>2026-06-19_15-02-42-891644</t>
  </si>
  <si>
    <t>2026-06-19_15-03-08-793525</t>
  </si>
  <si>
    <t>2026-06-19_15-03-08-794830</t>
  </si>
  <si>
    <t>2026-06-19_15-03-15-798420</t>
  </si>
  <si>
    <t>2026-06-19_15-03-15-798968</t>
  </si>
  <si>
    <t>2026-06-19_15-05-11-448683</t>
  </si>
  <si>
    <t>20260619_150511</t>
  </si>
  <si>
    <t>2026-06-19_15-05-11-450113</t>
  </si>
  <si>
    <t>2026-06-19_15-05-11-454718</t>
  </si>
  <si>
    <t>2026-06-19_15-05-22-748086</t>
  </si>
  <si>
    <t>2026-06-19_15-05-22-752206</t>
  </si>
  <si>
    <t>2026-06-19_15-05-22-753700</t>
  </si>
  <si>
    <t>2026-06-19_15-05-33-872624</t>
  </si>
  <si>
    <t>side_align_left_done | final camera=left ids=[16, 17, 18, 19] target_pair=[18, 19] target_x=+0.3508 target_y=+0.2521 center_x=+0.2362 center_y=+0.5556 yaw=-178.46deg error_x=-0.0052 yaw_error=+1.54deg tolerance_x=0.0060 tolerance_yaw=2.00deg</t>
  </si>
  <si>
    <t>2026-06-19_15-05-33-874862</t>
  </si>
  <si>
    <t>side_align_complete: side_align_left_done | final camera=left ids=[16, 17, 18, 19] target_pair=[18, 19] target_x=+0.3508 target_y=+0.2521 center_x=+0.2362 center_y=+0.5556 yaw=-178.46deg error_x=-0.0052 yaw_error=+1.54deg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</si>
  <si>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2026-06-19_15-05-35-678446</t>
  </si>
  <si>
    <t>2026-06-19_15-05-38-419723</t>
  </si>
  <si>
    <t>2026-06-19_15-05-38-420983</t>
  </si>
  <si>
    <t>2026-06-19_15-05-47-944565</t>
  </si>
  <si>
    <t>2026-06-19_15-05-47-947444</t>
  </si>
  <si>
    <t>2026-06-19_15-05-47-956603</t>
  </si>
  <si>
    <t>2026-06-19_15-05-57-472754</t>
  </si>
  <si>
    <t>2026-06-19_15-05-57-476161</t>
  </si>
  <si>
    <t>2026-06-19_15-06-36-047948</t>
  </si>
  <si>
    <t>drive_under_unsucessfull_retry</t>
  </si>
  <si>
    <t>2026-06-19_15-06-40-586790</t>
  </si>
  <si>
    <t>2026-06-19_15-06-40-590374</t>
  </si>
  <si>
    <t>20260619_150640</t>
  </si>
  <si>
    <t>2026-06-19_15-06-40-591669</t>
  </si>
  <si>
    <t>2026-06-19_15-06-40-598134</t>
  </si>
  <si>
    <t>0.008</t>
  </si>
  <si>
    <t>2026-06-19_15-07-00-654839</t>
  </si>
  <si>
    <t>2026-06-19_15-07-00-657662</t>
  </si>
  <si>
    <t>2026-06-19_15-07-00-658654</t>
  </si>
  <si>
    <t>2026-06-19_15-08-04-121724</t>
  </si>
  <si>
    <t>aruko_node_died</t>
  </si>
  <si>
    <t>2026-06-19_15-08-56-973891</t>
  </si>
  <si>
    <t>2026-06-19_15-08-56-978860</t>
  </si>
  <si>
    <t>ignored side_align</t>
  </si>
  <si>
    <t>2026-06-19_15-09-30-068175</t>
  </si>
  <si>
    <t>2026-06-19_15-09-30-069933</t>
  </si>
  <si>
    <t>20260619_150930</t>
  </si>
  <si>
    <t>2026-06-19_15-09-30-070877</t>
  </si>
  <si>
    <t>2026-06-19_15-09-30-071839</t>
  </si>
  <si>
    <t>2026-06-19_15-09-41-979747</t>
  </si>
  <si>
    <t>stop</t>
  </si>
  <si>
    <t>2026-06-19_15-09-41-996001</t>
  </si>
  <si>
    <t>stopped. Alignment controller was commanded to stop.</t>
  </si>
  <si>
    <t>2026-06-19_15-09-41-996660</t>
  </si>
  <si>
    <t>stopped</t>
  </si>
  <si>
    <t>2026-06-19_15-09-46-591276</t>
  </si>
  <si>
    <t>2026-06-19_15-09-46-593079</t>
  </si>
  <si>
    <t>20260619_150946</t>
  </si>
  <si>
    <t>2026-06-19_15-09-46-594019</t>
  </si>
  <si>
    <t>2026-06-19_15-09-46-595095</t>
  </si>
  <si>
    <t>2026-06-19_15-09-58-502919</t>
  </si>
  <si>
    <t>2026-06-19_15-09-58-508769</t>
  </si>
  <si>
    <t>2026-06-19_15-09-58-509401</t>
  </si>
  <si>
    <t>2026-06-19_15-10-46-937353</t>
  </si>
  <si>
    <t>aruko_node_died_again_restarting_robot</t>
  </si>
  <si>
    <t>2026-06-19_15-10-59-944516</t>
  </si>
  <si>
    <t>logger_shutdown</t>
  </si>
  <si>
    <t>2026-06-19_15-25-31-554345</t>
  </si>
  <si>
    <t>20260619_152531</t>
  </si>
  <si>
    <t>2026-06-19_15-25-31-555782</t>
  </si>
  <si>
    <t>2026-06-19_15-25-31-565286</t>
  </si>
  <si>
    <t>2026-06-19_15-25-49-909043</t>
  </si>
  <si>
    <t>2026-06-19_15-25-49-911470</t>
  </si>
  <si>
    <t>2026-06-19_15-25-49-916410</t>
  </si>
  <si>
    <t>2026-06-19_15-26-11-981204</t>
  </si>
  <si>
    <t>2026-06-19_15-26-11-982491</t>
  </si>
  <si>
    <t>ignored check_trolley_type</t>
  </si>
  <si>
    <t>2026-06-19_15-26-34-965046</t>
  </si>
  <si>
    <t>side_align_left_timeout</t>
  </si>
  <si>
    <t>2026-06-19_15-26-34-969455</t>
  </si>
  <si>
    <t>side_alignment_stopped: side_align_left_timeout</t>
  </si>
  <si>
    <t>2026-06-19_15-26-53-627756</t>
  </si>
  <si>
    <t>2026-06-19_15-26-53-633453</t>
  </si>
  <si>
    <t>2026-06-19_15-26-53-725224</t>
  </si>
  <si>
    <t>2026-06-19_15-26-56-164072</t>
  </si>
  <si>
    <t>side_align_left_done | final camera=left ids=[23, 24, 25, 26] target_pair=[24, 25] target_x=+0.3552 target_y=+0.2685 center_x=+0.3628 center_y=-0.0384 yaw=+179.88deg error_x=-0.0008 yaw_error=-0.12deg tolerance_x=0.0060 tolerance_yaw=2.00deg</t>
  </si>
  <si>
    <t>2026-06-19_15-26-56-171920</t>
  </si>
  <si>
    <t>side_align_complete: side_align_left_done | final camera=left ids=[23, 24, 25, 26] target_pair=[24, 25] target_x=+0.3552 target_y=+0.2685 center_x=+0.3628 center_y=-0.0384 yaw=+179.88deg error_x=-0.0008 yaw_error=-0.12deg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</si>
  <si>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2026-06-19_15-26-58-404531</t>
  </si>
  <si>
    <t>2026-06-19_15-27-06-241284</t>
  </si>
  <si>
    <t>2026-06-19_15-27-06-243744</t>
  </si>
  <si>
    <t>2026-06-19_15-27-21-280051</t>
  </si>
  <si>
    <t>2026-06-19_15-27-29-165384</t>
  </si>
  <si>
    <t>2026-06-19_15-27-29-167969</t>
  </si>
  <si>
    <t>2026-06-19_15-27-29-182028</t>
  </si>
  <si>
    <t>2026-06-19_15-27-38-666240</t>
  </si>
  <si>
    <t>2026-06-19_15-27-38-668008</t>
  </si>
  <si>
    <t>2026-06-19_15-27-41-924994</t>
  </si>
  <si>
    <t>2026-06-19_15-27-41-937672</t>
  </si>
  <si>
    <t>2026-06-19_15-27-41-938422</t>
  </si>
  <si>
    <t>2026-06-19_15-27-43-465436</t>
  </si>
  <si>
    <t>2026-06-19_15-27-46-763111</t>
  </si>
  <si>
    <t>fine_align_under_done | final ids=[3, 12] center_x=+0.1297 center_y=+0.0021 yaw=-13.74deg orientation=normal error_x=-0.0028 error_y=-0.0041 yaw_error=-2.74deg target_x=+0.1325 target_y=+0.0062 tolerance_x=0.0040 tolerance_y=0.0100 tolerance_yaw=3.00deg</t>
  </si>
  <si>
    <t>2026-06-19_15-27-46-768650</t>
  </si>
  <si>
    <t>fine_align_complete: fine_align_under_done | final ids=[3, 12] center_x=+0.1297 center_y=+0.0021 yaw=-13.74deg orientation=normal error_x=-0.0028 error_y=-0.0041 yaw_error=-2.74deg target_x=+0.1325 target_y=+0.0062 tolerance_x=0.0040 tolerance_y=0.0100 tolerance_yaw=3.00deg. Remembered trash_trolley</t>
  </si>
  <si>
    <t>2026-06-19_15-28-24-580971</t>
  </si>
  <si>
    <t>2026-06-19_15-28-32-718914</t>
  </si>
  <si>
    <t>2026-06-19_15-28-32-724956</t>
  </si>
  <si>
    <t>2026-06-19_15-28-51-619141</t>
  </si>
  <si>
    <t>2026-06-19_15-28-51-620536</t>
  </si>
  <si>
    <t>2026-06-19_15-28-58-621598</t>
  </si>
  <si>
    <t>2026-06-19_15-28-58-622145</t>
  </si>
  <si>
    <t>2026-06-19_15-31-15-283634</t>
  </si>
  <si>
    <t>20260619_153115</t>
  </si>
  <si>
    <t>2026-06-19_15-31-15-285101</t>
  </si>
  <si>
    <t>2026-06-19_15-31-15-287996</t>
  </si>
  <si>
    <t>2026-06-19_15-31-33-566894</t>
  </si>
  <si>
    <t>2026-06-19_15-31-33-568953</t>
  </si>
  <si>
    <t>2026-06-19_15-31-33-570984</t>
  </si>
  <si>
    <t>2026-06-19_15-31-52-065043</t>
  </si>
  <si>
    <t>side_align_left_done | final camera=left ids=[23, 24, 25, 26] target_pair=[24, 25] target_x=+0.3544 target_y=+0.2771 center_x=+0.3632 center_y=-0.0300 yaw=-179.93deg error_x=-0.0016 yaw_error=+0.07deg tolerance_x=0.0060 tolerance_yaw=2.00deg</t>
  </si>
  <si>
    <t>2026-06-19_15-31-52-072368</t>
  </si>
  <si>
    <t>side_align_complete: side_align_left_done | final camera=left ids=[23, 24, 25, 26] target_pair=[24, 25] target_x=+0.3544 target_y=+0.2771 center_x=+0.3632 center_y=-0.0300 yaw=-179.93deg error_x=-0.0016 yaw_error=+0.07deg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</si>
  <si>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2026-06-19_15-31-53-999959</t>
  </si>
  <si>
    <t>2026-06-19_15-32-02-017929</t>
  </si>
  <si>
    <t>2026-06-19_15-32-02-019283</t>
  </si>
  <si>
    <t>2026-06-19_15-32-17-273541</t>
  </si>
  <si>
    <t>2026-06-19_15-32-22-732076</t>
  </si>
  <si>
    <t>2026-06-19_15-32-22-736545</t>
  </si>
  <si>
    <t>2026-06-19_15-32-22-744469</t>
  </si>
  <si>
    <t>2026-06-19_15-32-32-164395</t>
  </si>
  <si>
    <t>2026-06-19_15-32-32-167098</t>
  </si>
  <si>
    <t>2026-06-19_15-32-38-134815</t>
  </si>
  <si>
    <t>2026-06-19_15-32-38-327648</t>
  </si>
  <si>
    <t>2026-06-19_15-32-38-331077</t>
  </si>
  <si>
    <t>2026-06-19_15-32-39-865809</t>
  </si>
  <si>
    <t>2026-06-19_15-33-24-962519</t>
  </si>
  <si>
    <t>2026-06-19_15-33-24-966162</t>
  </si>
  <si>
    <t>2026-06-19_15-33-40-863621</t>
  </si>
  <si>
    <t>docking unsucessfull_retry_with_light</t>
  </si>
  <si>
    <t>2026-06-19_15-34-03-530846</t>
  </si>
  <si>
    <t>2026-06-19_15-34-03-534467</t>
  </si>
  <si>
    <t>2026-06-19_15-34-03-543283</t>
  </si>
  <si>
    <t>2026-06-19_15-34-05-064420</t>
  </si>
  <si>
    <t>2026-06-19_15-34-32-464599</t>
  </si>
  <si>
    <t>fine_align_under_done | final ids=[3, 12] center_x=+0.1358 center_y=+0.0121 yaw=-11.24deg orientation=normal error_x=+0.0033 error_y=+0.0059 yaw_error=-0.24deg target_x=+0.1325 target_y=+0.0062 tolerance_x=0.0040 tolerance_y=0.0100 tolerance_yaw=3.00deg</t>
  </si>
  <si>
    <t>2026-06-19_15-34-32-468215</t>
  </si>
  <si>
    <t>fine_align_complete: fine_align_under_done | final ids=[3, 12] center_x=+0.1358 center_y=+0.0121 yaw=-11.24deg orientation=normal error_x=+0.0033 error_y=+0.0059 yaw_error=-0.24deg target_x=+0.1325 target_y=+0.0062 tolerance_x=0.0040 tolerance_y=0.0100 tolerance_yaw=3.00deg. Remembered trash_trolley</t>
  </si>
  <si>
    <t>2026-06-19_15-35-02-605803</t>
  </si>
  <si>
    <t>2026-06-19_15-35-14-349021</t>
  </si>
  <si>
    <t>2026-06-19_15-35-14-357320</t>
  </si>
  <si>
    <t>2026-06-19_15-35-34-503784</t>
  </si>
  <si>
    <t>2026-06-19_15-35-34-511929</t>
  </si>
  <si>
    <t>2026-06-19_15-35-41-507036</t>
  </si>
  <si>
    <t>2026-06-19_15-35-41-507559</t>
  </si>
  <si>
    <t>2026-06-19_15-39-17-380575</t>
  </si>
  <si>
    <t>20260619_153917</t>
  </si>
  <si>
    <t>2026-06-19_15-39-17-382189</t>
  </si>
  <si>
    <t>recalibrate_start</t>
  </si>
  <si>
    <t>2026-06-19_15-39-44-293670</t>
  </si>
  <si>
    <t>2026-06-19_15-39-53-809329</t>
  </si>
  <si>
    <t>2026-06-19_15-39-53-811351</t>
  </si>
  <si>
    <t>20260619_153953</t>
  </si>
  <si>
    <t>2026-06-19_15-39-53-812469</t>
  </si>
  <si>
    <t>2026-06-19_15-39-53-816966</t>
  </si>
  <si>
    <t>2026-06-19_15-40-09-666673</t>
  </si>
  <si>
    <t>2026-06-19_15-40-09-670448</t>
  </si>
  <si>
    <t>2026-06-19_15-40-09-671406</t>
  </si>
  <si>
    <t>2026-06-19_15-40-39-566802</t>
  </si>
  <si>
    <t>side_align_left_done | final camera=left ids=[24, 25, 26] target_pair=[24, 25] target_x=+0.3517 target_y=+0.2891 center_x=+0.4068 center_y=-0.0174 yaw=-179.92deg error_x=-0.0043 yaw_error=+0.08deg tolerance_x=0.0060 tolerance_yaw=2.00deg</t>
  </si>
  <si>
    <t>2026-06-19_15-40-39-576326</t>
  </si>
  <si>
    <t>side_align_complete: side_align_left_done | final camera=left ids=[24, 25, 26] target_pair=[24, 25] target_x=+0.3517 target_y=+0.2891 center_x=+0.4068 center_y=-0.0174 yaw=-179.92deg error_x=-0.0043 yaw_error=+0.08deg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</si>
  <si>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2026-06-19_15-40-41-535575</t>
  </si>
  <si>
    <t>2026-06-19_15-40-59-905243</t>
  </si>
  <si>
    <t>2026-06-19_15-40-59-906864</t>
  </si>
  <si>
    <t>2026-06-19_15-41-09-653183</t>
  </si>
  <si>
    <t>2026-06-19_15-41-15-703708</t>
  </si>
  <si>
    <t>2026-06-19_15-41-15-709621</t>
  </si>
  <si>
    <t>2026-06-19_15-41-15-716203</t>
  </si>
  <si>
    <t>2026-06-19_15-41-25-166007</t>
  </si>
  <si>
    <t>2026-06-19_15-41-25-170719</t>
  </si>
  <si>
    <t>2026-06-19_15-42-07-392663</t>
  </si>
  <si>
    <t>2026-06-19_15-42-47-592026</t>
  </si>
  <si>
    <t>2026-06-19_15-42-47-593921</t>
  </si>
  <si>
    <t>20260619_154247</t>
  </si>
  <si>
    <t>2026-06-19_15-42-47-595000</t>
  </si>
  <si>
    <t>2026-06-19_15-42-47-600619</t>
  </si>
  <si>
    <t>0.007</t>
  </si>
  <si>
    <t>2026-06-19_15-43-00-846268</t>
  </si>
  <si>
    <t>2026-06-19_15-43-00-846925</t>
  </si>
  <si>
    <t>2026-06-19_15-43-00-847284</t>
  </si>
  <si>
    <t>2026-06-19_15-43-19-364583</t>
  </si>
  <si>
    <t>side_align_left_done | final camera=left ids=[23, 24, 25, 26] target_pair=[24, 25] target_x=+0.3502 target_y=+0.2801 center_x=+0.3591 center_y=-0.0268 yaw=+179.99deg error_x=-0.0058 yaw_error=-0.01deg tolerance_x=0.0060 tolerance_yaw=2.00deg</t>
  </si>
  <si>
    <t>2026-06-19_15-43-19-367849</t>
  </si>
  <si>
    <t>side_align_complete: side_align_left_done | final camera=left ids=[23, 24, 25, 26] target_pair=[24, 25] target_x=+0.3502 target_y=+0.2801 center_x=+0.3591 center_y=-0.0268 yaw=+179.99deg error_x=-0.0058 yaw_error=-0.01deg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</si>
  <si>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2026-06-19_15-43-21-356884</t>
  </si>
  <si>
    <t>2026-06-19_15-43-38-934105</t>
  </si>
  <si>
    <t>2026-06-19_15-43-38-935327</t>
  </si>
  <si>
    <t>2026-06-19_15-44-07-640364</t>
  </si>
  <si>
    <t>2026-06-19_15-44-16-350663</t>
  </si>
  <si>
    <t>2026-06-19_15-44-16-352225</t>
  </si>
  <si>
    <t>2026-06-19_15-44-16-359777</t>
  </si>
  <si>
    <t>2026-06-19_15-44-25-765874</t>
  </si>
  <si>
    <t>2026-06-19_15-44-25-774593</t>
  </si>
  <si>
    <t>2026-06-19_15-44-34-515104</t>
  </si>
  <si>
    <t>2026-06-19_15-44-34-522304</t>
  </si>
  <si>
    <t>2026-06-19_15-44-34-523009</t>
  </si>
  <si>
    <t>2026-06-19_15-44-36-065200</t>
  </si>
  <si>
    <t>2026-06-19_15-44-48-963767</t>
  </si>
  <si>
    <t>fine_align_under_done | final ids=[3, 12] center_x=+0.1361 center_y=+0.0136 yaw=-11.33deg orientation=normal error_x=+0.0036 error_y=+0.0074 yaw_error=-0.33deg target_x=+0.1325 target_y=+0.0062 tolerance_x=0.0040 tolerance_y=0.0100 tolerance_yaw=3.00deg</t>
  </si>
  <si>
    <t>2026-06-19_15-44-48-969065</t>
  </si>
  <si>
    <t>fine_align_complete: fine_align_under_done | final ids=[3, 12] center_x=+0.1361 center_y=+0.0136 yaw=-11.33deg orientation=normal error_x=+0.0036 error_y=+0.0074 yaw_error=-0.33deg target_x=+0.1325 target_y=+0.0062 tolerance_x=0.0040 tolerance_y=0.0100 tolerance_yaw=3.00deg. Remembered trash_trolley</t>
  </si>
  <si>
    <t>2026-06-19_15-45-48-042407</t>
  </si>
  <si>
    <t>2026-06-19_15-45-48-063652</t>
  </si>
  <si>
    <t>2026-06-19_15-46-13-292517</t>
  </si>
  <si>
    <t>2026-06-19_15-46-13-293780</t>
  </si>
  <si>
    <t>2026-06-19_15-46-20-301773</t>
  </si>
  <si>
    <t>2026-06-19_15-46-20-302502</t>
  </si>
  <si>
    <t>2026-06-19_15-49-15-354170</t>
  </si>
  <si>
    <t>20260619_154915</t>
  </si>
  <si>
    <t>2026-06-19_15-49-15-355804</t>
  </si>
  <si>
    <t>2026-06-19_15-49-37-933780</t>
  </si>
  <si>
    <t>2026-06-19_15-49-37-935504</t>
  </si>
  <si>
    <t>20260619_154937</t>
  </si>
  <si>
    <t>2026-06-19_15-49-37-936483</t>
  </si>
  <si>
    <t>2026-06-19_15-49-37-943351</t>
  </si>
  <si>
    <t>2026-06-19_15-49-56-856321</t>
  </si>
  <si>
    <t>2026-06-19_15-49-56-860511</t>
  </si>
  <si>
    <t>2026-06-19_15-49-56-861826</t>
  </si>
  <si>
    <t>2026-06-19_15-50-41-864046</t>
  </si>
  <si>
    <t>2026-06-19_15-50-41-865906</t>
  </si>
  <si>
    <t>2026-06-19_15-51-05-934791</t>
  </si>
  <si>
    <t>2026-06-19_15-52-04-299769</t>
  </si>
  <si>
    <t>2026-06-19_15-52-15-855023</t>
  </si>
  <si>
    <t>2026-06-19_15-52-15-856874</t>
  </si>
  <si>
    <t>20260619_155215</t>
  </si>
  <si>
    <t>2026-06-19_15-52-15-863036</t>
  </si>
  <si>
    <t>2026-06-19_15-52-15-871640</t>
  </si>
  <si>
    <t>0.015</t>
  </si>
  <si>
    <t>2026-06-19_15-52-28-698559</t>
  </si>
  <si>
    <t>2026-06-19_15-52-28-702030</t>
  </si>
  <si>
    <t>2026-06-19_15-52-28-704818</t>
  </si>
  <si>
    <t>2026-06-19_15-52-42-063341</t>
  </si>
  <si>
    <t>side_align_left_done | final camera=left ids=[18, 19, 20, 21] target_pair=[18, 19] target_x=+0.3544 target_y=+0.2873 center_x=+0.4657 center_y=+0.5932 yaw=+179.94deg error_x=-0.0016 yaw_error=-0.06deg tolerance_x=0.0060 tolerance_yaw=2.00deg</t>
  </si>
  <si>
    <t>2026-06-19_15-52-42-068029</t>
  </si>
  <si>
    <t>side_align_complete: side_align_left_done | final camera=left ids=[18, 19, 20, 21] target_pair=[18, 19] target_x=+0.3544 target_y=+0.2873 center_x=+0.4657 center_y=+0.5932 yaw=+179.94deg error_x=-0.0016 yaw_error=-0.06deg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</si>
  <si>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2026-06-19_15-52-43-991976</t>
  </si>
  <si>
    <t>{"classes": ["laundry_trolley", "trash_trolley"]}</t>
  </si>
  <si>
    <t>2026-06-19_15-52-46-897653</t>
  </si>
  <si>
    <t>2026-06-19_15-52-46-898893</t>
  </si>
  <si>
    <t>2026-06-19_15-52-54-984003</t>
  </si>
  <si>
    <t>2026-06-19_15-53-01-595006</t>
  </si>
  <si>
    <t>2026-06-19_15-53-01-606881</t>
  </si>
  <si>
    <t>2026-06-19_15-53-01-612422</t>
  </si>
  <si>
    <t>2026-06-19_15-53-11-065399</t>
  </si>
  <si>
    <t>2026-06-19_15-53-11-066562</t>
  </si>
  <si>
    <t>2026-06-19_15-53-14-680214</t>
  </si>
  <si>
    <t>2026-06-19_15-53-14-685725</t>
  </si>
  <si>
    <t>2026-06-19_15-53-14-689127</t>
  </si>
  <si>
    <t>2026-06-19_15-53-16-264128</t>
  </si>
  <si>
    <t>2026-06-19_15-54-01-363011</t>
  </si>
  <si>
    <t>2026-06-19_15-54-01-364237</t>
  </si>
  <si>
    <t>2026-06-19_15-54-06-340903</t>
  </si>
  <si>
    <t>2026-06-19_15-54-44-555813</t>
  </si>
  <si>
    <t>2026-06-19_15-54-44-560569</t>
  </si>
  <si>
    <t>2026-06-19_15-54-44-561176</t>
  </si>
  <si>
    <t>2026-06-19_15-54-46-064728</t>
  </si>
  <si>
    <t>2026-06-19_15-55-31-162405</t>
  </si>
  <si>
    <t>2026-06-19_15-55-31-163621</t>
  </si>
  <si>
    <t>2026-06-19_15-55-40-799445</t>
  </si>
  <si>
    <t>docking unsucessfull_robot_drove_to_far_under</t>
  </si>
  <si>
    <t>2026-06-19_15-55-59-512494</t>
  </si>
  <si>
    <t>2026-06-19_15-55-59-519468</t>
  </si>
  <si>
    <t>2026-06-19_15-55-59-520168</t>
  </si>
  <si>
    <t>2026-06-19_15-56-01-064257</t>
  </si>
  <si>
    <t>2026-06-19_15-56-46-162633</t>
  </si>
  <si>
    <t>2026-06-19_15-56-46-163921</t>
  </si>
  <si>
    <t>2026-06-19_15-56-55-248479</t>
  </si>
  <si>
    <t>2026-06-19_15-56-55-253815</t>
  </si>
  <si>
    <t>2026-06-19_15-56-55-255026</t>
  </si>
  <si>
    <t>2026-06-19_15-56-56-764103</t>
  </si>
  <si>
    <t>2026-06-19_15-57-01-363742</t>
  </si>
  <si>
    <t>fine_align_under_done | final ids=[3, 12] center_x=+0.1404 center_y=+0.0105 yaw=+168.21deg orientation=flipped_180 error_x=+0.0034 error_y=+0.0067 yaw_error=+3.21deg target_x=+0.1370 target_y=+0.0038 tolerance_x=0.0040 tolerance_y=0.0100 tolerance_yaw=3.00deg</t>
  </si>
  <si>
    <t>2026-06-19_15-57-01-366822</t>
  </si>
  <si>
    <t>fine_align_complete: fine_align_under_done | final ids=[3, 12] center_x=+0.1404 center_y=+0.0105 yaw=+168.21deg orientation=flipped_180 error_x=+0.0034 error_y=+0.0067 yaw_error=+3.21deg target_x=+0.1370 target_y=+0.0038 tolerance_x=0.0040 tolerance_y=0.0100 tolerance_yaw=3.00deg. Remembered laundry_trolley</t>
  </si>
  <si>
    <t>2026-06-19_15-58-34-040026</t>
  </si>
  <si>
    <t>2026-06-19_15-58-34-043229</t>
  </si>
  <si>
    <t>2026-06-19_15-58-49-390941</t>
  </si>
  <si>
    <t>2026-06-19_15-58-49-391626</t>
  </si>
  <si>
    <t>2026-06-19_15-58-56-391236</t>
  </si>
  <si>
    <t>2026-06-19_15-58-56-391792</t>
  </si>
  <si>
    <t>2026-06-19_16-00-55-060419</t>
  </si>
  <si>
    <t>20260619_160055</t>
  </si>
  <si>
    <t>2026-06-19_16-00-55-061886</t>
  </si>
  <si>
    <t>2026-06-19_16-01-13-109593</t>
  </si>
  <si>
    <t>2026-06-19_16-01-24-852799</t>
  </si>
  <si>
    <t>2026-06-19_16-01-24-854634</t>
  </si>
  <si>
    <t>20260619_160124</t>
  </si>
  <si>
    <t>2026-06-19_16-01-24-855646</t>
  </si>
  <si>
    <t>2026-06-19_16-01-24-856660</t>
  </si>
  <si>
    <t>2026-06-19_16-01-45-850521</t>
  </si>
  <si>
    <t>2026-06-19_16-01-45-853369</t>
  </si>
  <si>
    <t>2026-06-19_16-01-45-860937</t>
  </si>
  <si>
    <t>2026-06-19_16-04-04-634829</t>
  </si>
  <si>
    <t>2026-06-19_16-04-04-636601</t>
  </si>
  <si>
    <t>20260619_160404</t>
  </si>
  <si>
    <t>2026-06-19_16-04-04-637549</t>
  </si>
  <si>
    <t>2026-06-19_16-04-04-641958</t>
  </si>
  <si>
    <t>2026-06-19_16-04-09-649697</t>
  </si>
  <si>
    <t>2026-06-19_16-04-09-753069</t>
  </si>
  <si>
    <t>2026-06-19_16-04-09-766717</t>
  </si>
  <si>
    <t>2026-06-19_16-04-19-597456</t>
  </si>
  <si>
    <t>side_align_left_done | final camera=left ids=[18, 19, 20, 21] target_pair=[18, 19] target_x=+0.3553 target_y=+0.2897 center_x=+0.4680 center_y=+0.5944 yaw=+179.34deg error_x=-0.0007 yaw_error=-0.66deg tolerance_x=0.0060 tolerance_yaw=2.00deg</t>
  </si>
  <si>
    <t>2026-06-19_16-04-19-603524</t>
  </si>
  <si>
    <t>side_align_complete: side_align_left_done | final camera=left ids=[18, 19, 20, 21] target_pair=[18, 19] target_x=+0.3553 target_y=+0.2897 center_x=+0.4680 center_y=+0.5944 yaw=+179.34deg error_x=-0.0007 yaw_error=-0.66deg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</si>
  <si>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2026-06-19_16-04-21-472877</t>
  </si>
  <si>
    <t>2026-06-19_16-04-25-082306</t>
  </si>
  <si>
    <t>2026-06-19_16-04-25-084091</t>
  </si>
  <si>
    <t>2026-06-19_16-04-35-682241</t>
  </si>
  <si>
    <t>2026-06-19_16-04-41-931960</t>
  </si>
  <si>
    <t>2026-06-19_16-04-41-948291</t>
  </si>
  <si>
    <t>2026-06-19_16-04-41-950357</t>
  </si>
  <si>
    <t>2026-06-19_16-04-51-393209</t>
  </si>
  <si>
    <t>2026-06-19_16-04-51-397945</t>
  </si>
  <si>
    <t>2026-06-19_16-05-05-165758</t>
  </si>
  <si>
    <t>2026-06-19_16-05-05-170647</t>
  </si>
  <si>
    <t>2026-06-19_16-05-05-175396</t>
  </si>
  <si>
    <t>2026-06-19_16-05-06-692292</t>
  </si>
  <si>
    <t>2026-06-19_16-05-51-696347</t>
  </si>
  <si>
    <t>2026-06-19_16-05-51-697774</t>
  </si>
  <si>
    <t>2026-06-19_16-06-12-647060</t>
  </si>
  <si>
    <t>2026-06-19_16-06-17-217926</t>
  </si>
  <si>
    <t>2026-06-19_16-06-17-219631</t>
  </si>
  <si>
    <t>2026-06-19_16-06-17-220757</t>
  </si>
  <si>
    <t>2026-06-19_16-06-18-794512</t>
  </si>
  <si>
    <t>2026-06-19_16-06-34-191952</t>
  </si>
  <si>
    <t>fine_align_under_done | final ids=[3, 12] center_x=+0.1405 center_y=+0.0085 yaw=+163.60deg orientation=flipped_180 error_x=+0.0035 error_y=+0.0047 yaw_error=-1.40deg target_x=+0.1370 target_y=+0.0038 tolerance_x=0.0040 tolerance_y=0.0100 tolerance_yaw=3.00deg</t>
  </si>
  <si>
    <t>2026-06-19_16-06-34-196421</t>
  </si>
  <si>
    <t>fine_align_complete: fine_align_under_done | final ids=[3, 12] center_x=+0.1405 center_y=+0.0085 yaw=+163.60deg orientation=flipped_180 error_x=+0.0035 error_y=+0.0047 yaw_error=-1.40deg target_x=+0.1370 target_y=+0.0038 tolerance_x=0.0040 tolerance_y=0.0100 tolerance_yaw=3.00deg. Remembered laundry_trolley</t>
  </si>
  <si>
    <t>2026-06-19_16-07-29-826504</t>
  </si>
  <si>
    <t>docking unsucessfull helped</t>
  </si>
  <si>
    <t>2026-06-19_16-08-01-027052</t>
  </si>
  <si>
    <t>2026-06-19_16-08-01-040210</t>
  </si>
  <si>
    <t>2026-06-19_16-08-17-357825</t>
  </si>
  <si>
    <t>2026-06-19_16-08-17-365053</t>
  </si>
  <si>
    <t>2026-06-19_16-08-24-368547</t>
  </si>
  <si>
    <t>2026-06-19_16-08-24-369045</t>
  </si>
  <si>
    <t>2026-06-19_16-09-39-648536</t>
  </si>
  <si>
    <t>20260619_160939</t>
  </si>
  <si>
    <t>2026-06-19_16-09-39-652669</t>
  </si>
  <si>
    <t>2026-06-19_16-10-44-893831</t>
  </si>
  <si>
    <t>2026-06-19_16-10-44-895792</t>
  </si>
  <si>
    <t>20260619_161044</t>
  </si>
  <si>
    <t>2026-06-19_16-10-44-896764</t>
  </si>
  <si>
    <t>2026-06-19_16-10-44-902353</t>
  </si>
  <si>
    <t>2026-06-19_16-11-07-577283</t>
  </si>
  <si>
    <t>2026-06-19_16-11-07-581609</t>
  </si>
  <si>
    <t>2026-06-19_16-11-07-582785</t>
  </si>
  <si>
    <t>2026-06-19_16-11-18-794564</t>
  </si>
  <si>
    <t>side_align_left_done | final camera=left ids=[18, 19, 20] target_pair=[18, 19] target_x=+0.3532 target_y=+0.2830 center_x=+0.4056 center_y=+0.5901 yaw=-179.30deg error_x=-0.0028 yaw_error=+0.70deg tolerance_x=0.0060 tolerance_yaw=2.00deg</t>
  </si>
  <si>
    <t>2026-06-19_16-11-18-799481</t>
  </si>
  <si>
    <t>side_align_complete: side_align_left_done | final camera=left ids=[18, 19, 20] target_pair=[18, 19] target_x=+0.3532 target_y=+0.2830 center_x=+0.4056 center_y=+0.5901 yaw=-179.30deg error_x=-0.0028 yaw_error=+0.70deg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</si>
  <si>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2026-06-19_16-11-20-504220</t>
  </si>
  <si>
    <t>2026-06-19_16-11-41-576823</t>
  </si>
  <si>
    <t>2026-06-19_16-11-41-580155</t>
  </si>
  <si>
    <t>2026-06-19_16-11-49-543564</t>
  </si>
  <si>
    <t>2026-06-19_16-12-03-673771</t>
  </si>
  <si>
    <t>2026-06-19_16-12-03-677786</t>
  </si>
  <si>
    <t>2026-06-19_16-12-03-681937</t>
  </si>
  <si>
    <t>2026-06-19_16-12-13-096427</t>
  </si>
  <si>
    <t>2026-06-19_16-12-13-099024</t>
  </si>
  <si>
    <t>2026-06-19_16-12-38-613826</t>
  </si>
  <si>
    <t>2026-06-19_16-12-38-617986</t>
  </si>
  <si>
    <t>2026-06-19_16-12-38-624479</t>
  </si>
  <si>
    <t>2026-06-19_16-12-40-192723</t>
  </si>
  <si>
    <t>2026-06-19_16-13-04-592064</t>
  </si>
  <si>
    <t>fine_align_under_done | final ids=[3, 12] center_x=+0.1408 center_y=+0.0084 yaw=+165.57deg orientation=flipped_180 error_x=+0.0038 error_y=+0.0046 yaw_error=+0.57deg target_x=+0.1370 target_y=+0.0038 tolerance_x=0.0040 tolerance_y=0.0100 tolerance_yaw=3.00deg</t>
  </si>
  <si>
    <t>2026-06-19_16-13-04-594238</t>
  </si>
  <si>
    <t>fine_align_complete: fine_align_under_done | final ids=[3, 12] center_x=+0.1408 center_y=+0.0084 yaw=+165.57deg orientation=flipped_180 error_x=+0.0038 error_y=+0.0046 yaw_error=+0.57deg target_x=+0.1370 target_y=+0.0038 tolerance_x=0.0040 tolerance_y=0.0100 tolerance_yaw=3.00deg. Remembered laundry_trolley</t>
  </si>
  <si>
    <t>2026-06-19_16-13-49-670104</t>
  </si>
  <si>
    <t>docking unsucessfull retry</t>
  </si>
  <si>
    <t>2026-06-19_16-14-04-514398</t>
  </si>
  <si>
    <t>2026-06-19_16-14-04-520128</t>
  </si>
  <si>
    <t>2026-06-19_16-14-04-521499</t>
  </si>
  <si>
    <t>2026-06-19_16-14-06-092443</t>
  </si>
  <si>
    <t>2026-06-19_16-14-08-191606</t>
  </si>
  <si>
    <t>fine_align_under_done | final ids=[3, 12] center_x=+0.1406 center_y=+0.0080 yaw=+165.52deg orientation=flipped_180 error_x=+0.0036 error_y=+0.0042 yaw_error=+0.52deg target_x=+0.1370 target_y=+0.0038 tolerance_x=0.0040 tolerance_y=0.0100 tolerance_yaw=3.00deg</t>
  </si>
  <si>
    <t>2026-06-19_16-14-08-196084</t>
  </si>
  <si>
    <t>fine_align_complete: fine_align_under_done | final ids=[3, 12] center_x=+0.1406 center_y=+0.0080 yaw=+165.52deg orientation=flipped_180 error_x=+0.0036 error_y=+0.0042 yaw_error=+0.52deg target_x=+0.1370 target_y=+0.0038 tolerance_x=0.0040 tolerance_y=0.0100 tolerance_yaw=3.00deg. Remembered laundry_trolley</t>
  </si>
  <si>
    <t>2026-06-19_16-14-22-912299</t>
  </si>
  <si>
    <t>2026-06-19_16-14-22-916522</t>
  </si>
  <si>
    <t>2026-06-19_16-14-22-920872</t>
  </si>
  <si>
    <t>2026-06-19_16-14-24-515195</t>
  </si>
  <si>
    <t>2026-06-19_16-14-32-393356</t>
  </si>
  <si>
    <t>fine_align_under_done | final ids=[3, 12] center_x=+0.1407 center_y=+0.0072 yaw=+165.36deg orientation=flipped_180 error_x=+0.0037 error_y=+0.0034 yaw_error=+0.36deg target_x=+0.1370 target_y=+0.0038 tolerance_x=0.0040 tolerance_y=0.0100 tolerance_yaw=3.00deg</t>
  </si>
  <si>
    <t>2026-06-19_16-14-32-398456</t>
  </si>
  <si>
    <t>fine_align_complete: fine_align_under_done | final ids=[3, 12] center_x=+0.1407 center_y=+0.0072 yaw=+165.36deg orientation=flipped_180 error_x=+0.0037 error_y=+0.0034 yaw_error=+0.36deg target_x=+0.1370 target_y=+0.0038 tolerance_x=0.0040 tolerance_y=0.0100 tolerance_yaw=3.00deg. Remembered laundry_trolley</t>
  </si>
  <si>
    <t>2026-06-19_16-15-12-041666</t>
  </si>
  <si>
    <t>2026-06-19_16-15-12-058913</t>
  </si>
  <si>
    <t>2026-06-19_16-15-12-059581</t>
  </si>
  <si>
    <t>2026-06-19_16-15-13-593129</t>
  </si>
  <si>
    <t>2026-06-19_16-15-14-292813</t>
  </si>
  <si>
    <t>fine_align_under_done | final ids=[3, 12] center_x=+0.1344 center_y=+0.0034 yaw=+166.23deg orientation=flipped_180 error_x=-0.0026 error_y=-0.0004 yaw_error=+1.23deg target_x=+0.1370 target_y=+0.0038 tolerance_x=0.0040 tolerance_y=0.0100 tolerance_yaw=3.00deg</t>
  </si>
  <si>
    <t>2026-06-19_16-15-14-294696</t>
  </si>
  <si>
    <t>fine_align_complete: fine_align_under_done | final ids=[3, 12] center_x=+0.1344 center_y=+0.0034 yaw=+166.23deg orientation=flipped_180 error_x=-0.0026 error_y=-0.0004 yaw_error=+1.23deg target_x=+0.1370 target_y=+0.0038 tolerance_x=0.0040 tolerance_y=0.0100 tolerance_yaw=3.00deg. Remembered laundry_trolley</t>
  </si>
  <si>
    <t>2026-06-19_16-17-21-382595</t>
  </si>
  <si>
    <t>2026-06-19_16-17-21-384261</t>
  </si>
  <si>
    <t>2026-06-19_16-17-21-387822</t>
  </si>
  <si>
    <t>2026-06-19_16-17-22-893621</t>
  </si>
  <si>
    <t>2026-06-19_16-17-39-690847</t>
  </si>
  <si>
    <t>fine_align_under_done | final ids=[3, 12] center_x=+0.1387 center_y=-0.0005 yaw=+165.88deg orientation=flipped_180 error_x=+0.0037 error_y=-0.0043 yaw_error=+0.88deg target_x=+0.1350 target_y=+0.0038 tolerance_x=0.0040 tolerance_y=0.0100 tolerance_yaw=3.00deg</t>
  </si>
  <si>
    <t>2026-06-19_16-17-39-694997</t>
  </si>
  <si>
    <t>fine_align_complete: fine_align_under_done | final ids=[3, 12] center_x=+0.1387 center_y=-0.0005 yaw=+165.88deg orientation=flipped_180 error_x=+0.0037 error_y=-0.0043 yaw_error=+0.88deg target_x=+0.1350 target_y=+0.0038 tolerance_x=0.0040 tolerance_y=0.0100 tolerance_yaw=3.00deg. Remembered laundry_trolley</t>
  </si>
  <si>
    <t>2026-06-19_16-19-51-011511</t>
  </si>
  <si>
    <t>2026-06-19_16-19-51-013209</t>
  </si>
  <si>
    <t>2026-06-19_16-19-51-018553</t>
  </si>
  <si>
    <t>2026-06-19_16-19-52-601898</t>
  </si>
  <si>
    <t>2026-06-19_16-20-11-100432</t>
  </si>
  <si>
    <t>fine_align_under_done | final ids=[3, 12] center_x=+0.1377 center_y=-0.0010 yaw=+165.90deg orientation=flipped_180 error_x=+0.0037 error_y=-0.0048 yaw_error=+0.90deg target_x=+0.1340 target_y=+0.0038 tolerance_x=0.0040 tolerance_y=0.0100 tolerance_yaw=3.00deg</t>
  </si>
  <si>
    <t>2026-06-19_16-20-11-102676</t>
  </si>
  <si>
    <t>fine_align_complete: fine_align_under_done | final ids=[3, 12] center_x=+0.1377 center_y=-0.0010 yaw=+165.90deg orientation=flipped_180 error_x=+0.0037 error_y=-0.0048 yaw_error=+0.90deg target_x=+0.1340 target_y=+0.0038 tolerance_x=0.0040 tolerance_y=0.0100 tolerance_yaw=3.00deg. Remembered laundry_trolley</t>
  </si>
  <si>
    <t>2026-06-19_16-20-37-582467</t>
  </si>
  <si>
    <t>docking sucessfull_after_changeing_goal_x_from_137_to_134</t>
  </si>
  <si>
    <t>2026-06-19_16-20-53-225315</t>
  </si>
  <si>
    <t>2026-06-19_16-20-53-319697</t>
  </si>
  <si>
    <t>2026-06-19_16-21-12-136496</t>
  </si>
  <si>
    <t>2026-06-19_16-21-12-137672</t>
  </si>
  <si>
    <t>2026-06-19_16-21-19-139725</t>
  </si>
  <si>
    <t>2026-06-19_16-21-19-140190</t>
  </si>
  <si>
    <t>2026-06-19_16-22-53-017081</t>
  </si>
  <si>
    <t>20260619_162253</t>
  </si>
  <si>
    <t>2026-06-19_16-22-53-018614</t>
  </si>
  <si>
    <t>2026-06-19_16-23-18-503947</t>
  </si>
  <si>
    <t>2026-06-19_16-23-49-136447</t>
  </si>
  <si>
    <t>2026-06-19_16-23-49-138245</t>
  </si>
  <si>
    <t>20260619_162349</t>
  </si>
  <si>
    <t>2026-06-19_16-23-49-139283</t>
  </si>
  <si>
    <t>2026-06-19_16-23-49-140347</t>
  </si>
  <si>
    <t>2026-06-19_16-24-06-164373</t>
  </si>
  <si>
    <t>2026-06-19_16-24-06-169739</t>
  </si>
  <si>
    <t>2026-06-19_16-24-06-171063</t>
  </si>
  <si>
    <t>2026-06-19_16-24-51-200071</t>
  </si>
  <si>
    <t>2026-06-19_16-24-51-202725</t>
  </si>
  <si>
    <t>2026-06-19_16-25-41-553323</t>
  </si>
  <si>
    <t>2026-06-19_16-25-41-557446</t>
  </si>
  <si>
    <t>2026-06-19_16-25-41-568855</t>
  </si>
  <si>
    <t>2026-06-19_16-26-06-502525</t>
  </si>
  <si>
    <t>side_align_left_done | final camera=left ids=[16, 17, 18, 19, 20] target_pair=[18, 19] target_x=+0.3554 target_y=+0.2576 center_x=+0.3169 center_y=+0.5635 yaw=+179.75deg error_x=-0.0006 yaw_error=-0.25deg tolerance_x=0.0060 tolerance_yaw=2.00deg</t>
  </si>
  <si>
    <t>2026-06-19_16-26-06-505768</t>
  </si>
  <si>
    <t>side_align_complete: side_align_left_done | final camera=left ids=[16, 17, 18, 19, 20] target_pair=[18, 19] target_x=+0.3554 target_y=+0.2576 center_x=+0.3169 center_y=+0.5635 yaw=+179.75deg error_x=-0.0006 yaw_error=-0.25deg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</si>
  <si>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2026-06-19_16-26-08-346780</t>
  </si>
  <si>
    <t>2026-06-19_16-26-20-036087</t>
  </si>
  <si>
    <t>2026-06-19_16-26-20-039449</t>
  </si>
  <si>
    <t>2026-06-19_16-26-32-650528</t>
  </si>
  <si>
    <t>2026-06-19_16-26-39-372646</t>
  </si>
  <si>
    <t>2026-06-19_16-26-39-375514</t>
  </si>
  <si>
    <t>2026-06-19_16-26-39-383655</t>
  </si>
  <si>
    <t>2026-06-19_16-26-48-819675</t>
  </si>
  <si>
    <t>2026-06-19_16-26-48-823165</t>
  </si>
  <si>
    <t>2026-06-19_16-26-56-872577</t>
  </si>
  <si>
    <t>2026-06-19_16-26-56-882775</t>
  </si>
  <si>
    <t>2026-06-19_16-26-56-883439</t>
  </si>
  <si>
    <t>2026-06-19_16-26-58-403628</t>
  </si>
  <si>
    <t>2026-06-19_16-27-22-318545</t>
  </si>
  <si>
    <t>fine_align_under_done | final ids=[3, 12] center_x=+0.1301 center_y=-0.0019 yaw=+167.59deg orientation=flipped_180 error_x=-0.0039 error_y=-0.0057 yaw_error=+2.59deg target_x=+0.1340 target_y=+0.0038 tolerance_x=0.0040 tolerance_y=0.0100 tolerance_yaw=3.00deg</t>
  </si>
  <si>
    <t>2026-06-19_16-27-22-319783</t>
  </si>
  <si>
    <t>fine_align_complete: fine_align_under_done | final ids=[3, 12] center_x=+0.1301 center_y=-0.0019 yaw=+167.59deg orientation=flipped_180 error_x=-0.0039 error_y=-0.0057 yaw_error=+2.59deg target_x=+0.1340 target_y=+0.0038 tolerance_x=0.0040 tolerance_y=0.0100 tolerance_yaw=3.00deg. Remembered laundry_trolley</t>
  </si>
  <si>
    <t>2026-06-19_16-27-53-489753</t>
  </si>
  <si>
    <t>2026-06-19_16-28-19-502190</t>
  </si>
  <si>
    <t>2026-06-19_16-28-19-505197</t>
  </si>
  <si>
    <t>2026-06-19_16-28-39-350822</t>
  </si>
  <si>
    <t>2026-06-19_16-28-39-352984</t>
  </si>
  <si>
    <t>2026-06-19_16-28-46-354883</t>
  </si>
  <si>
    <t>2026-06-19_16-28-46-355442</t>
  </si>
  <si>
    <t>2026-06-19_16-31-14-599754</t>
  </si>
  <si>
    <t>20260619_163114</t>
  </si>
  <si>
    <t>2026-06-19_16-31-14-601217</t>
  </si>
  <si>
    <t>2026-06-19_16-31-32-817858</t>
  </si>
  <si>
    <t>2026-06-19_16-31-38-812551</t>
  </si>
  <si>
    <t>2026-06-19_16-31-46-582847</t>
  </si>
  <si>
    <t>2026-06-19_16-31-46-584839</t>
  </si>
  <si>
    <t>20260619_163146</t>
  </si>
  <si>
    <t>2026-06-19_16-31-46-585998</t>
  </si>
  <si>
    <t>2026-06-19_16-31-46-591314</t>
  </si>
  <si>
    <t>2026-06-19_16-32-00-310086</t>
  </si>
  <si>
    <t>2026-06-19_16-32-00-331134</t>
  </si>
  <si>
    <t>2026-06-19_16-32-00-331740</t>
  </si>
  <si>
    <t>2026-06-19_16-32-27-605097</t>
  </si>
  <si>
    <t>side_align_left_done | final camera=left ids=[23, 24, 25, 26] target_pair=[24, 25] target_x=+0.3527 target_y=+0.2633 center_x=+0.3612 center_y=-0.0438 yaw=+179.70deg error_x=-0.0033 yaw_error=-0.30deg tolerance_x=0.0060 tolerance_yaw=2.00deg</t>
  </si>
  <si>
    <t>2026-06-19_16-32-27-611532</t>
  </si>
  <si>
    <t>side_align_complete: side_align_left_done | final camera=left ids=[23, 24, 25, 26] target_pair=[24, 25] target_x=+0.3527 target_y=+0.2633 center_x=+0.3612 center_y=-0.0438 yaw=+179.70deg error_x=-0.0033 yaw_error=-0.30deg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</si>
  <si>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2026-06-19_16-32-29-478549</t>
  </si>
  <si>
    <t>2026-06-19_16-32-36-070466</t>
  </si>
  <si>
    <t>2026-06-19_16-32-36-176968</t>
  </si>
  <si>
    <t>2026-06-19_16-32-45-342146</t>
  </si>
  <si>
    <t>2026-06-19_16-32-54-388834</t>
  </si>
  <si>
    <t>2026-06-19_16-32-54-395173</t>
  </si>
  <si>
    <t>2026-06-19_16-32-54-399848</t>
  </si>
  <si>
    <t>2026-06-19_16-33-03-802074</t>
  </si>
  <si>
    <t>2026-06-19_16-33-03-806987</t>
  </si>
  <si>
    <t>2026-06-19_16-33-11-123003</t>
  </si>
  <si>
    <t>2026-06-19_16-33-11-124339</t>
  </si>
  <si>
    <t>2026-06-19_16-33-11-129478</t>
  </si>
  <si>
    <t>2026-06-19_16-33-12-705606</t>
  </si>
  <si>
    <t>2026-06-19_16-33-33-503968</t>
  </si>
  <si>
    <t>fine_align_under_done | final ids=[3, 12] center_x=+0.1288 center_y=+0.0001 yaw=-12.38deg orientation=normal error_x=-0.0037 error_y=-0.0061 yaw_error=-1.38deg target_x=+0.1325 target_y=+0.0062 tolerance_x=0.0040 tolerance_y=0.0100 tolerance_yaw=3.00deg</t>
  </si>
  <si>
    <t>2026-06-19_16-33-33-508411</t>
  </si>
  <si>
    <t>fine_align_complete: fine_align_under_done | final ids=[3, 12] center_x=+0.1288 center_y=+0.0001 yaw=-12.38deg orientation=normal error_x=-0.0037 error_y=-0.0061 yaw_error=-1.38deg target_x=+0.1325 target_y=+0.0062 tolerance_x=0.0040 tolerance_y=0.0100 tolerance_yaw=3.00deg. Remembered laundry_trolley</t>
  </si>
  <si>
    <t>2026-06-19_16-33-55-258322</t>
  </si>
  <si>
    <t>2026-06-19_16-34-07-862360</t>
  </si>
  <si>
    <t>2026-06-19_16-34-07-865021</t>
  </si>
  <si>
    <t>2026-06-19_16-34-26-130406</t>
  </si>
  <si>
    <t>2026-06-19_16-34-26-131944</t>
  </si>
  <si>
    <t>2026-06-19_16-34-33-132860</t>
  </si>
  <si>
    <t>2026-06-19_16-34-33-133459</t>
  </si>
  <si>
    <t>2026-06-19_16-36-16-430086</t>
  </si>
  <si>
    <t>20260619_163616</t>
  </si>
  <si>
    <t>2026-06-19_16-36-16-431586</t>
  </si>
  <si>
    <t>2026-06-19_16-37-22-577265</t>
  </si>
  <si>
    <t>2026-06-19_16-37-22-579325</t>
  </si>
  <si>
    <t>20260619_163722</t>
  </si>
  <si>
    <t>2026-06-19_16-37-22-580651</t>
  </si>
  <si>
    <t>2026-06-19_16-37-22-588837</t>
  </si>
  <si>
    <t>0.010</t>
  </si>
  <si>
    <t>2026-06-19_16-37-38-087134</t>
  </si>
  <si>
    <t>2026-06-19_16-37-38-089091</t>
  </si>
  <si>
    <t>20260619_163738</t>
  </si>
  <si>
    <t>2026-06-19_16-37-38-090339</t>
  </si>
  <si>
    <t>2026-06-19_16-37-38-103266</t>
  </si>
  <si>
    <t>2026-06-19_16-38-49-682915</t>
  </si>
  <si>
    <t>2026-06-19_16-39-27-536245</t>
  </si>
  <si>
    <t>2026-06-19_16-40-06-751364</t>
  </si>
  <si>
    <t>2026-06-19_16-40-12-718651</t>
  </si>
  <si>
    <t>2026-06-19_16-40-16-126884</t>
  </si>
  <si>
    <t>2026-06-19_16-40-28-099742</t>
  </si>
  <si>
    <t>2026-06-19_16-40-28-101637</t>
  </si>
  <si>
    <t>20260619_164028</t>
  </si>
  <si>
    <t>2026-06-19_16-40-28-102706</t>
  </si>
  <si>
    <t>2026-06-19_16-40-43-366843</t>
  </si>
  <si>
    <t>2026-06-19_16-40-43-368961</t>
  </si>
  <si>
    <t>2026-06-19_16-40-43-376174</t>
  </si>
  <si>
    <t>2026-06-19_16-41-56-679605</t>
  </si>
  <si>
    <t>missing logger values?</t>
  </si>
  <si>
    <t>2026-06-19_17-12-37-861172</t>
  </si>
  <si>
    <t>20260619_171237</t>
  </si>
  <si>
    <t>2026-06-19_17-12-37-861683</t>
  </si>
  <si>
    <t>2026-06-19_17-12-44-181181</t>
  </si>
  <si>
    <t>2026-06-19_17-12-44-181390</t>
  </si>
  <si>
    <t>2026-06-19_17-12-53-584693</t>
  </si>
  <si>
    <t>2026-06-19_17-12-53-587349</t>
  </si>
  <si>
    <t>2026-06-19_17-12-58-303351</t>
  </si>
  <si>
    <t>2026-06-19_17-12-58-304284</t>
  </si>
  <si>
    <t>2026-06-19_17-12-59-892093</t>
  </si>
  <si>
    <t>2026-06-19_17-13-09-337217</t>
  </si>
  <si>
    <t>fine aling with_light</t>
  </si>
  <si>
    <t>2026-06-19_17-13-21-756764</t>
  </si>
  <si>
    <t>fine_align_complete: fine_align_under_done | final ids=[3, 12] center_x=+0.1289 center_y=+0.0015 yaw=-12.79deg orientation=normal error_x=-0.0036 error_y=-0.0047 yaw_error=-1.79deg target_x=+0.1325 target_y=+0.0062 tolerance_x=0.0040 tolerance_y=0.0100 tolerance_yaw=3.00deg. Remembered laundry_trolley</t>
  </si>
  <si>
    <t>2026-06-19_17-13-21-757213</t>
  </si>
  <si>
    <t>fine_align_under_done | final ids=[3, 12] center_x=+0.1289 center_y=+0.0015 yaw=-12.79deg orientation=normal error_x=-0.0036 error_y=-0.0047 yaw_error=-1.79deg target_x=+0.1325 target_y=+0.0062 tolerance_x=0.0040 tolerance_y=0.0100 tolerance_yaw=3.00deg</t>
  </si>
  <si>
    <t>2026-06-19_17-13-44-316454</t>
  </si>
  <si>
    <t>2026-06-19_17-13-54-515132</t>
  </si>
  <si>
    <t>2026-06-19_17-13-54-516098</t>
  </si>
  <si>
    <t>2026-06-19_17-14-10-517950</t>
  </si>
  <si>
    <t>2026-06-19_17-14-17-461672</t>
  </si>
  <si>
    <t>2026-06-19_17-14-17-461817</t>
  </si>
  <si>
    <t>2026-06-19_17-14-42-878694</t>
  </si>
  <si>
    <t>20260619_171442</t>
  </si>
  <si>
    <t>2026-06-19_17-14-42-879178</t>
  </si>
  <si>
    <t>rfull_sucess</t>
  </si>
  <si>
    <t>2026-06-19_17-16-33-109554</t>
  </si>
  <si>
    <t>2026-06-19_17-17-25-656901</t>
  </si>
  <si>
    <t>2026-06-19_17-17-25-964389</t>
  </si>
  <si>
    <t>2026-06-19_17-17-25-964920</t>
  </si>
  <si>
    <t>20260619_171725</t>
  </si>
  <si>
    <t>2026-06-19_17-17-25-965209</t>
  </si>
  <si>
    <t>2026-06-19_17-17-43-974158</t>
  </si>
  <si>
    <t>2026-06-19_17-17-43-988695</t>
  </si>
  <si>
    <t>2026-06-19_17-18-26-539533</t>
  </si>
  <si>
    <t>side_align_left_done | final camera=left ids=[23, 24, 25, 26] target_pair=[24, 25] target_x=+0.3537 target_y=+0.2838 center_x=+0.3560 center_y=-0.0232 yaw=+179.51deg error_x=-0.0023 yaw_error=-0.49deg tolerance_x=0.0060 tolerance_yaw=2.00deg</t>
  </si>
  <si>
    <t>2026-06-19_17-18-26-541319</t>
  </si>
  <si>
    <t>side_align_complete: side_align_left_done | final camera=left ids=[23, 24, 25, 26] target_pair=[24, 25] target_x=+0.3537 target_y=+0.2838 center_x=+0.3560 center_y=-0.0232 yaw=+179.51deg error_x=-0.0023 yaw_error=-0.49deg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</si>
  <si>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2026-06-19_17-18-28-468625</t>
  </si>
  <si>
    <t>2026-06-19_17-18-34-151848</t>
  </si>
  <si>
    <t>2026-06-19_17-18-48-222990</t>
  </si>
  <si>
    <t>2026-06-19_17-18-54-269217</t>
  </si>
  <si>
    <t>2026-06-19_17-18-54-567872</t>
  </si>
  <si>
    <t>2026-06-19_17-19-03-589799</t>
  </si>
  <si>
    <t>2026-06-19_17-19-03-590188</t>
  </si>
  <si>
    <t>2026-06-19_17-19-12-372685</t>
  </si>
  <si>
    <t>2026-06-19_17-19-44-713995</t>
  </si>
  <si>
    <t>2026-06-19_17-20-19-612192</t>
  </si>
  <si>
    <t>2026-06-19_17-20-19-613092</t>
  </si>
  <si>
    <t>2026-06-19_17-22-21-101571</t>
  </si>
  <si>
    <t>2026-06-19_17-23-26-109626</t>
  </si>
  <si>
    <t>2026-06-19_17-25-42-862220</t>
  </si>
  <si>
    <t>2026-06-19_17-26-37-260738</t>
  </si>
  <si>
    <t>2026-06-19_17-27-09-514998</t>
  </si>
  <si>
    <t>2026-06-19_17-27-47-404188</t>
  </si>
  <si>
    <t>2026-06-19_17-28-06-579159</t>
  </si>
  <si>
    <t>2026-06-19_17-28-20-053373</t>
  </si>
  <si>
    <t>side_align_left_done | final camera=left ids=[24, 25, 26, 27] target_pair=[24, 25] target_x=+0.3607 target_y=+0.2919 center_x=+0.4642 center_y=-0.0164 yaw=+179.20deg error_x=+0.0047 yaw_error=-0.80deg tolerance_x=0.0060 tolerance_yaw=2.00deg</t>
  </si>
  <si>
    <t>2026-06-19_17-28-20-060892</t>
  </si>
  <si>
    <t>side_align_complete: side_align_left_done | final camera=left ids=[24, 25, 26, 27] target_pair=[24, 25] target_x=+0.3607 target_y=+0.2919 center_x=+0.4642 center_y=-0.0164 yaw=+179.20deg error_x=+0.0047 yaw_error=-0.80deg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</si>
  <si>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2026-06-19_17-28-25-999305</t>
  </si>
  <si>
    <t>2026-06-19_17-28-36-666818</t>
  </si>
  <si>
    <t>2026-06-19_17-28-41-261470</t>
  </si>
  <si>
    <t>2026-06-19_17-28-41-262196</t>
  </si>
  <si>
    <t>2026-06-19_17-28-50-639834</t>
  </si>
  <si>
    <t>2026-06-19_17-28-50-645277</t>
  </si>
  <si>
    <t>2026-06-19_17-28-56-560184</t>
  </si>
  <si>
    <t>2026-06-19_17-28-56-568934</t>
  </si>
  <si>
    <t>2026-06-19_17-28-58-143644</t>
  </si>
  <si>
    <t>2026-06-19_17-29-05-742792</t>
  </si>
  <si>
    <t>2026-06-19_17-29-43-318857</t>
  </si>
  <si>
    <t>2026-06-19_17-29-43-387759</t>
  </si>
  <si>
    <t>2026-06-19_17-30-03-196957</t>
  </si>
  <si>
    <t>2026-06-19_17-30-13-908097</t>
  </si>
  <si>
    <t>2026-06-19_17-30-24-807542</t>
  </si>
  <si>
    <t>2026-06-19_17-30-31-267377</t>
  </si>
  <si>
    <t>2026-06-19_17-30-31-267602</t>
  </si>
  <si>
    <t>2026-06-19_17-30-31-482601</t>
  </si>
  <si>
    <t>2026-06-19_17-30-32-880048</t>
  </si>
  <si>
    <t>2026-06-19_17-30-56-446738</t>
  </si>
  <si>
    <t>fine_align_complete: fine_align_under_done | final ids=[3, 12] center_x=+0.1305 center_y=+0.0103 yaw=-13.62deg orientation=normal error_x=-0.0020 error_y=+0.0041 yaw_error=-2.62deg target_x=+0.1325 target_y=+0.0062 tolerance_x=0.0040 tolerance_y=0.0100 tolerance_yaw=3.00deg. Remembered laundry_trolley</t>
  </si>
  <si>
    <t>2026-06-19_17-30-56-446958</t>
  </si>
  <si>
    <t>fine_align_under_done | final ids=[3, 12] center_x=+0.1305 center_y=+0.0103 yaw=-13.62deg orientation=normal error_x=-0.0020 error_y=+0.0041 yaw_error=-2.62deg target_x=+0.1325 target_y=+0.0062 tolerance_x=0.0040 tolerance_y=0.0100 tolerance_yaw=3.00deg</t>
  </si>
  <si>
    <t>2026-06-19_17-31-36-888594</t>
  </si>
  <si>
    <t>docking wheels_were_in_the_way</t>
  </si>
  <si>
    <t>2026-06-19_17-32-49-683440</t>
  </si>
  <si>
    <t>2026-06-19_17-34-04-009114</t>
  </si>
  <si>
    <t>would_have_driven_to_the_correct_position_but_robot_lost_correct_odometry</t>
  </si>
  <si>
    <t>2026-06-19_17-34-08-192612</t>
  </si>
  <si>
    <t>2026-06-19_17-34-15-257845</t>
  </si>
  <si>
    <t>2026-06-19_17-34-15-258038</t>
  </si>
  <si>
    <t>2026-06-19_17-37-04-978165</t>
  </si>
  <si>
    <t>20260619_173704</t>
  </si>
  <si>
    <t>2026-06-19_17-37-04-978618</t>
  </si>
  <si>
    <t>2026-06-19_17-37-55-335853</t>
  </si>
  <si>
    <t>2026-06-19_17-38-11-263592</t>
  </si>
  <si>
    <t>2026-06-19_17-38-11-263788</t>
  </si>
  <si>
    <t>2026-06-19_17-38-22-072167</t>
  </si>
  <si>
    <t>side_align_complete: side_align_left_done | final camera=left ids=[17, 18, 19, 20] target_pair=[18, 19] target_x=+0.3592 target_y=+0.2596 center_x=+0.3663 center_y=+0.5653 yaw=-179.76deg error_x=+0.0032 yaw_error=+0.24deg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</si>
  <si>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2026-06-19_17-38-22-072394</t>
  </si>
  <si>
    <t>side_align_left_done | final camera=left ids=[17, 18, 19, 20] target_pair=[18, 19] target_x=+0.3592 target_y=+0.2596 center_x=+0.3663 center_y=+0.5653 yaw=-179.76deg error_x=+0.0032 yaw_error=+0.24deg tolerance_x=0.0060 tolerance_yaw=2.00deg</t>
  </si>
  <si>
    <t>2026-06-19_17-38-23-843689</t>
  </si>
  <si>
    <t>2026-06-19_17-38-26-828506</t>
  </si>
  <si>
    <t>2026-06-19_17-38-39-681567</t>
  </si>
  <si>
    <t>2026-06-19_17-38-44-905731</t>
  </si>
  <si>
    <t>2026-06-19_17-38-44-924563</t>
  </si>
  <si>
    <t>2026-06-19_17-38-54-397448</t>
  </si>
  <si>
    <t>2026-06-19_17-38-54-397800</t>
  </si>
  <si>
    <t>2026-06-19_17-39-01-614208</t>
  </si>
  <si>
    <t>2026-06-19_17-39-01-701851</t>
  </si>
  <si>
    <t>2026-06-19_17-39-03-134339</t>
  </si>
  <si>
    <t>2026-06-19_17-39-17-129517</t>
  </si>
  <si>
    <t>fine_align_complete: fine_align_under_done | final ids=[3, 12] center_x=+0.1302 center_y=-0.0032 yaw=+162.75deg orientation=flipped_180 error_x=-0.0038 error_y=-0.0070 yaw_error=-2.25deg target_x=+0.1340 target_y=+0.0038 tolerance_x=0.0040 tolerance_y=0.0100 tolerance_yaw=3.00deg. Remembered trash_trolley</t>
  </si>
  <si>
    <t>2026-06-19_17-39-17-132543</t>
  </si>
  <si>
    <t>fine_align_under_done | final ids=[3, 12] center_x=+0.1302 center_y=-0.0032 yaw=+162.75deg orientation=flipped_180 error_x=-0.0038 error_y=-0.0070 yaw_error=-2.25deg target_x=+0.1340 target_y=+0.0038 tolerance_x=0.0040 tolerance_y=0.0100 tolerance_yaw=3.00deg</t>
  </si>
  <si>
    <t>2026-06-19_17-40-23-754603</t>
  </si>
  <si>
    <t>2026-06-19_17-40-23-754974</t>
  </si>
  <si>
    <t>2026-06-19_17-40-25-353603</t>
  </si>
  <si>
    <t>2026-06-19_17-40-28-054688</t>
  </si>
  <si>
    <t>fine_align_complete: fine_align_under_done | final ids=[3, 12] center_x=+0.1304 center_y=-0.0027 yaw=+162.91deg orientation=flipped_180 error_x=-0.0036 error_y=-0.0065 yaw_error=-2.09deg target_x=+0.1340 target_y=+0.0038 tolerance_x=0.0040 tolerance_y=0.0100 tolerance_yaw=3.00deg. Remembered trash_trolley</t>
  </si>
  <si>
    <t>2026-06-19_17-40-28-055023</t>
  </si>
  <si>
    <t>fine_align_under_done | final ids=[3, 12] center_x=+0.1304 center_y=-0.0027 yaw=+162.91deg orientation=flipped_180 error_x=-0.0036 error_y=-0.0065 yaw_error=-2.09deg target_x=+0.1340 target_y=+0.0038 tolerance_x=0.0040 tolerance_y=0.0100 tolerance_yaw=3.00deg</t>
  </si>
  <si>
    <t>2026-06-19_17-40-42-018778</t>
  </si>
  <si>
    <t>drive_under_unsucessfull_hit_wheel</t>
  </si>
  <si>
    <t>2026-06-19_17-41-03-326017</t>
  </si>
  <si>
    <t>2026-06-19_17-41-21-600430</t>
  </si>
  <si>
    <t>2026-06-19_17-41-21-603015</t>
  </si>
  <si>
    <t>2026-06-19_17-41-21-706905</t>
  </si>
  <si>
    <t>2026-06-19_17-42-56-373069</t>
  </si>
  <si>
    <t>2026-06-19_19-01-29-996536</t>
  </si>
  <si>
    <t>20260619_190129</t>
  </si>
  <si>
    <t>2026-06-19_19-01-29-997673</t>
  </si>
  <si>
    <t>cleaned_wheels</t>
  </si>
  <si>
    <t>2026-06-19_19-03-18-623325</t>
  </si>
  <si>
    <t>2026-06-19_19-04-23-719190</t>
  </si>
  <si>
    <t>2026-06-19_19-05-02-656573</t>
  </si>
  <si>
    <t>2026-06-19_19-05-02-657647</t>
  </si>
  <si>
    <t>2026-06-19_19-05-30-226237</t>
  </si>
  <si>
    <t>2026-06-19_19-05-58-048298</t>
  </si>
  <si>
    <t>2026-06-19_19-06-15-729877</t>
  </si>
  <si>
    <t>2026-06-19_19-09-23-870697</t>
  </si>
  <si>
    <t>2026-06-19_19-10-51-848121</t>
  </si>
  <si>
    <t>fixing_aruko_node_to_avoid_crashing</t>
  </si>
  <si>
    <t>2026-06-19_19-12-09-158619</t>
  </si>
  <si>
    <t>2026-06-19_19-12-25-687655</t>
  </si>
  <si>
    <t>2026-06-19_19-12-31-167322</t>
  </si>
  <si>
    <t>side_align_complete: side_align_left_done | final camera=left ids=[17, 18, 19, 20] target_pair=[18, 19] target_x=+0.3589 target_y=+0.2703 side_target_offset_x=+0.3560 center_x=+0.3667 center_y=+0.5760 yaw=-179.95deg error_x=+0.0029 yaw_error=+0.05deg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</si>
  <si>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2026-06-19_19-12-31-167675</t>
  </si>
  <si>
    <t>side_align_left_done | final camera=left ids=[17, 18, 19, 20] target_pair=[18, 19] target_x=+0.3589 target_y=+0.2703 side_target_offset_x=+0.3560 center_x=+0.3667 center_y=+0.5760 yaw=-179.95deg error_x=+0.0029 yaw_error=+0.05deg tolerance_x=0.0060 tolerance_yaw=2.00deg</t>
  </si>
  <si>
    <t>2026-06-19_19-12-33-432218</t>
  </si>
  <si>
    <t>2026-06-19_19-12-51-660915</t>
  </si>
  <si>
    <t>2026-06-19_19-12-51-661207</t>
  </si>
  <si>
    <t>2026-06-19_19-13-03-085352</t>
  </si>
  <si>
    <t>2026-06-19_19-13-09-314773</t>
  </si>
  <si>
    <t>2026-06-19_19-13-09-314977</t>
  </si>
  <si>
    <t>2026-06-19_19-13-09-320969</t>
  </si>
  <si>
    <t>2026-06-19_19-13-18-901663</t>
  </si>
  <si>
    <t>2026-06-19_19-13-18-902108</t>
  </si>
  <si>
    <t>2026-06-19_19-14-16-687144</t>
  </si>
  <si>
    <t>2026-06-19_19-14-16-691580</t>
  </si>
  <si>
    <t>2026-06-19_19-14-18-276675</t>
  </si>
  <si>
    <t>2026-06-19_19-14-18-973768</t>
  </si>
  <si>
    <t>fine_align_under_done | final ids=[3, 12] center_x=+0.1367 center_y=+0.0086 yaw=+162.97deg orientation=flipped_180 error_x=+0.0027 error_y=+0.0048 yaw_error=-2.03deg target_x=+0.1340 target_y=+0.0038 tolerance_x=0.0040 tolerance_y=0.0100 tolerance_yaw=3.00deg</t>
  </si>
  <si>
    <t>2026-06-19_19-14-18-974325</t>
  </si>
  <si>
    <t>fine_align_complete: fine_align_under_done | final ids=[3, 12] center_x=+0.1367 center_y=+0.0086 yaw=+162.97deg orientation=flipped_180 error_x=+0.0027 error_y=+0.0048 yaw_error=-2.03deg target_x=+0.1340 target_y=+0.0038 tolerance_x=0.0040 tolerance_y=0.0100 tolerance_yaw=3.00deg. Remembered trash_trolley</t>
  </si>
  <si>
    <t>2026-06-19_19-14-24-242733</t>
  </si>
  <si>
    <t>2026-06-19_19-14-53-821362</t>
  </si>
  <si>
    <t>2026-06-19_19-15-01-487661</t>
  </si>
  <si>
    <t>2026-06-19_19-15-19-692261</t>
  </si>
  <si>
    <t>2026-06-19_19-15-26-672247</t>
  </si>
  <si>
    <t>2026-06-19_19-15-26-672378</t>
  </si>
  <si>
    <t>2026-06-19_19-18-12-116890</t>
  </si>
  <si>
    <t>20260619_191812</t>
  </si>
  <si>
    <t>missing logs?</t>
  </si>
  <si>
    <t>2026-06-19_19-18-12-117565</t>
  </si>
  <si>
    <t>2026-06-19_19-18-16-629270</t>
  </si>
  <si>
    <t>2026-06-19_19-18-16-716773</t>
  </si>
  <si>
    <t>2026-06-19_19-18-26-144912</t>
  </si>
  <si>
    <t>fine_first_aruko</t>
  </si>
  <si>
    <t>fine_first_estimate | ids=[3, 12] center_x=+0.1389 center_y=-0.0361 yaw=+163.00deg orientation=flipped_180 error_x=+0.0049 error_y=-0.0399 yaw_error=-2.00deg target_x=+0.1340 target_y=+0.0038</t>
  </si>
  <si>
    <t>2026-06-19_19-18-26-145436</t>
  </si>
  <si>
    <t>2026-06-19_19-18-26-145774</t>
  </si>
  <si>
    <t>2026-06-19_19-18-43-918857</t>
  </si>
  <si>
    <t>2026-06-19_19-18-43-934605</t>
  </si>
  <si>
    <t>2026-06-19_19-18-45-489910</t>
  </si>
  <si>
    <t>2026-06-19_19-18-46-187626</t>
  </si>
  <si>
    <t>fine_align_under_done | final ids=[3, 12] center_x=+0.1362 center_y=+0.0038 yaw=+162.96deg orientation=flipped_180 error_x=+0.0022 error_y=-0.0000 yaw_error=-2.04deg target_x=+0.1340 target_y=+0.0038 tolerance_x=0.0040 tolerance_y=0.0100 tolerance_yaw=3.00deg</t>
  </si>
  <si>
    <t>2026-06-19_19-18-46-188223</t>
  </si>
  <si>
    <t>fine_align_complete: fine_align_under_done | final ids=[3, 12] center_x=+0.1362 center_y=+0.0038 yaw=+162.96deg orientation=flipped_180 error_x=+0.0022 error_y=-0.0000 yaw_error=-2.04deg target_x=+0.1340 target_y=+0.0038 tolerance_x=0.0040 tolerance_y=0.0100 tolerance_yaw=3.00deg. Remembered trash_trolley</t>
  </si>
  <si>
    <t>2026-06-19_19-19-21-134713</t>
  </si>
  <si>
    <t>2026-06-19_19-19-50-985866</t>
  </si>
  <si>
    <t>2026-06-19_19-19-55-584898</t>
  </si>
  <si>
    <t>2026-06-19_19-19-55-794328</t>
  </si>
  <si>
    <t>2026-06-19_19-20-15-607217</t>
  </si>
  <si>
    <t>2026-06-19_19-20-15-607720</t>
  </si>
  <si>
    <t>2026-06-19_19-20-22-567704</t>
  </si>
  <si>
    <t>2026-06-19_19-20-22-567854</t>
  </si>
  <si>
    <t>2026-06-19_19-22-48-491460</t>
  </si>
  <si>
    <t>20260619_192248</t>
  </si>
  <si>
    <t>2026-06-19_19-22-48-491967</t>
  </si>
  <si>
    <t>2026-06-19_19-23-08-225931</t>
  </si>
  <si>
    <t>2026-06-19_19-24-02-985077</t>
  </si>
  <si>
    <t>2026-06-19_19-24-27-357989</t>
  </si>
  <si>
    <t>2026-06-19_19-24-27-358785</t>
  </si>
  <si>
    <t>20260619_192427</t>
  </si>
  <si>
    <t>2026-06-19_19-24-27-359279</t>
  </si>
  <si>
    <t>2026-06-19_19-24-27-440408</t>
  </si>
  <si>
    <t>0.082</t>
  </si>
  <si>
    <t>2026-06-19_19-24-46-576503</t>
  </si>
  <si>
    <t>2026-06-19_19-24-46-576900</t>
  </si>
  <si>
    <t>2026-06-19_19-24-57-914089</t>
  </si>
  <si>
    <t>side_align_left_done | final camera=left ids=[17, 18, 19, 20] target_pair=[18, 19] target_x=+0.3530 target_y=+0.2695 side_target_offset_x=+0.3560 center_x=+0.3549 center_y=+0.5753 yaw=-179.04deg error_x=-0.0030 yaw_error=+0.96deg tolerance_x=0.0060 tolerance_yaw=2.00deg</t>
  </si>
  <si>
    <t>2026-06-19_19-24-57-914458</t>
  </si>
  <si>
    <t>side_align_complete: side_align_left_done | final camera=left ids=[17, 18, 19, 20] target_pair=[18, 19] target_x=+0.3530 target_y=+0.2695 side_target_offset_x=+0.3560 center_x=+0.3549 center_y=+0.5753 yaw=-179.04deg error_x=-0.0030 yaw_error=+0.96deg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</si>
  <si>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2026-06-19_19-24-59-870632</t>
  </si>
  <si>
    <t>2026-06-19_19-25-01-979366</t>
  </si>
  <si>
    <t>2026-06-19_19-25-12-462914</t>
  </si>
  <si>
    <t>2026-06-19_19-25-16-908967</t>
  </si>
  <si>
    <t>2026-06-19_19-25-16-909716</t>
  </si>
  <si>
    <t>2026-06-19_19-25-26-464843</t>
  </si>
  <si>
    <t>2026-06-19_19-25-26-466965</t>
  </si>
  <si>
    <t>2026-06-19_19-25-30-781757</t>
  </si>
  <si>
    <t>2026-06-19_19-25-30-782505</t>
  </si>
  <si>
    <t>2026-06-19_19-25-32-263201</t>
  </si>
  <si>
    <t>2026-06-19_19-25-33-260655</t>
  </si>
  <si>
    <t>2026-06-19_19-25-39-659873</t>
  </si>
  <si>
    <t>fine_align_under_done | final ids=[3, 12] center_x=+0.1332 center_y=+0.0134 yaw=+163.80deg orientation=flipped_180 error_x=-0.0008 error_y=+0.0096 yaw_error=-1.20deg target_x=+0.1340 target_y=+0.0038 tolerance_x=0.0040 tolerance_y=0.0100 tolerance_yaw=3.00deg</t>
  </si>
  <si>
    <t>2026-06-19_19-25-39-750520</t>
  </si>
  <si>
    <t>fine_align_complete: fine_align_under_done | final ids=[3, 12] center_x=+0.1332 center_y=+0.0134 yaw=+163.80deg orientation=flipped_180 error_x=-0.0008 error_y=+0.0096 yaw_error=-1.20deg target_x=+0.1340 target_y=+0.0038 tolerance_x=0.0040 tolerance_y=0.0100 tolerance_yaw=3.00deg. Remembered trash_trolley</t>
  </si>
  <si>
    <t>2026-06-19_19-26-04-107767</t>
  </si>
  <si>
    <t>2026-06-19_19-26-15-447382</t>
  </si>
  <si>
    <t>2026-06-19_19-26-15-537994</t>
  </si>
  <si>
    <t>2026-06-19_19-26-37-368975</t>
  </si>
  <si>
    <t>2026-06-19_19-26-44-362913</t>
  </si>
  <si>
    <t>2026-06-19_19-26-44-363047</t>
  </si>
  <si>
    <t>2026-06-19_19-29-36-776105</t>
  </si>
  <si>
    <t>20260619_192936</t>
  </si>
  <si>
    <t>2026-06-19_19-29-36-776722</t>
  </si>
  <si>
    <t>2026-06-19_19-29-39-053885</t>
  </si>
  <si>
    <t>2026-06-19_19-29-39-054436</t>
  </si>
  <si>
    <t>2026-06-19_19-29-48-451110</t>
  </si>
  <si>
    <t>2026-06-19_19-29-48-453419</t>
  </si>
  <si>
    <t>2026-06-19_19-29-53-632398</t>
  </si>
  <si>
    <t>2026-06-19_19-29-53-632616</t>
  </si>
  <si>
    <t>2026-06-19_19-29-54-523530</t>
  </si>
  <si>
    <t>2026-06-19_19-29-55-229809</t>
  </si>
  <si>
    <t>2026-06-19_19-30-13-103285</t>
  </si>
  <si>
    <t>fine_align_under_done | final ids=[3, 12] center_x=+0.1289 center_y=+0.0014 yaw=-13.14deg orientation=normal error_x=-0.0036 error_y=-0.0048 yaw_error=-2.14deg target_x=+0.1325 target_y=+0.0062 tolerance_x=0.0040 tolerance_y=0.0100 tolerance_yaw=3.00deg</t>
  </si>
  <si>
    <t>2026-06-19_19-30-13-103709</t>
  </si>
  <si>
    <t>fine_align_complete: fine_align_under_done | final ids=[3, 12] center_x=+0.1289 center_y=+0.0014 yaw=-13.14deg orientation=normal error_x=-0.0036 error_y=-0.0048 yaw_error=-2.14deg target_x=+0.1325 target_y=+0.0062 tolerance_x=0.0040 tolerance_y=0.0100 tolerance_yaw=3.00deg. Remembered trash_trolley</t>
  </si>
  <si>
    <t>2026-06-19_19-30-36-419779</t>
  </si>
  <si>
    <t>2026-06-19_19-30-38-515971</t>
  </si>
  <si>
    <t>2026-06-19_19-30-58-173031</t>
  </si>
  <si>
    <t>2026-06-19_19-31-05-081983</t>
  </si>
  <si>
    <t>2026-06-19_19-31-05-082188</t>
  </si>
  <si>
    <t>2026-06-19_19-32-30-314677</t>
  </si>
  <si>
    <t>20260619_193230</t>
  </si>
  <si>
    <t>2026-06-19_19-32-30-315171</t>
  </si>
  <si>
    <t>2026-06-19_19-32-52-399586</t>
  </si>
  <si>
    <t>2026-06-19_19-33-12-015585</t>
  </si>
  <si>
    <t>2026-06-19_19-33-12-017823</t>
  </si>
  <si>
    <t>2026-06-19_19-33-25-337416</t>
  </si>
  <si>
    <t>side_align_left_done | final camera=left ids=[24, 25, 26] target_pair=[24, 25] target_x=+0.3616 target_y=+0.2777 side_target_offset_x=+0.3560 center_x=+0.4215 center_y=-0.0282 yaw=-179.34deg error_x=+0.0056 yaw_error=+0.66deg tolerance_x=0.0060 tolerance_yaw=2.00deg</t>
  </si>
  <si>
    <t>2026-06-19_19-33-25-337985</t>
  </si>
  <si>
    <t>side_align_complete: side_align_left_done | final camera=left ids=[24, 25, 26] target_pair=[24, 25] target_x=+0.3616 target_y=+0.2777 side_target_offset_x=+0.3560 center_x=+0.4215 center_y=-0.0282 yaw=-179.34deg error_x=+0.0056 yaw_error=+0.66deg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</si>
  <si>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2026-06-19_19-33-27-057747</t>
  </si>
  <si>
    <t>2026-06-19_19-33-40-165555</t>
  </si>
  <si>
    <t>2026-06-19_19-33-51-430421</t>
  </si>
  <si>
    <t>2026-06-19_19-33-53-409341</t>
  </si>
  <si>
    <t>2026-06-19_19-33-53-420207</t>
  </si>
  <si>
    <t>2026-06-19_19-34-02-769436</t>
  </si>
  <si>
    <t>fine_first_estimate | ids=[5, 10] center_x=+0.1531 center_y=-0.0531 yaw=+20.03deg orientation=normal error_x=+0.0206 error_y=-0.0593 yaw_error=+31.03deg target_x=+0.1325 target_y=+0.0062</t>
  </si>
  <si>
    <t>2026-06-19_19-34-02-771350</t>
  </si>
  <si>
    <t>2026-06-19_19-34-02-771558</t>
  </si>
  <si>
    <t>2026-06-19_19-34-07-748457</t>
  </si>
  <si>
    <t>2026-06-19_19-34-07-748752</t>
  </si>
  <si>
    <t>2026-06-19_19-34-07-749488</t>
  </si>
  <si>
    <t>2026-06-19_19-34-09-248242</t>
  </si>
  <si>
    <t>2026-06-19_19-34-26-044873</t>
  </si>
  <si>
    <t>fine_align_under_done | final ids=[3, 12] center_x=+0.1364 center_y=+0.0007 yaw=-12.40deg orientation=normal error_x=+0.0039 error_y=-0.0055 yaw_error=-1.40deg target_x=+0.1325 target_y=+0.0062 tolerance_x=0.0040 tolerance_y=0.0100 tolerance_yaw=3.00deg</t>
  </si>
  <si>
    <t>2026-06-19_19-34-26-045823</t>
  </si>
  <si>
    <t>fine_align_complete: fine_align_under_done | final ids=[3, 12] center_x=+0.1364 center_y=+0.0007 yaw=-12.40deg orientation=normal error_x=+0.0039 error_y=-0.0055 yaw_error=-1.40deg target_x=+0.1325 target_y=+0.0062 tolerance_x=0.0040 tolerance_y=0.0100 tolerance_yaw=3.00deg. Remembered trash_trolley</t>
  </si>
  <si>
    <t>2026-06-19_19-34-30-435743</t>
  </si>
  <si>
    <t>2026-06-19_19-34-54-446412</t>
  </si>
  <si>
    <t>2026-06-19_19-34-56-643229</t>
  </si>
  <si>
    <t>2026-06-19_19-35-21-911454</t>
  </si>
  <si>
    <t>2026-06-19_19-35-22-266267</t>
  </si>
  <si>
    <t>2026-06-19_19-35-24-217140</t>
  </si>
  <si>
    <t>2026-06-19_19-35-28-813493</t>
  </si>
  <si>
    <t>2026-06-19_19-35-28-813618</t>
  </si>
  <si>
    <t>2026-06-19_19-36-18-283691</t>
  </si>
  <si>
    <t>20260619_193618</t>
  </si>
  <si>
    <t>2026-06-19_19-36-18-284177</t>
  </si>
  <si>
    <t>2026-06-19_19-37-22-166564</t>
  </si>
  <si>
    <t>2026-06-19_19-37-39-627507</t>
  </si>
  <si>
    <t>2026-06-19_19-37-39-718318</t>
  </si>
  <si>
    <t>2026-06-19_19-37-52-670195</t>
  </si>
  <si>
    <t>side_align_left_done | final camera=left ids=[23, 24, 25, 26] target_pair=[24, 25] target_x=+0.3512 target_y=+0.2701 side_target_offset_x=+0.3560 center_x=+0.3676 center_y=-0.0369 yaw=-178.61deg error_x=-0.0048 yaw_error=+1.39deg tolerance_x=0.0060 tolerance_yaw=2.00deg</t>
  </si>
  <si>
    <t>2026-06-19_19-37-52-670577</t>
  </si>
  <si>
    <t>side_align_complete: side_align_left_done | final camera=left ids=[23, 24, 25, 26] target_pair=[24, 25] target_x=+0.3512 target_y=+0.2701 side_target_offset_x=+0.3560 center_x=+0.3676 center_y=-0.0369 yaw=-178.61deg error_x=-0.0048 yaw_error=+1.39deg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</si>
  <si>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2026-06-19_19-37-54-521766</t>
  </si>
  <si>
    <t>2026-06-19_19-37-57-696032</t>
  </si>
  <si>
    <t>2026-06-19_19-37-57-696501</t>
  </si>
  <si>
    <t>2026-06-19_19-38-12-597358</t>
  </si>
  <si>
    <t>2026-06-19_19-38-14-621851</t>
  </si>
  <si>
    <t>2026-06-19_19-38-14-622689</t>
  </si>
  <si>
    <t>2026-06-19_19-38-24-045490</t>
  </si>
  <si>
    <t>fine_first_estimate | ids=[5, 10] center_x=+0.1363 center_y=-0.0357 yaw=+14.16deg orientation=normal error_x=+0.0038 error_y=-0.0419 yaw_error=+25.16deg target_x=+0.1325 target_y=+0.0062</t>
  </si>
  <si>
    <t>2026-06-19_19-38-24-052211</t>
  </si>
  <si>
    <t>2026-06-19_19-38-24-053774</t>
  </si>
  <si>
    <t>2026-06-19_19-38-32-512038</t>
  </si>
  <si>
    <t>2026-06-19_19-38-32-514167</t>
  </si>
  <si>
    <t>2026-06-19_19-38-34-258366</t>
  </si>
  <si>
    <t>2026-06-19_19-38-36-350985</t>
  </si>
  <si>
    <t>2026-06-19_19-38-38-350411</t>
  </si>
  <si>
    <t>fine_align_under_done | final ids=[3, 12] center_x=+0.1331 center_y=+0.0101 yaw=-13.61deg orientation=normal error_x=+0.0006 error_y=+0.0039 yaw_error=-2.61deg target_x=+0.1325 target_y=+0.0062 tolerance_x=0.0040 tolerance_y=0.0100 tolerance_yaw=3.00deg</t>
  </si>
  <si>
    <t>2026-06-19_19-38-38-350799</t>
  </si>
  <si>
    <t>fine_align_complete: fine_align_under_done | final ids=[3, 12] center_x=+0.1331 center_y=+0.0101 yaw=-13.61deg orientation=normal error_x=+0.0006 error_y=+0.0039 yaw_error=-2.61deg target_x=+0.1325 target_y=+0.0062 tolerance_x=0.0040 tolerance_y=0.0100 tolerance_yaw=3.00deg. Remembered trash_trolley</t>
  </si>
  <si>
    <t>2026-06-19_19-39-00-302124</t>
  </si>
  <si>
    <t>2026-06-19_19-39-02-672828</t>
  </si>
  <si>
    <t>2026-06-19_19-39-24-975461</t>
  </si>
  <si>
    <t>2026-06-19_19-39-25-073179</t>
  </si>
  <si>
    <t>2026-06-19_19-39-31-906698</t>
  </si>
  <si>
    <t>2026-06-19_19-39-31-906831</t>
  </si>
  <si>
    <t>2026-06-19_19-40-48-803938</t>
  </si>
  <si>
    <t>20260619_194048</t>
  </si>
  <si>
    <t>2026-06-19_19-40-48-804463</t>
  </si>
  <si>
    <t>2026-06-19_19-41-46-553829</t>
  </si>
  <si>
    <t>2026-06-19_19-42-30-558745</t>
  </si>
  <si>
    <t>wrong calibration</t>
  </si>
  <si>
    <t>2026-06-19_19-44-01-111642</t>
  </si>
  <si>
    <t>2026-06-19_19-44-33-675109</t>
  </si>
  <si>
    <t>2026-06-19_19-44-33-677466</t>
  </si>
  <si>
    <t>2026-06-19_19-44-33-677673</t>
  </si>
  <si>
    <t>2026-06-19_19-44-44-516015</t>
  </si>
  <si>
    <t>side_align_left_done | final camera=left ids=[23, 24, 25, 26] target_pair=[24, 25] target_x=+0.3573 target_y=+0.2595 side_target_offset_x=+0.3560 center_x=+0.3596 center_y=-0.0476 yaw=+178.75deg error_x=+0.0013 yaw_error=-1.25deg tolerance_x=0.0060 tolerance_yaw=2.00deg</t>
  </si>
  <si>
    <t>2026-06-19_19-44-44-516796</t>
  </si>
  <si>
    <t>side_align_complete: side_align_left_done | final camera=left ids=[23, 24, 25, 26] target_pair=[24, 25] target_x=+0.3573 target_y=+0.2595 side_target_offset_x=+0.3560 center_x=+0.3596 center_y=-0.0476 yaw=+178.75deg error_x=+0.0013 yaw_error=-1.25deg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</si>
  <si>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2026-06-19_19-44-46-255271</t>
  </si>
  <si>
    <t>2026-06-19_19-44-49-754870</t>
  </si>
  <si>
    <t>2026-06-19_19-45-00-335095</t>
  </si>
  <si>
    <t>2026-06-19_19-45-02-506348</t>
  </si>
  <si>
    <t>2026-06-19_19-45-02-506576</t>
  </si>
  <si>
    <t>2026-06-19_19-45-11-855576</t>
  </si>
  <si>
    <t>2026-06-19_19-45-11-857440</t>
  </si>
  <si>
    <t>2026-06-19_19-45-18-229069</t>
  </si>
  <si>
    <t>2026-06-19_19-45-18-231258</t>
  </si>
  <si>
    <t>2026-06-19_19-45-18-231418</t>
  </si>
  <si>
    <t>2026-06-19_19-45-19-820679</t>
  </si>
  <si>
    <t>2026-06-19_19-45-20-519237</t>
  </si>
  <si>
    <t>2026-06-19_19-45-38-548334</t>
  </si>
  <si>
    <t>fine_align_under_done | final ids=[3, 12] center_x=+0.1290 center_y=-0.0004 yaw=-13.84deg orientation=normal error_x=-0.0035 error_y=-0.0066 yaw_error=-2.84deg target_x=+0.1325 target_y=+0.0062 tolerance_x=0.0040 tolerance_y=0.0100 tolerance_yaw=3.00deg</t>
  </si>
  <si>
    <t>2026-06-19_19-45-38-548871</t>
  </si>
  <si>
    <t>fine_align_complete: fine_align_under_done | final ids=[3, 12] center_x=+0.1290 center_y=-0.0004 yaw=-13.84deg orientation=normal error_x=-0.0035 error_y=-0.0066 yaw_error=-2.84deg target_x=+0.1325 target_y=+0.0062 tolerance_x=0.0040 tolerance_y=0.0100 tolerance_yaw=3.00deg. Remembered trash_trolley</t>
  </si>
  <si>
    <t>2026-06-19_19-46-27-607974</t>
  </si>
  <si>
    <t>2026-06-19_19-46-42-212333</t>
  </si>
  <si>
    <t>2026-06-19_19-46-42-219377</t>
  </si>
  <si>
    <t>2026-06-19_19-46-43-794414</t>
  </si>
  <si>
    <t>2026-06-19_19-46-44-483885</t>
  </si>
  <si>
    <t>fine_align_complete: fine_align_under_done | final ids=[3, 12] center_x=+0.1326 center_y=+0.0010 yaw=-13.59deg orientation=normal error_x=+0.0001 error_y=-0.0052 yaw_error=-2.59deg target_x=+0.1325 target_y=+0.0062 tolerance_x=0.0040 tolerance_y=0.0100 tolerance_yaw=3.00deg. Remembered trash_trolley</t>
  </si>
  <si>
    <t>2026-06-19_19-46-44-484621</t>
  </si>
  <si>
    <t>fine_align_under_done | final ids=[3, 12] center_x=+0.1326 center_y=+0.0010 yaw=-13.59deg orientation=normal error_x=+0.0001 error_y=-0.0052 yaw_error=-2.59deg target_x=+0.1325 target_y=+0.0062 tolerance_x=0.0040 tolerance_y=0.0100 tolerance_yaw=3.00deg</t>
  </si>
  <si>
    <t>2026-06-19_19-47-09-464977</t>
  </si>
  <si>
    <t>2026-06-19_19-47-09-674373</t>
  </si>
  <si>
    <t>2026-06-19_19-47-30-738609</t>
  </si>
  <si>
    <t>2026-06-19_19-47-30-818969</t>
  </si>
  <si>
    <t>2026-06-19_19-47-37-744764</t>
  </si>
  <si>
    <t>2026-06-19_19-47-37-744893</t>
  </si>
  <si>
    <t>2026-06-19_19-51-21-553229</t>
  </si>
  <si>
    <t>20260619_195121</t>
  </si>
  <si>
    <t>2026-06-19_19-51-21-553744</t>
  </si>
  <si>
    <t>2026-06-19_19-51-43-550842</t>
  </si>
  <si>
    <t>2026-06-19_19-52-03-246447</t>
  </si>
  <si>
    <t>2026-06-19_19-52-03-246877</t>
  </si>
  <si>
    <t>2026-06-19_19-52-13-456980</t>
  </si>
  <si>
    <t>side_align_complete: side_align_left_done | final camera=left ids=[17, 18, 19, 20] target_pair=[18, 19] target_x=+0.3532 target_y=+0.2814 side_target_offset_x=+0.3560 center_x=+0.3558 center_y=+0.5867 yaw=-179.59deg error_x=-0.0028 yaw_error=+0.41deg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</si>
  <si>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2026-06-19_19-52-13-457187</t>
  </si>
  <si>
    <t>side_align_left_done | final camera=left ids=[17, 18, 19, 20] target_pair=[18, 19] target_x=+0.3532 target_y=+0.2814 side_target_offset_x=+0.3560 center_x=+0.3558 center_y=+0.5867 yaw=-179.59deg error_x=-0.0028 yaw_error=+0.41deg tolerance_x=0.0060 tolerance_yaw=2.00deg</t>
  </si>
  <si>
    <t>2026-06-19_19-52-15-422150</t>
  </si>
  <si>
    <t>2026-06-19_19-52-18-676872</t>
  </si>
  <si>
    <t>2026-06-19_19-52-18-677139</t>
  </si>
  <si>
    <t>2026-06-19_19-52-30-655816</t>
  </si>
  <si>
    <t>2026-06-19_19-52-32-753938</t>
  </si>
  <si>
    <t>2026-06-19_19-52-32-754491</t>
  </si>
  <si>
    <t>2026-06-19_19-52-42-201719</t>
  </si>
  <si>
    <t>2026-06-19_19-52-42-202037</t>
  </si>
  <si>
    <t>2026-06-19_19-52-46-556232</t>
  </si>
  <si>
    <t>2026-06-19_19-52-46-559705</t>
  </si>
  <si>
    <t>2026-06-19_19-52-48-060476</t>
  </si>
  <si>
    <t>2026-06-19_19-52-48-765820</t>
  </si>
  <si>
    <t>2026-06-19_19-53-27-580113</t>
  </si>
  <si>
    <t>2026-06-19_19-53-33-164655</t>
  </si>
  <si>
    <t>2026-06-19_19-53-33-164875</t>
  </si>
  <si>
    <t>2026-06-19_19-53-48-762178</t>
  </si>
  <si>
    <t>2026-06-19_19-53-48-762574</t>
  </si>
  <si>
    <t>2026-06-19_19-53-48-964210</t>
  </si>
  <si>
    <t>2026-06-19_19-53-50-367520</t>
  </si>
  <si>
    <t>2026-06-19_19-54-18-770476</t>
  </si>
  <si>
    <t>fine_align_under_done | final ids=[3, 12] center_x=+0.1378 center_y=+0.0092 yaw=+164.72deg orientation=flipped_180 error_x=+0.0038 error_y=+0.0054 yaw_error=-0.28deg target_x=+0.1340 target_y=+0.0038 tolerance_x=0.0040 tolerance_y=0.0100 tolerance_yaw=3.00deg</t>
  </si>
  <si>
    <t>2026-06-19_19-54-18-771446</t>
  </si>
  <si>
    <t>fine_align_complete: fine_align_under_done | final ids=[3, 12] center_x=+0.1378 center_y=+0.0092 yaw=+164.72deg orientation=flipped_180 error_x=+0.0038 error_y=+0.0054 yaw_error=-0.28deg target_x=+0.1340 target_y=+0.0038 tolerance_x=0.0040 tolerance_y=0.0100 tolerance_yaw=3.00deg. Remembered laundry_trolley</t>
  </si>
  <si>
    <t>2026-06-19_19-54-58-712918</t>
  </si>
  <si>
    <t>docking sucessfull on second try</t>
  </si>
  <si>
    <t>2026-06-19_19-55-18-790508</t>
  </si>
  <si>
    <t>2026-06-19_19-55-45-425740</t>
  </si>
  <si>
    <t>2026-06-19_19-55-45-426091</t>
  </si>
  <si>
    <t>2026-06-19_19-55-52-437352</t>
  </si>
  <si>
    <t>2026-06-19_19-55-52-437527</t>
  </si>
  <si>
    <t>2026-06-19_19-56-43-108025</t>
  </si>
  <si>
    <t>20260619_195643</t>
  </si>
  <si>
    <t>2026-06-19_19-56-43-108683</t>
  </si>
  <si>
    <t>2026-06-19_19-59-24-124759</t>
  </si>
  <si>
    <t>2026-06-19_19-59-40-199239</t>
  </si>
  <si>
    <t>2026-06-19_19-59-40-307632</t>
  </si>
  <si>
    <t>2026-06-19_19-59-40-993158</t>
  </si>
  <si>
    <t>2026-06-19_19-59-51-087618</t>
  </si>
  <si>
    <t>side_align_left_done | final camera=left ids=[16, 17, 18, 19, 20] target_pair=[18, 19] target_x=+0.3586 target_y=+0.2527 side_target_offset_x=+0.3560 center_x=+0.3138 center_y=+0.5576 yaw=-179.38deg error_x=+0.0026 yaw_error=+0.62deg tolerance_x=0.0060 tolerance_yaw=2.00deg</t>
  </si>
  <si>
    <t>2026-06-19_19-59-51-088007</t>
  </si>
  <si>
    <t>side_align_complete: side_align_left_done | final camera=left ids=[16, 17, 18, 19, 20] target_pair=[18, 19] target_x=+0.3586 target_y=+0.2527 side_target_offset_x=+0.3560 center_x=+0.3138 center_y=+0.5576 yaw=-179.38deg error_x=+0.0026 yaw_error=+0.62deg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</si>
  <si>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2026-06-19_19-59-52-828524</t>
  </si>
  <si>
    <t>2026-06-19_19-59-57-480024</t>
  </si>
  <si>
    <t>2026-06-19_20-00-09-636014</t>
  </si>
  <si>
    <t>2026-06-19_20-00-11-846002</t>
  </si>
  <si>
    <t>2026-06-19_20-00-11-847514</t>
  </si>
  <si>
    <t>2026-06-19_20-00-21-254592</t>
  </si>
  <si>
    <t>2026-06-19_20-00-21-256644</t>
  </si>
  <si>
    <t>2026-06-19_20-00-28-945896</t>
  </si>
  <si>
    <t>2026-06-19_20-00-28-946437</t>
  </si>
  <si>
    <t>2026-06-19_20-00-30-534281</t>
  </si>
  <si>
    <t>2026-06-19_20-01-15-551607</t>
  </si>
  <si>
    <t>2026-06-19_20-01-15-552179</t>
  </si>
  <si>
    <t>2026-06-19_20-01-21-579101</t>
  </si>
  <si>
    <t>docking unsucessfull_retry</t>
  </si>
  <si>
    <t>2026-06-19_20-01-27-403439</t>
  </si>
  <si>
    <t>2026-06-19_20-01-27-403856</t>
  </si>
  <si>
    <t>2026-06-19_20-01-28-895446</t>
  </si>
  <si>
    <t>2026-06-19_20-02-00-595019</t>
  </si>
  <si>
    <t>2026-06-19_20-02-14-007367</t>
  </si>
  <si>
    <t>2026-06-19_20-02-14-007730</t>
  </si>
  <si>
    <t>2026-06-19_20-02-52-997405</t>
  </si>
  <si>
    <t>2026-06-19_20-02-52-997886</t>
  </si>
  <si>
    <t>2026-06-19_20-02-54-395714</t>
  </si>
  <si>
    <t>2026-06-19_20-02-55-095346</t>
  </si>
  <si>
    <t>fine_align_complete: fine_align_under_done | final ids=[3, 12] center_x=+0.1343 center_y=+0.0098 yaw=+164.98deg orientation=flipped_180 error_x=+0.0003 error_y=+0.0060 yaw_error=-0.02deg target_x=+0.1340 target_y=+0.0038 tolerance_x=0.0040 tolerance_y=0.0100 tolerance_yaw=3.00deg. Remembered laundry_trolley</t>
  </si>
  <si>
    <t>2026-06-19_20-02-55-095691</t>
  </si>
  <si>
    <t>fine_align_under_done | final ids=[3, 12] center_x=+0.1343 center_y=+0.0098 yaw=+164.98deg orientation=flipped_180 error_x=+0.0003 error_y=+0.0060 yaw_error=-0.02deg target_x=+0.1340 target_y=+0.0038 tolerance_x=0.0040 tolerance_y=0.0100 tolerance_yaw=3.00deg</t>
  </si>
  <si>
    <t>2026-06-19_20-03-11-419305</t>
  </si>
  <si>
    <t>2026-06-19_20-03-28-963968</t>
  </si>
  <si>
    <t>2026-06-19_20-03-35-848538</t>
  </si>
  <si>
    <t>2026-06-19_20-03-35-848672</t>
  </si>
  <si>
    <t>2026-06-19_20-05-20-699418</t>
  </si>
  <si>
    <t>20260619_200520</t>
  </si>
  <si>
    <t>2026-06-19_20-05-20-700088</t>
  </si>
  <si>
    <t>2026-06-19_20-05-31-703901</t>
  </si>
  <si>
    <t>2026-06-19_20-06-09-568244</t>
  </si>
  <si>
    <t>2026-06-19_20-07-10-257292</t>
  </si>
  <si>
    <t>2026-06-19_20-07-10-257559</t>
  </si>
  <si>
    <t>2026-06-19_20-07-10-260134</t>
  </si>
  <si>
    <t>2026-06-19_20-07-42-569537</t>
  </si>
  <si>
    <t>side_align_complete: side_align_left_done | final camera=left ids=[16, 17, 18, 19] target_pair=[18, 19] target_x=+0.3554 target_y=+0.2343 side_target_offset_x=+0.3560 center_x=+0.2401 center_y=+0.5418 yaw=+179.47deg error_x=-0.0006 yaw_error=-0.53deg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</si>
  <si>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2026-06-19_20-07-42-569756</t>
  </si>
  <si>
    <t>side_align_left_done | final camera=left ids=[16, 17, 18, 19] target_pair=[18, 19] target_x=+0.3554 target_y=+0.2343 side_target_offset_x=+0.3560 center_x=+0.2401 center_y=+0.5418 yaw=+179.47deg error_x=-0.0006 yaw_error=-0.53deg tolerance_x=0.0060 tolerance_yaw=2.00deg</t>
  </si>
  <si>
    <t>2026-06-19_20-07-44-443470</t>
  </si>
  <si>
    <t>2026-06-19_20-08-15-184167</t>
  </si>
  <si>
    <t>2026-06-19_20-21-42-349411</t>
  </si>
  <si>
    <t>20260619_202142</t>
  </si>
  <si>
    <t>2026-06-19_20-21-42-349926</t>
  </si>
  <si>
    <t>2026-06-19_20-22-12-527764</t>
  </si>
  <si>
    <t>2026-06-19_20-22-29-939637</t>
  </si>
  <si>
    <t>2026-06-19_20-22-29-942655</t>
  </si>
  <si>
    <t>2026-06-19_20-22-30-341324</t>
  </si>
  <si>
    <t>2026-06-19_20-22-43-466420</t>
  </si>
  <si>
    <t>side_align_left_done | final camera=left ids=[17, 18, 19, 20] target_pair=[18, 19] target_x=+0.3598 target_y=+0.2732 side_target_offset_x=+0.3560 center_x=+0.3645 center_y=+0.5790 yaw=-179.53deg error_x=+0.0038 yaw_error=+0.47deg tolerance_x=0.0060 tolerance_yaw=2.00deg</t>
  </si>
  <si>
    <t>2026-06-19_20-22-43-466790</t>
  </si>
  <si>
    <t>side_align_complete: side_align_left_done | final camera=left ids=[17, 18, 19, 20] target_pair=[18, 19] target_x=+0.3598 target_y=+0.2732 side_target_offset_x=+0.3560 center_x=+0.3645 center_y=+0.5790 yaw=-179.53deg error_x=+0.0038 yaw_error=+0.47deg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</si>
  <si>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2026-06-19_20-22-45-881811</t>
  </si>
  <si>
    <t>2026-06-19_20-22-50-185620</t>
  </si>
  <si>
    <t>2026-06-19_20-23-00-553206</t>
  </si>
  <si>
    <t>2026-06-19_20-23-47-724285</t>
  </si>
  <si>
    <t>2026-06-19_20-23-47-871237</t>
  </si>
  <si>
    <t>2026-06-19_20-23-57-111433</t>
  </si>
  <si>
    <t>2026-06-19_20-23-57-116044</t>
  </si>
  <si>
    <t>2026-06-19_20-24-00-723936</t>
  </si>
  <si>
    <t>2026-06-19_20-24-00-725657</t>
  </si>
  <si>
    <t>2026-06-19_20-24-02-134951</t>
  </si>
  <si>
    <t>2026-06-19_20-24-15-756045</t>
  </si>
  <si>
    <t>2026-06-19_20-24-23-914198</t>
  </si>
  <si>
    <t>fine_align_complete: fine_align_under_done | final ids=[3, 12] center_x=+0.1375 center_y=+0.0072 yaw=+163.89deg orientation=flipped_180 error_x=+0.0035 error_y=+0.0034 yaw_error=-1.11deg target_x=+0.1340 target_y=+0.0038 tolerance_x=0.0040 tolerance_y=0.0100 tolerance_yaw=3.00deg. Remembered laundry_trolley</t>
  </si>
  <si>
    <t>2026-06-19_20-24-23-914423</t>
  </si>
  <si>
    <t>fine_align_under_done | final ids=[3, 12] center_x=+0.1375 center_y=+0.0072 yaw=+163.89deg orientation=flipped_180 error_x=+0.0035 error_y=+0.0034 yaw_error=-1.11deg target_x=+0.1340 target_y=+0.0038 tolerance_x=0.0040 tolerance_y=0.0100 tolerance_yaw=3.00deg</t>
  </si>
  <si>
    <t>2026-06-19_20-24-49-011393</t>
  </si>
  <si>
    <t>2026-06-19_20-25-32-647141</t>
  </si>
  <si>
    <t>2026-06-19_20-25-39-603274</t>
  </si>
  <si>
    <t>2026-06-19_20-25-39-603407</t>
  </si>
  <si>
    <t>2026-06-19_20-27-00-222604</t>
  </si>
  <si>
    <t>20260619_202700</t>
  </si>
  <si>
    <t>ignored due to trolley positioned wrong</t>
  </si>
  <si>
    <t>2026-06-19_20-27-00-223314</t>
  </si>
  <si>
    <t>2026-06-19_20-27-14-979436</t>
  </si>
  <si>
    <t>2026-06-19_20-27-14-981155</t>
  </si>
  <si>
    <t>2026-06-19_20-27-14-981669</t>
  </si>
  <si>
    <t>20260619_202714</t>
  </si>
  <si>
    <t>2026-06-19_20-27-14-981985</t>
  </si>
  <si>
    <t>2026-06-19_20-27-34-086242</t>
  </si>
  <si>
    <t>2026-06-19_20-27-34-087582</t>
  </si>
  <si>
    <t>2026-06-19_20-27-44-621873</t>
  </si>
  <si>
    <t>side_align_complete: side_align_left_done | final camera=left ids=[18, 19, 20, 21] target_pair=[18, 19] target_x=+0.3614 target_y=+0.2879 side_target_offset_x=+0.3560 center_x=+0.4640 center_y=+0.5966 yaw=-178.49deg error_x=+0.0054 yaw_error=+1.51deg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</si>
  <si>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2026-06-19_20-27-44-622165</t>
  </si>
  <si>
    <t>side_align_left_done | final camera=left ids=[18, 19, 20, 21] target_pair=[18, 19] target_x=+0.3614 target_y=+0.2879 side_target_offset_x=+0.3560 center_x=+0.4640 center_y=+0.5966 yaw=-178.49deg error_x=+0.0054 yaw_error=+1.51deg tolerance_x=0.0060 tolerance_yaw=2.00deg</t>
  </si>
  <si>
    <t>2026-06-19_20-27-46-619201</t>
  </si>
  <si>
    <t>2026-06-19_20-27-50-118388</t>
  </si>
  <si>
    <t>2026-06-19_20-28-00-487593</t>
  </si>
  <si>
    <t>2026-06-19_20-28-02-870080</t>
  </si>
  <si>
    <t>2026-06-19_20-28-02-871107</t>
  </si>
  <si>
    <t>2026-06-19_20-28-12-419635</t>
  </si>
  <si>
    <t>2026-06-19_20-28-12-419891</t>
  </si>
  <si>
    <t>2026-06-19_20-28-54-407234</t>
  </si>
  <si>
    <t>drive_under_unsucessfull_wheel_in_wrong_direction</t>
  </si>
  <si>
    <t>2026-06-19_20-29-48-316220</t>
  </si>
  <si>
    <t>2026-06-19_20-30-24-299568</t>
  </si>
  <si>
    <t>2026-06-19_20-31-13-352617</t>
  </si>
  <si>
    <t>2026-06-19_20-31-13-455167</t>
  </si>
  <si>
    <t>2026-06-19_20-31-58-446957</t>
  </si>
  <si>
    <t>2026-06-19_20-31-58-457643</t>
  </si>
  <si>
    <t>2026-06-19_20-32-06-643516</t>
  </si>
  <si>
    <t>2026-06-19_20-32-06-643721</t>
  </si>
  <si>
    <t>2026-06-19_20-32-07-048545</t>
  </si>
  <si>
    <t>2026-06-19_20-32-11-357449</t>
  </si>
  <si>
    <t>side_align_complete: side_align_left_done | final camera=left ids=[18, 19, 20, 21] target_pair=[18, 19] target_x=+0.3529 target_y=+0.3072 side_target_offset_x=+0.3560 center_x=+0.4567 center_y=+0.6123 yaw=+179.97deg error_x=-0.0031 yaw_error=-0.03deg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</si>
  <si>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2026-06-19_20-32-11-357700</t>
  </si>
  <si>
    <t>side_align_left_done | final camera=left ids=[18, 19, 20, 21] target_pair=[18, 19] target_x=+0.3529 target_y=+0.3072 side_target_offset_x=+0.3560 center_x=+0.4567 center_y=+0.6123 yaw=+179.97deg error_x=-0.0031 yaw_error=-0.03deg tolerance_x=0.0060 tolerance_yaw=2.00deg</t>
  </si>
  <si>
    <t>2026-06-19_20-32-20-144330</t>
  </si>
  <si>
    <t>2026-06-19_20-32-51-543707</t>
  </si>
  <si>
    <t>2026-06-19_20-32-54-058153</t>
  </si>
  <si>
    <t>2026-06-19_20-32-54-140928</t>
  </si>
  <si>
    <t>2026-06-19_20-33-03-422018</t>
  </si>
  <si>
    <t>2026-06-19_20-33-03-422228</t>
  </si>
  <si>
    <t>2026-06-19_20-33-51-968307</t>
  </si>
  <si>
    <t>2026-06-19_20-34-13-729475</t>
  </si>
  <si>
    <t>2026-06-19_20-34-30-195184</t>
  </si>
  <si>
    <t>2026-06-19_20-34-30-196842</t>
  </si>
  <si>
    <t>2026-06-19_20-34-37-394107</t>
  </si>
  <si>
    <t>side_align_complete: side_align_left_done | final camera=left ids=[17, 18, 19, 20] target_pair=[18, 19] target_x=+0.3553 target_y=+0.2694 side_target_offset_x=+0.3560 center_x=+0.3661 center_y=+0.5753 yaw=+179.50deg error_x=-0.0007 yaw_error=-0.50deg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</si>
  <si>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2026-06-19_20-34-37-394502</t>
  </si>
  <si>
    <t>side_align_left_done | final camera=left ids=[17, 18, 19, 20] target_pair=[18, 19] target_x=+0.3553 target_y=+0.2694 side_target_offset_x=+0.3560 center_x=+0.3661 center_y=+0.5753 yaw=+179.50deg error_x=-0.0007 yaw_error=-0.50deg tolerance_x=0.0060 tolerance_yaw=2.00deg</t>
  </si>
  <si>
    <t>2026-06-19_20-34-44-030987</t>
  </si>
  <si>
    <t>2026-06-19_20-34-57-872921</t>
  </si>
  <si>
    <t>2026-06-19_20-34-57-886419</t>
  </si>
  <si>
    <t>2026-06-19_20-34-58-177541</t>
  </si>
  <si>
    <t>2026-06-19_20-35-07-349516</t>
  </si>
  <si>
    <t>2026-06-19_20-35-07-356960</t>
  </si>
  <si>
    <t>2026-06-19_20-35-16-414105</t>
  </si>
  <si>
    <t>2026-06-19_20-35-16-509436</t>
  </si>
  <si>
    <t>2026-06-19_20-35-18-214622</t>
  </si>
  <si>
    <t>2026-06-19_20-35-22-511027</t>
  </si>
  <si>
    <t>fine_align_complete: fine_align_under_done | final ids=[3, 12] center_x=+0.1301 center_y=+0.0067 yaw=+163.99deg orientation=flipped_180 error_x=-0.0039 error_y=+0.0029 yaw_error=-1.01deg target_x=+0.1340 target_y=+0.0038 tolerance_x=0.0040 tolerance_y=0.0100 tolerance_yaw=3.00deg. Remembered laundry_trolley</t>
  </si>
  <si>
    <t>2026-06-19_20-35-22-518274</t>
  </si>
  <si>
    <t>fine_align_under_done | final ids=[3, 12] center_x=+0.1301 center_y=+0.0067 yaw=+163.99deg orientation=flipped_180 error_x=-0.0039 error_y=+0.0029 yaw_error=-1.01deg target_x=+0.1340 target_y=+0.0038 tolerance_x=0.0040 tolerance_y=0.0100 tolerance_yaw=3.00deg</t>
  </si>
  <si>
    <t>2026-06-19_20-36-12-535965</t>
  </si>
  <si>
    <t>2026-06-19_20-36-17-190256</t>
  </si>
  <si>
    <t>2026-06-19_20-36-17-190671</t>
  </si>
  <si>
    <t>2026-06-19_20-36-18-824959</t>
  </si>
  <si>
    <t>2026-06-19_20-36-24-721850</t>
  </si>
  <si>
    <t>fine_align_complete: fine_align_under_done | final ids=[3, 12] center_x=+0.1301 center_y=+0.0054 yaw=+164.90deg orientation=flipped_180 error_x=-0.0039 error_y=+0.0016 yaw_error=-0.10deg target_x=+0.1340 target_y=+0.0038 tolerance_x=0.0040 tolerance_y=0.0100 tolerance_yaw=3.00deg. Remembered laundry_trolley</t>
  </si>
  <si>
    <t>2026-06-19_20-36-24-722095</t>
  </si>
  <si>
    <t>fine_align_under_done | final ids=[3, 12] center_x=+0.1301 center_y=+0.0054 yaw=+164.90deg orientation=flipped_180 error_x=-0.0039 error_y=+0.0016 yaw_error=-0.10deg target_x=+0.1340 target_y=+0.0038 tolerance_x=0.0040 tolerance_y=0.0100 tolerance_yaw=3.00deg</t>
  </si>
  <si>
    <t>2026-06-19_20-37-22-519804</t>
  </si>
  <si>
    <t>2026-06-19_20-37-38-284643</t>
  </si>
  <si>
    <t>2026-06-19_20-37-45-219343</t>
  </si>
  <si>
    <t>2026-06-19_20-37-45-219521</t>
  </si>
  <si>
    <t>2026-06-19_20-40-30-711192</t>
  </si>
  <si>
    <t>20260619_204030</t>
  </si>
  <si>
    <t>2026-06-19_20-40-30-711718</t>
  </si>
  <si>
    <t>2026-06-19_20-40-47-821724</t>
  </si>
  <si>
    <t>2026-06-19_20-41-03-568572</t>
  </si>
  <si>
    <t>2026-06-19_20-41-03-576841</t>
  </si>
  <si>
    <t>2026-06-19_20-41-03-767598</t>
  </si>
  <si>
    <t>2026-06-19_20-41-12-333357</t>
  </si>
  <si>
    <t>side_align_left_done | final camera=left ids=[16, 17, 18, 19, 20] target_pair=[18, 19] target_x=+0.3566 target_y=+0.2528 side_target_offset_x=+0.3560 center_x=+0.3199 center_y=+0.5591 yaw=+179.18deg error_x=+0.0006 yaw_error=-0.82deg tolerance_x=0.0060 tolerance_yaw=2.00deg</t>
  </si>
  <si>
    <t>2026-06-19_20-41-12-333952</t>
  </si>
  <si>
    <t>side_align_complete: side_align_left_done | final camera=left ids=[16, 17, 18, 19, 20] target_pair=[18, 19] target_x=+0.3566 target_y=+0.2528 side_target_offset_x=+0.3560 center_x=+0.3199 center_y=+0.5591 yaw=+179.18deg error_x=+0.0006 yaw_error=-0.82deg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</si>
  <si>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2026-06-19_20-41-14-015482</t>
  </si>
  <si>
    <t>2026-06-19_20-41-19-596837</t>
  </si>
  <si>
    <t>2026-06-19_20-41-30-875171</t>
  </si>
  <si>
    <t>2026-06-19_20-41-33-633286</t>
  </si>
  <si>
    <t>2026-06-19_20-41-33-633795</t>
  </si>
  <si>
    <t>2026-06-19_20-41-33-941180</t>
  </si>
  <si>
    <t>2026-06-19_20-41-43-088400</t>
  </si>
  <si>
    <t>2026-06-19_20-41-43-088689</t>
  </si>
  <si>
    <t>2026-06-19_20-41-57-607534</t>
  </si>
  <si>
    <t>2026-06-19_20-42-52-197026</t>
  </si>
  <si>
    <t>2026-06-19_20-43-00-764531</t>
  </si>
  <si>
    <t>2026-06-19_20-43-23-757410</t>
  </si>
  <si>
    <t>2026-06-19_20-43-46-119332</t>
  </si>
  <si>
    <t>2026-06-19_20-43-46-119609</t>
  </si>
  <si>
    <t>2026-06-19_20-43-55-999283</t>
  </si>
  <si>
    <t>side_align_left_done | final camera=left ids=[17, 18, 19, 20] target_pair=[18, 19] target_x=+0.3576 target_y=+0.2552 side_target_offset_x=+0.3560 center_x=+0.3645 center_y=+0.5608 yaw=-179.81deg error_x=+0.0016 yaw_error=+0.19deg tolerance_x=0.0060 tolerance_yaw=2.00deg</t>
  </si>
  <si>
    <t>2026-06-19_20-43-56-108924</t>
  </si>
  <si>
    <t>side_align_complete: side_align_left_done | final camera=left ids=[17, 18, 19, 20] target_pair=[18, 19] target_x=+0.3576 target_y=+0.2552 side_target_offset_x=+0.3560 center_x=+0.3645 center_y=+0.5608 yaw=-179.81deg error_x=+0.0016 yaw_error=+0.19deg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</si>
  <si>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2026-06-19_20-44-04-069731</t>
  </si>
  <si>
    <t>2026-06-19_20-44-16-102147</t>
  </si>
  <si>
    <t>2026-06-19_20-44-19-022947</t>
  </si>
  <si>
    <t>2026-06-19_20-44-19-102346</t>
  </si>
  <si>
    <t>2026-06-19_20-44-19-304713</t>
  </si>
  <si>
    <t>2026-06-19_20-44-28-441500</t>
  </si>
  <si>
    <t>2026-06-19_20-44-28-441693</t>
  </si>
  <si>
    <t>2026-06-19_20-44-37-740527</t>
  </si>
  <si>
    <t>2026-06-19_20-44-37-740785</t>
  </si>
  <si>
    <t>2026-06-19_20-44-39-143013</t>
  </si>
  <si>
    <t>2026-06-19_20-45-24-236399</t>
  </si>
  <si>
    <t>2026-06-19_20-45-24-239306</t>
  </si>
  <si>
    <t>2026-06-19_20-45-31-459847</t>
  </si>
  <si>
    <t>2026-06-19_20-45-40-517467</t>
  </si>
  <si>
    <t>2026-06-19_20-45-55-083452</t>
  </si>
  <si>
    <t>2026-06-19_20-45-55-083658</t>
  </si>
  <si>
    <t>2026-06-19_20-45-56-873569</t>
  </si>
  <si>
    <t>2026-06-19_20-46-41-704463</t>
  </si>
  <si>
    <t>2026-06-19_20-46-41-704666</t>
  </si>
  <si>
    <t>2026-06-19_20-47-03-367321</t>
  </si>
  <si>
    <t>2026-06-19_20-47-03-367688</t>
  </si>
  <si>
    <t>2026-06-19_20-47-04-942053</t>
  </si>
  <si>
    <t>2026-06-19_20-47-50-060497</t>
  </si>
  <si>
    <t>2026-06-19_20-47-50-144541</t>
  </si>
  <si>
    <t>2026-06-19_20-49-17-067005</t>
  </si>
  <si>
    <t>2026-06-19_20-49-17-067335</t>
  </si>
  <si>
    <t>2026-06-19_20-49-18-371258</t>
  </si>
  <si>
    <t>2026-06-19_20-49-44-351706</t>
  </si>
  <si>
    <t>fine_align_under_done | final ids=[3, 12] center_x=+0.1377 center_y=+0.0085 yaw=+164.09deg orientation=flipped_180 error_x=+0.0037 error_y=+0.0047 yaw_error=-0.91deg target_x=+0.1340 target_y=+0.0038 tolerance_x=0.0040 tolerance_y=0.0100 tolerance_yaw=3.00deg</t>
  </si>
  <si>
    <t>2026-06-19_20-49-44-352428</t>
  </si>
  <si>
    <t>fine_align_complete: fine_align_under_done | final ids=[3, 12] center_x=+0.1377 center_y=+0.0085 yaw=+164.09deg orientation=flipped_180 error_x=+0.0037 error_y=+0.0047 yaw_error=-0.91deg target_x=+0.1340 target_y=+0.0038 tolerance_x=0.0040 tolerance_y=0.0100 tolerance_yaw=3.00deg. Remembered laundry_trolley</t>
  </si>
  <si>
    <t>2026-06-19_20-50-22-233607</t>
  </si>
  <si>
    <t>2026-06-19_20-50-22-523480</t>
  </si>
  <si>
    <t>2026-06-19_20-51-10-194259</t>
  </si>
  <si>
    <t>2026-06-19_20-51-10-491423</t>
  </si>
  <si>
    <t>2026-06-19_20-51-17-211036</t>
  </si>
  <si>
    <t>2026-06-19_20-51-17-211177</t>
  </si>
  <si>
    <t>2026-06-19_20-52-59-759379</t>
  </si>
  <si>
    <t>20260619_205259</t>
  </si>
  <si>
    <t>2026-06-19_20-52-59-759858</t>
  </si>
  <si>
    <t>2026-06-19_20-53-25-871095</t>
  </si>
  <si>
    <t>2026-06-19_20-53-42-038139</t>
  </si>
  <si>
    <t>2026-06-19_20-53-42-045244</t>
  </si>
  <si>
    <t>2026-06-19_20-53-54-229233</t>
  </si>
  <si>
    <t>side_align_left_done | final camera=left ids=[22, 23, 24, 25, 26] target_pair=[24, 25] target_x=+0.3537 target_y=+0.2590 side_target_offset_x=+0.3560 center_x=+0.3166 center_y=-0.0490 yaw=-179.61deg error_x=-0.0023 yaw_error=+0.39deg tolerance_x=0.0060 tolerance_yaw=2.00deg</t>
  </si>
  <si>
    <t>2026-06-19_20-53-54-229791</t>
  </si>
  <si>
    <t>side_align_complete: side_align_left_done | final camera=left ids=[22, 23, 24, 25, 26] target_pair=[24, 25] target_x=+0.3537 target_y=+0.2590 side_target_offset_x=+0.3560 center_x=+0.3166 center_y=-0.0490 yaw=-179.61deg error_x=-0.0023 yaw_error=+0.39deg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</si>
  <si>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2026-06-19_20-53-56-212814</t>
  </si>
  <si>
    <t>2026-06-19_20-54-01-266294</t>
  </si>
  <si>
    <t>2026-06-19_20-54-01-573256</t>
  </si>
  <si>
    <t>2026-06-19_20-54-10-319451</t>
  </si>
  <si>
    <t>2026-06-19_20-54-13-403197</t>
  </si>
  <si>
    <t>2026-06-19_20-54-13-403618</t>
  </si>
  <si>
    <t>2026-06-19_20-54-22-421744</t>
  </si>
  <si>
    <t>2026-06-19_20-54-22-421946</t>
  </si>
  <si>
    <t>2026-06-19_20-54-26-276661</t>
  </si>
  <si>
    <t>2026-06-19_20-54-26-277823</t>
  </si>
  <si>
    <t>2026-06-19_20-54-28-078874</t>
  </si>
  <si>
    <t>2026-06-19_20-54-48-783622</t>
  </si>
  <si>
    <t>fine_align_under_done | final ids=[3, 12] center_x=+0.1285 center_y=-0.0007 yaw=-13.22deg orientation=normal error_x=-0.0040 error_y=-0.0069 yaw_error=-2.22deg target_x=+0.1325 target_y=+0.0062 tolerance_x=0.0040 tolerance_y=0.0100 tolerance_yaw=3.00deg</t>
  </si>
  <si>
    <t>2026-06-19_20-54-48-784126</t>
  </si>
  <si>
    <t>fine_align_complete: fine_align_under_done | final ids=[3, 12] center_x=+0.1285 center_y=-0.0007 yaw=-13.22deg orientation=normal error_x=-0.0040 error_y=-0.0069 yaw_error=-2.22deg target_x=+0.1325 target_y=+0.0062 tolerance_x=0.0040 tolerance_y=0.0100 tolerance_yaw=3.00deg. Remembered trash_trolley</t>
  </si>
  <si>
    <t>2026-06-19_20-55-42-732406</t>
  </si>
  <si>
    <t>2026-06-19_20-55-42-732639</t>
  </si>
  <si>
    <t>2026-06-19_20-55-44-431383</t>
  </si>
  <si>
    <t>2026-06-19_20-56-27-543202</t>
  </si>
  <si>
    <t>2026-06-19_20-56-27-651768</t>
  </si>
  <si>
    <t>2026-06-19_20-56-29-049237</t>
  </si>
  <si>
    <t>2026-06-19_20-57-14-137562</t>
  </si>
  <si>
    <t>2026-06-19_20-57-14-139522</t>
  </si>
  <si>
    <t>2026-06-19_20-58-17-566828</t>
  </si>
  <si>
    <t>2026-06-19_20-59-08-491749</t>
  </si>
  <si>
    <t>2026-06-19_20-59-08-493761</t>
  </si>
  <si>
    <t>2026-06-19_20-59-14-282421</t>
  </si>
  <si>
    <t>side_align_left_done | final camera=left ids=[22, 23, 24, 25, 26] target_pair=[24, 25] target_x=+0.3564 target_y=+0.2619 side_target_offset_x=+0.3560 center_x=+0.3230 center_y=-0.0472 yaw=-178.33deg error_x=+0.0004 yaw_error=+1.67deg tolerance_x=0.0060 tolerance_yaw=2.00deg</t>
  </si>
  <si>
    <t>2026-06-19_20-59-14-284085</t>
  </si>
  <si>
    <t>side_align_complete: side_align_left_done | final camera=left ids=[22, 23, 24, 25, 26] target_pair=[24, 25] target_x=+0.3564 target_y=+0.2619 side_target_offset_x=+0.3560 center_x=+0.3230 center_y=-0.0472 yaw=-178.33deg error_x=+0.0004 yaw_error=+1.67deg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</si>
  <si>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2026-06-19_20-59-24-727875</t>
  </si>
  <si>
    <t>2026-06-19_20-59-40-292956</t>
  </si>
  <si>
    <t>2026-06-19_20-59-40-293822</t>
  </si>
  <si>
    <t>2026-06-19_20-59-40-488606</t>
  </si>
  <si>
    <t>2026-06-19_20-59-49-655631</t>
  </si>
  <si>
    <t>2026-06-19_20-59-49-657631</t>
  </si>
  <si>
    <t>2026-06-19_20-59-58-430652</t>
  </si>
  <si>
    <t>2026-06-19_20-59-58-431025</t>
  </si>
  <si>
    <t>2026-06-19_20-59-59-991592</t>
  </si>
  <si>
    <t>2026-06-19_21-00-45-287318</t>
  </si>
  <si>
    <t>2026-06-19_21-00-45-287774</t>
  </si>
  <si>
    <t>2026-06-19_21-01-30-988348</t>
  </si>
  <si>
    <t>lost_signal_to_rear_camera</t>
  </si>
  <si>
    <t>2026-06-19_21-01-47-008649</t>
  </si>
  <si>
    <t>restarting_aruko_node</t>
  </si>
  <si>
    <t>2026-06-19_21-02-33-121020</t>
  </si>
  <si>
    <t>2026-06-19_21-02-33-121229</t>
  </si>
  <si>
    <t>2026-06-19_21-02-34-714562</t>
  </si>
  <si>
    <t>2026-06-19_21-03-19-789031</t>
  </si>
  <si>
    <t>2026-06-19_21-03-19-789270</t>
  </si>
  <si>
    <t>2026-06-19_21-04-28-763873</t>
  </si>
  <si>
    <t>lost_rear_camera_restarting_robot</t>
  </si>
  <si>
    <t>2026-06-19_21-24-29-311493</t>
  </si>
  <si>
    <t>2026-06-19_21-49-29-300255</t>
  </si>
  <si>
    <t>20260619_214929</t>
  </si>
  <si>
    <t>2026-06-19_21-49-29-300787</t>
  </si>
  <si>
    <t>2026-06-19_21-49-31-305605</t>
  </si>
  <si>
    <t>2026-06-19_21-49-31-305842</t>
  </si>
  <si>
    <t>2026-06-19_21-49-40-790244</t>
  </si>
  <si>
    <t>2026-06-19_21-49-40-790754</t>
  </si>
  <si>
    <t>2026-06-19_21-50-05-266490</t>
  </si>
  <si>
    <t>drive_under_unsucessfull_</t>
  </si>
  <si>
    <t>2026-06-19_21-51-38-131358</t>
  </si>
  <si>
    <t>2026-06-19_21-51-48-692456</t>
  </si>
  <si>
    <t>2026-06-19_21-52-07-138315</t>
  </si>
  <si>
    <t>2026-06-19_21-52-07-138508</t>
  </si>
  <si>
    <t>2026-06-19_21-52-07-542393</t>
  </si>
  <si>
    <t>2026-06-19_21-52-14-981568</t>
  </si>
  <si>
    <t>side_align_left_done | final camera=left ids=[16, 17, 18, 19, 20] target_pair=[18, 19] target_x=+0.3617 target_y=+0.2533 side_target_offset_x=+0.3560 center_x=+0.3362 center_y=+0.5606 yaw=+178.02deg error_x=+0.0057 yaw_error=-1.98deg tolerance_x=0.0060 tolerance_yaw=2.00deg</t>
  </si>
  <si>
    <t>2026-06-19_21-52-14-982116</t>
  </si>
  <si>
    <t>side_align_complete: side_align_left_done | final camera=left ids=[16, 17, 18, 19, 20] target_pair=[18, 19] target_x=+0.3617 target_y=+0.2533 side_target_offset_x=+0.3560 center_x=+0.3362 center_y=+0.5606 yaw=+178.02deg error_x=+0.0057 yaw_error=-1.98deg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</si>
  <si>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2026-06-19_21-52-16-984549</t>
  </si>
  <si>
    <t>2026-06-19_21-52-24-314011</t>
  </si>
  <si>
    <t>2026-06-19_21-52-32-394677</t>
  </si>
  <si>
    <t>2026-06-19_21-52-34-388458</t>
  </si>
  <si>
    <t>2026-06-19_21-52-34-388822</t>
  </si>
  <si>
    <t>2026-06-19_21-52-43-844273</t>
  </si>
  <si>
    <t>2026-06-19_21-52-43-844684</t>
  </si>
  <si>
    <t>2026-06-19_21-52-49-739413</t>
  </si>
  <si>
    <t>2026-06-19_21-52-49-739648</t>
  </si>
  <si>
    <t>2026-06-19_21-52-51-351424</t>
  </si>
  <si>
    <t>2026-06-19_21-53-18-496441</t>
  </si>
  <si>
    <t>fine_align_under_done | final ids=[3, 12] center_x=+0.1300 center_y=-0.0029 yaw=+167.00deg orientation=flipped_180 error_x=-0.0040 error_y=-0.0067 yaw_error=+2.00deg target_x=+0.1340 target_y=+0.0038 tolerance_x=0.0040 tolerance_y=0.0100 tolerance_yaw=3.00deg</t>
  </si>
  <si>
    <t>2026-06-19_21-53-18-496870</t>
  </si>
  <si>
    <t>fine_align_complete: fine_align_under_done | final ids=[3, 12] center_x=+0.1300 center_y=-0.0029 yaw=+167.00deg orientation=flipped_180 error_x=-0.0040 error_y=-0.0067 yaw_error=+2.00deg target_x=+0.1340 target_y=+0.0038 tolerance_x=0.0040 tolerance_y=0.0100 tolerance_yaw=3.00deg. Remembered trash_trolley</t>
  </si>
  <si>
    <t>2026-06-19_21-53-41-332432</t>
  </si>
  <si>
    <t>2026-06-19_21-53-43-432517</t>
  </si>
  <si>
    <t>2026-06-19_21-54-10-762447</t>
  </si>
  <si>
    <t>2026-06-19_21-54-17-776219</t>
  </si>
  <si>
    <t>2026-06-19_21-54-17-776412</t>
  </si>
  <si>
    <t>2026-06-19_21-56-44-505990</t>
  </si>
  <si>
    <t>20260619_215644</t>
  </si>
  <si>
    <t>2026-06-19_21-56-44-506572</t>
  </si>
  <si>
    <t>2026-06-19_21-56-56-535880</t>
  </si>
  <si>
    <t>2026-06-19_21-56-56-536317</t>
  </si>
  <si>
    <t>2026-06-19_21-56-56-537064</t>
  </si>
  <si>
    <t>20260619_215656</t>
  </si>
  <si>
    <t>2026-06-19_21-56-56-537572</t>
  </si>
  <si>
    <t>2026-06-19_21-57-15-454015</t>
  </si>
  <si>
    <t>2026-06-19_21-57-15-456985</t>
  </si>
  <si>
    <t>2026-06-19_21-57-15-549697</t>
  </si>
  <si>
    <t>2026-06-19_21-57-23-088982</t>
  </si>
  <si>
    <t>side_align_left_done | final camera=left ids=[23, 24, 25, 26] target_pair=[24, 25] target_x=+0.3582 target_y=+0.2644 side_target_offset_x=+0.3560 center_x=+0.3739 center_y=-0.0427 yaw=-179.47deg error_x=+0.0022 yaw_error=+0.53deg tolerance_x=0.0060 tolerance_yaw=2.00deg</t>
  </si>
  <si>
    <t>2026-06-19_21-57-23-187545</t>
  </si>
  <si>
    <t>side_align_complete: side_align_left_done | final camera=left ids=[23, 24, 25, 26] target_pair=[24, 25] target_x=+0.3582 target_y=+0.2644 side_target_offset_x=+0.3560 center_x=+0.3739 center_y=-0.0427 yaw=-179.47deg error_x=+0.0022 yaw_error=+0.53deg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</si>
  <si>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2026-06-19_21-57-24-893404</t>
  </si>
  <si>
    <t>2026-06-19_21-57-32-948009</t>
  </si>
  <si>
    <t>2026-06-19_21-57-50-158753</t>
  </si>
  <si>
    <t>2026-06-19_21-57-52-156326</t>
  </si>
  <si>
    <t>2026-06-19_21-57-52-156842</t>
  </si>
  <si>
    <t>2026-06-19_21-58-01-641869</t>
  </si>
  <si>
    <t>2026-06-19_21-58-01-642316</t>
  </si>
  <si>
    <t>2026-06-19_21-58-08-111457</t>
  </si>
  <si>
    <t>2026-06-19_21-58-08-111700</t>
  </si>
  <si>
    <t>2026-06-19_21-58-08-112022</t>
  </si>
  <si>
    <t>2026-06-19_21-58-09-715484</t>
  </si>
  <si>
    <t>2026-06-19_21-58-50-428102</t>
  </si>
  <si>
    <t>2026-06-19_21-58-50-434616</t>
  </si>
  <si>
    <t>2026-06-19_21-58-51-927551</t>
  </si>
  <si>
    <t>2026-06-19_21-59-36-989589</t>
  </si>
  <si>
    <t>2026-06-19_21-59-36-990105</t>
  </si>
  <si>
    <t>2026-06-19_22-00-56-731684</t>
  </si>
  <si>
    <t>lost_rear_camera_restart_aruco_node</t>
  </si>
  <si>
    <t>2026-06-19_22-01-13-716989</t>
  </si>
  <si>
    <t>2026-06-19_22-01-13-717547</t>
  </si>
  <si>
    <t>2026-06-19_22-01-15-217318</t>
  </si>
  <si>
    <t>2026-06-19_22-02-00-245396</t>
  </si>
  <si>
    <t>2026-06-19_22-02-00-246248</t>
  </si>
  <si>
    <t>2026-06-19_22-02-03-457146</t>
  </si>
  <si>
    <t>lost_rear_camera_again_stoped_testing for full trolleys</t>
  </si>
  <si>
    <t>2026-06-19_22-04-20-622074</t>
  </si>
  <si>
    <t>2026-06-19_22-05-56-122340</t>
  </si>
  <si>
    <t>2026-06-19_22-06-20-781814</t>
  </si>
  <si>
    <t>2026-06-19_22-07-04-603610</t>
  </si>
  <si>
    <t>2026-06-19_22-07-04-603807</t>
  </si>
  <si>
    <t>2026-06-19_22-07-16-250551</t>
  </si>
  <si>
    <t>side_align_left_done | final camera=left ids=[23, 24, 25, 26] target_pair=[24, 25] target_x=+0.3547 target_y=+0.2638 side_target_offset_x=+0.3560 center_x=+0.3735 center_y=-0.0429 yaw=-178.86deg error_x=-0.0013 yaw_error=+1.14deg tolerance_x=0.0060 tolerance_yaw=2.00deg</t>
  </si>
  <si>
    <t>2026-06-19_22-07-16-252367</t>
  </si>
  <si>
    <t>side_align_complete: side_align_left_done | final camera=left ids=[23, 24, 25, 26] target_pair=[24, 25] target_x=+0.3547 target_y=+0.2638 side_target_offset_x=+0.3560 center_x=+0.3735 center_y=-0.0429 yaw=-178.86deg error_x=-0.0013 yaw_error=+1.14deg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</si>
  <si>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2026-06-19_22-07-18-343053</t>
  </si>
  <si>
    <t>empty_trolley</t>
  </si>
  <si>
    <t>{"classes": ["empty_trolley"]}</t>
  </si>
  <si>
    <t>2026-06-19_22-07-18-344914</t>
  </si>
  <si>
    <t>WARNING: empty_trolley_detected via live_yolov8_topic. Sent charging goal</t>
  </si>
  <si>
    <t>2026-06-19_22-07-36-198677</t>
  </si>
  <si>
    <t>2026-06-19_22-08-26-727114</t>
  </si>
  <si>
    <t>2026-06-19_22-09-28-320054</t>
  </si>
  <si>
    <t>phase=returning_to_charging</t>
  </si>
  <si>
    <t>2026-06-19_22-12-58-852032</t>
  </si>
  <si>
    <t>2026-06-19_22-13-38-734064</t>
  </si>
  <si>
    <t>2026-06-19_22-16-36-032190</t>
  </si>
  <si>
    <t>2026-06-19_22-27-48-238385</t>
  </si>
  <si>
    <t>20260619_222748</t>
  </si>
  <si>
    <t>2026-06-19_22-27-48-238893</t>
  </si>
  <si>
    <t>2026-06-19_22-28-09-244085</t>
  </si>
  <si>
    <t>2026-06-19_22-28-53-252874</t>
  </si>
  <si>
    <t>2026-06-19_22-29-04-301120</t>
  </si>
  <si>
    <t>2026-06-19_22-29-24-314964</t>
  </si>
  <si>
    <t>2026-06-19_22-29-24-315208</t>
  </si>
  <si>
    <t>2026-06-19_22-29-45-072809</t>
  </si>
  <si>
    <t>side_align_complete: side_align_left_done | final camera=left ids=[22, 23, 24, 25, 26] target_pair=[24, 25] target_x=+0.3594 target_y=+0.2449 side_target_offset_x=+0.3560 center_x=+0.3170 center_y=-0.0644 yaw=-179.56deg error_x=+0.0034 yaw_error=+0.44deg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</si>
  <si>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2026-06-19_22-29-45-073018</t>
  </si>
  <si>
    <t>side_align_left_done | final camera=left ids=[22, 23, 24, 25, 26] target_pair=[24, 25] target_x=+0.3594 target_y=+0.2449 side_target_offset_x=+0.3560 center_x=+0.3170 center_y=-0.0644 yaw=-179.56deg error_x=+0.0034 yaw_error=+0.44deg tolerance_x=0.0060 tolerance_yaw=2.00deg</t>
  </si>
  <si>
    <t>2026-06-19_22-29-46-798765</t>
  </si>
  <si>
    <t>2026-06-19_22-29-54-725244</t>
  </si>
  <si>
    <t>2026-06-19_22-31-17-624571</t>
  </si>
  <si>
    <t>2026-06-19_22-31-34-516156</t>
  </si>
  <si>
    <t>2026-06-19_22-31-34-516505</t>
  </si>
  <si>
    <t>2026-06-19_22-31-42-652889</t>
  </si>
  <si>
    <t>side_align_left_done | final camera=left ids=[23, 24, 25, 26] target_pair=[24, 25] target_x=+0.3555 target_y=+0.2652 side_target_offset_x=+0.3560 center_x=+0.3639 center_y=-0.0418 yaw=-179.94deg error_x=-0.0005 yaw_error=+0.06deg tolerance_x=0.0060 tolerance_yaw=2.00deg</t>
  </si>
  <si>
    <t>2026-06-19_22-31-42-742880</t>
  </si>
  <si>
    <t>side_align_complete: side_align_left_done | final camera=left ids=[23, 24, 25, 26] target_pair=[24, 25] target_x=+0.3555 target_y=+0.2652 side_target_offset_x=+0.3560 center_x=+0.3639 center_y=-0.0418 yaw=-179.94deg error_x=-0.0005 yaw_error=+0.06deg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</si>
  <si>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2026-06-19_22-31-48-030398</t>
  </si>
  <si>
    <t>2026-06-19_22-33-09-127768</t>
  </si>
  <si>
    <t>2026-06-19_22-33-35-752900</t>
  </si>
  <si>
    <t>2026-06-19_22-33-35-830566</t>
  </si>
  <si>
    <t>2026-06-19_22-34-04-584912</t>
  </si>
  <si>
    <t>side_align_left_done | final camera=left ids=[22, 23, 24, 25] target_pair=[24, 25] target_x=+0.3608 target_y=+0.2305 side_target_offset_x=+0.3560 center_x=+0.2381 center_y=-0.0764 yaw=+179.94deg error_x=+0.0048 yaw_error=-0.06deg tolerance_x=0.0060 tolerance_yaw=2.00deg</t>
  </si>
  <si>
    <t>2026-06-19_22-34-04-595661</t>
  </si>
  <si>
    <t>side_align_complete: side_align_left_done | final camera=left ids=[22, 23, 24, 25] target_pair=[24, 25] target_x=+0.3608 target_y=+0.2305 side_target_offset_x=+0.3560 center_x=+0.2381 center_y=-0.0764 yaw=+179.94deg error_x=+0.0048 yaw_error=-0.06deg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</si>
  <si>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2026-06-19_22-34-12-091914</t>
  </si>
  <si>
    <t>2026-06-19_22-35-35-937433</t>
  </si>
  <si>
    <t>2026-06-19_22-35-47-035703</t>
  </si>
  <si>
    <t>2026-06-19_22-36-12-527568</t>
  </si>
  <si>
    <t>2026-06-19_22-36-12-529675</t>
  </si>
  <si>
    <t>2026-06-19_22-36-24-785205</t>
  </si>
  <si>
    <t>side_align_complete: side_align_left_done | final camera=left ids=[16, 17, 18, 19] target_pair=[18, 19] target_x=+0.3576 target_y=+0.2428 side_target_offset_x=+0.3560 center_x=+0.2584 center_y=+0.5531 yaw=+178.18deg error_x=+0.0016 yaw_error=-1.82deg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</si>
  <si>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2026-06-19_22-36-24-785421</t>
  </si>
  <si>
    <t>side_align_left_done | final camera=left ids=[16, 17, 18, 19] target_pair=[18, 19] target_x=+0.3576 target_y=+0.2428 side_target_offset_x=+0.3560 center_x=+0.2584 center_y=+0.5531 yaw=+178.18deg error_x=+0.0016 yaw_error=-1.82deg tolerance_x=0.0060 tolerance_yaw=2.00deg</t>
  </si>
  <si>
    <t>2026-06-19_22-36-32-220534</t>
  </si>
  <si>
    <t>2026-06-19_22-37-15-907979</t>
  </si>
  <si>
    <t>2026-06-19_22-37-29-194408</t>
  </si>
  <si>
    <t>2026-06-19_22-37-29-195194</t>
  </si>
  <si>
    <t>2026-06-19_22-37-31-996379</t>
  </si>
  <si>
    <t>side_align_left_done | final camera=left ids=[16, 17, 18, 19] target_pair=[18, 19] target_x=+0.3590 target_y=+0.2491 side_target_offset_x=+0.3560 center_x=+0.2520 center_y=+0.5549 yaw=-179.44deg error_x=+0.0030 yaw_error=+0.56deg tolerance_x=0.0060 tolerance_yaw=2.00deg</t>
  </si>
  <si>
    <t>2026-06-19_22-37-32-012879</t>
  </si>
  <si>
    <t>side_align_complete: side_align_left_done | final camera=left ids=[16, 17, 18, 19] target_pair=[18, 19] target_x=+0.3590 target_y=+0.2491 side_target_offset_x=+0.3560 center_x=+0.2520 center_y=+0.5549 yaw=-179.44deg error_x=+0.0030 yaw_error=+0.56deg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</si>
  <si>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2026-06-19_22-37-40-046368</t>
  </si>
  <si>
    <t>2026-06-19_22-38-23-513014</t>
  </si>
  <si>
    <t>2026-06-19_22-38-40-154295</t>
  </si>
  <si>
    <t>2026-06-19_22-39-05-476643</t>
  </si>
  <si>
    <t>2026-06-19_22-39-05-476867</t>
  </si>
  <si>
    <t>2026-06-19_22-39-07-730581</t>
  </si>
  <si>
    <t>side_align_complete: side_align_left_done | final camera=left ids=[17, 18, 19, 20] target_pair=[18, 19] target_x=+0.3576 target_y=+0.2697 side_target_offset_x=+0.3560 center_x=+0.3652 center_y=+0.5754 yaw=-179.69deg error_x=+0.0016 yaw_error=+0.31deg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</si>
  <si>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2026-06-19_22-39-07-730804</t>
  </si>
  <si>
    <t>side_align_left_done | final camera=left ids=[17, 18, 19, 20] target_pair=[18, 19] target_x=+0.3576 target_y=+0.2697 side_target_offset_x=+0.3560 center_x=+0.3652 center_y=+0.5754 yaw=-179.69deg error_x=+0.0016 yaw_error=+0.31deg tolerance_x=0.0060 tolerance_yaw=2.00deg</t>
  </si>
  <si>
    <t>2026-06-19_22-39-16-413690</t>
  </si>
  <si>
    <t>2026-06-19_22-40-05-755536</t>
  </si>
  <si>
    <t>2026-06-19_22-40-06-040530</t>
  </si>
  <si>
    <t>2026-06-19_22-40-06-041115</t>
  </si>
  <si>
    <t>20260619_224006</t>
  </si>
  <si>
    <t>2026-06-19_22-40-06-041421</t>
  </si>
  <si>
    <t>2026-06-19_22-40-16-872809</t>
  </si>
  <si>
    <t>2026-06-19_22-40-16-873008</t>
  </si>
  <si>
    <t>2026-06-19_22-40-25-669632</t>
  </si>
  <si>
    <t>side_align_complete: side_align_left_done | final camera=left ids=[17, 18, 19, 20] target_pair=[18, 19] target_x=+0.3582 target_y=+0.2613 side_target_offset_x=+0.3560 center_x=+0.3659 center_y=+0.5670 yaw=-179.98deg error_x=+0.0022 yaw_error=+0.02deg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</si>
  <si>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2026-06-19_22-40-25-670373</t>
  </si>
  <si>
    <t>side_align_left_done | final camera=left ids=[17, 18, 19, 20] target_pair=[18, 19] target_x=+0.3582 target_y=+0.2613 side_target_offset_x=+0.3560 center_x=+0.3659 center_y=+0.5670 yaw=-179.98deg error_x=+0.0022 yaw_error=+0.02deg tolerance_x=0.0060 tolerance_yaw=2.00deg</t>
  </si>
  <si>
    <t>2026-06-19_22-40-27-770318</t>
  </si>
  <si>
    <t>2026-06-19_22-40-29-869009</t>
  </si>
  <si>
    <t>2026-06-19_22-40-30-265488</t>
  </si>
  <si>
    <t>2026-06-19_22-40-35-999232</t>
  </si>
  <si>
    <t>2026-06-19_22-40-36-406337</t>
  </si>
  <si>
    <t>2026-06-19_22-41-36-470063</t>
  </si>
  <si>
    <t>2026-06-19_22-41-50-124193</t>
  </si>
  <si>
    <t>2026-06-19_22-41-50-124573</t>
  </si>
  <si>
    <t>2026-06-19_22-42-03-770409</t>
  </si>
  <si>
    <t>side_align_left_done | final camera=left ids=[22, 23, 24, 25] target_pair=[24, 25] target_x=+0.3513 target_y=+0.2440 side_target_offset_x=+0.3560 center_x=+0.2389 center_y=-0.0627 yaw=-179.95deg error_x=-0.0047 yaw_error=+0.05deg tolerance_x=0.0060 tolerance_yaw=2.00deg</t>
  </si>
  <si>
    <t>2026-06-19_22-42-03-770787</t>
  </si>
  <si>
    <t>side_align_complete: side_align_left_done | final camera=left ids=[22, 23, 24, 25] target_pair=[24, 25] target_x=+0.3513 target_y=+0.2440 side_target_offset_x=+0.3560 center_x=+0.2389 center_y=-0.0627 yaw=-179.95deg error_x=-0.0047 yaw_error=+0.05deg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</si>
  <si>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2026-06-19_22-42-14-854840</t>
  </si>
  <si>
    <t>2026-06-19_22-42-15-052222</t>
  </si>
  <si>
    <t>2026-06-19_22-43-05-757883</t>
  </si>
  <si>
    <t>2026-06-19_22-43-15-306325</t>
  </si>
  <si>
    <t>2026-06-19_22-43-36-519045</t>
  </si>
  <si>
    <t>2026-06-19_22-43-36-519805</t>
  </si>
  <si>
    <t>2026-06-19_22-43-49-768306</t>
  </si>
  <si>
    <t>side_align_left_done | final camera=left ids=[22, 23, 24, 25] target_pair=[24, 25] target_x=+0.3540 target_y=+0.2506 side_target_offset_x=+0.3560 center_x=+0.2540 center_y=-0.0579 yaw=-178.94deg error_x=-0.0020 yaw_error=+1.06deg tolerance_x=0.0060 tolerance_yaw=2.00deg</t>
  </si>
  <si>
    <t>2026-06-19_22-43-49-780334</t>
  </si>
  <si>
    <t>side_align_complete: side_align_left_done | final camera=left ids=[22, 23, 24, 25] target_pair=[24, 25] target_x=+0.3540 target_y=+0.2506 side_target_offset_x=+0.3560 center_x=+0.2540 center_y=-0.0579 yaw=-178.94deg error_x=-0.0020 yaw_error=+1.06deg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</si>
  <si>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2026-06-19_22-43-56-611669</t>
  </si>
  <si>
    <t>2026-06-19_22-43-56-826547</t>
  </si>
  <si>
    <t>2026-06-19_22-44-45-142246</t>
  </si>
  <si>
    <t>2026-06-19_22-44-57-190921</t>
  </si>
  <si>
    <t>2026-06-19_22-45-19-291941</t>
  </si>
  <si>
    <t>2026-06-19_22-45-19-293557</t>
  </si>
  <si>
    <t>2026-06-19_22-45-33-101202</t>
  </si>
  <si>
    <t>side_align_left_done | final camera=left ids=[22, 23, 24, 25] target_pair=[24, 25] target_x=+0.3603 target_y=+0.2322 side_target_offset_x=+0.3560 center_x=+0.2427 center_y=-0.0772 yaw=-178.77deg error_x=+0.0043 yaw_error=+1.23deg tolerance_x=0.0060 tolerance_yaw=2.00deg</t>
  </si>
  <si>
    <t>2026-06-19_22-45-33-110279</t>
  </si>
  <si>
    <t>side_align_complete: side_align_left_done | final camera=left ids=[22, 23, 24, 25] target_pair=[24, 25] target_x=+0.3603 target_y=+0.2322 side_target_offset_x=+0.3560 center_x=+0.2427 center_y=-0.0772 yaw=-178.77deg error_x=+0.0043 yaw_error=+1.23deg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</si>
  <si>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2026-06-19_22-45-40-549315</t>
  </si>
  <si>
    <t>2026-06-19_22-46-33-040453</t>
  </si>
  <si>
    <t>2026-06-19_22-46-53-151341</t>
  </si>
  <si>
    <t>2026-06-19_22-46-53-151669</t>
  </si>
  <si>
    <t>2026-06-19_22-47-17-171466</t>
  </si>
  <si>
    <t>side_align_left_done | final camera=left ids=[22, 23, 24, 25, 26] target_pair=[24, 25] target_x=+0.3554 target_y=+0.2513 side_target_offset_x=+0.3560 center_x=+0.3115 center_y=-0.0566 yaw=+179.86deg error_x=-0.0006 yaw_error=-0.14deg tolerance_x=0.0060 tolerance_yaw=2.00deg</t>
  </si>
  <si>
    <t>2026-06-19_22-47-17-208580</t>
  </si>
  <si>
    <t>side_align_complete: side_align_left_done | final camera=left ids=[22, 23, 24, 25, 26] target_pair=[24, 25] target_x=+0.3554 target_y=+0.2513 side_target_offset_x=+0.3560 center_x=+0.3115 center_y=-0.0566 yaw=+179.86deg error_x=-0.0006 yaw_error=-0.14deg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</si>
  <si>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2026-06-19_22-47-20-111329</t>
  </si>
  <si>
    <t>2026-06-19_22-48-50-016752</t>
  </si>
  <si>
    <t>2026-06-19_22-49-06-065328</t>
  </si>
  <si>
    <t>2026-06-19_22-49-06-068474</t>
  </si>
  <si>
    <t>2026-06-19_22-49-41-088346</t>
  </si>
  <si>
    <t>2026-06-19_22-49-51-079603</t>
  </si>
  <si>
    <t>2026-06-19_22-49-51-080665</t>
  </si>
  <si>
    <t>2026-06-19_22-49-55-942906</t>
  </si>
  <si>
    <t>trolley_type_unknown_live_yolo. No current non-empty /Yolov8_Inference detection in the last 90.0s</t>
  </si>
  <si>
    <t>2026-06-19_22-50-49-335506</t>
  </si>
  <si>
    <t>2026-06-19_22-50-49-335725</t>
  </si>
  <si>
    <t>2026-06-19_22-51-34-280030</t>
  </si>
  <si>
    <t>2026-06-19_22-51-34-280263</t>
  </si>
  <si>
    <t>2026-06-19_22-51-38-249188</t>
  </si>
  <si>
    <t>2026-06-19_22-51-38-249616</t>
  </si>
  <si>
    <t>2026-06-19_22-51-54-099804</t>
  </si>
  <si>
    <t>2026-06-19_22-52-20-627883</t>
  </si>
  <si>
    <t>2026-06-19_22-52-29-648659</t>
  </si>
  <si>
    <t>2026-06-19_22-52-30-145426</t>
  </si>
  <si>
    <t>2026-06-19_22-52-30-146246</t>
  </si>
  <si>
    <t>20260619_225230</t>
  </si>
  <si>
    <t>2026-06-19_22-52-30-146743</t>
  </si>
  <si>
    <t>2026-06-19_22-52-46-384009</t>
  </si>
  <si>
    <t>2026-06-19_22-52-55-335484</t>
  </si>
  <si>
    <t>2026-06-19_22-52-55-412710</t>
  </si>
  <si>
    <t>2026-06-19_22-53-22-798593</t>
  </si>
  <si>
    <t>side_align_complete: side_align_left_done | final camera=left ids=[16, 17, 18, 19] target_pair=[18, 19] target_x=+0.3540 target_y=+0.2467 side_target_offset_x=+0.3560 center_x=+0.2488 center_y=+0.5554 yaw=+179.08deg error_x=-0.0020 yaw_error=-0.92deg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</si>
  <si>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2026-06-19_22-53-22-798846</t>
  </si>
  <si>
    <t>side_align_left_done | final camera=left ids=[16, 17, 18, 19] target_pair=[18, 19] target_x=+0.3540 target_y=+0.2467 side_target_offset_x=+0.3560 center_x=+0.2488 center_y=+0.5554 yaw=+179.08deg error_x=-0.0020 yaw_error=-0.92deg tolerance_x=0.0060 tolerance_yaw=2.00deg</t>
  </si>
  <si>
    <t>2026-06-19_22-53-24-552887</t>
  </si>
  <si>
    <t>2026-06-19_22-53-36-007255</t>
  </si>
  <si>
    <t>2026-06-19_22-53-36-398390</t>
  </si>
  <si>
    <t>2026-06-19_22-54-05-788681</t>
  </si>
  <si>
    <t>2026-06-19_22-54-29-103390</t>
  </si>
  <si>
    <t>2026-06-19_22-54-45-584832</t>
  </si>
  <si>
    <t>2026-06-19_22-54-45-589963</t>
  </si>
  <si>
    <t>2026-06-19_22-54-55-285648</t>
  </si>
  <si>
    <t>side_align_complete: side_align_left_done | final camera=left ids=[16, 17, 18, 19, 20] target_pair=[18, 19] target_x=+0.3563 target_y=+0.2642 side_target_offset_x=+0.3560 center_x=+0.3128 center_y=+0.5693 yaw=-179.59deg error_x=+0.0003 yaw_error=+0.41deg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</si>
  <si>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2026-06-19_22-54-55-286682</t>
  </si>
  <si>
    <t>side_align_left_done | final camera=left ids=[16, 17, 18, 19, 20] target_pair=[18, 19] target_x=+0.3563 target_y=+0.2642 side_target_offset_x=+0.3560 center_x=+0.3128 center_y=+0.5693 yaw=-179.59deg error_x=+0.0003 yaw_error=+0.41deg tolerance_x=0.0060 tolerance_yaw=2.00deg</t>
  </si>
  <si>
    <t>2026-06-19_22-55-14-531240</t>
  </si>
  <si>
    <t>2026-06-19_22-55-14-919554</t>
  </si>
  <si>
    <t>2026-06-19_22-55-27-301815</t>
  </si>
  <si>
    <t>2026-06-19_22-55-44-737468</t>
  </si>
  <si>
    <t>2026-06-19_22-55-45-034212</t>
  </si>
  <si>
    <t>2026-06-19_22-55-45-034753</t>
  </si>
  <si>
    <t>20260619_225545</t>
  </si>
  <si>
    <t>2026-06-19_22-55-45-035111</t>
  </si>
  <si>
    <t>2026-06-19_22-56-01-351422</t>
  </si>
  <si>
    <t>2026-06-19_22-56-01-351800</t>
  </si>
  <si>
    <t>2026-06-19_22-56-11-659825</t>
  </si>
  <si>
    <t>side_align_complete: side_align_left_done | final camera=left ids=[16, 17, 18, 19] target_pair=[18, 19] target_x=+0.3538 target_y=+0.2534 side_target_offset_x=+0.3560 center_x=+0.2510 center_y=+0.5586 yaw=-179.38deg error_x=-0.0022 yaw_error=+0.62deg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t>
  </si>
  <si>
    <t>2026-06-19_22-56-11-660336</t>
  </si>
  <si>
    <t>side_align_left_done | final camera=left ids=[16, 17, 18, 19] target_pair=[18, 19] target_x=+0.3538 target_y=+0.2534 side_target_offset_x=+0.3560 center_x=+0.2510 center_y=+0.5586 yaw=-179.38deg error_x=-0.0022 yaw_error=+0.62deg tolerance_x=0.0060 tolerance_yaw=2.00deg</t>
  </si>
  <si>
    <t>2026-06-19_22-56-13-599220</t>
  </si>
  <si>
    <t>2026-06-19_22-56-16-478980</t>
  </si>
  <si>
    <t>2026-06-19_22-56-37-569942</t>
  </si>
  <si>
    <t>Test Results Summary</t>
  </si>
  <si>
    <t>Overall KPI</t>
  </si>
  <si>
    <t>Value</t>
  </si>
  <si>
    <t>N</t>
  </si>
  <si>
    <t>Breakdown</t>
  </si>
  <si>
    <t>Successful</t>
  </si>
  <si>
    <t>Total</t>
  </si>
  <si>
    <t>Success %</t>
  </si>
  <si>
    <t>Timing details</t>
  </si>
  <si>
    <t>Counted test rows</t>
  </si>
  <si>
    <t>Handnotes column A = y</t>
  </si>
  <si>
    <t>Side align time</t>
  </si>
  <si>
    <t>Overall complete success</t>
  </si>
  <si>
    <t>All main manual stages successful/correct</t>
  </si>
  <si>
    <t>Fine align time</t>
  </si>
  <si>
    <t>Average side align time</t>
  </si>
  <si>
    <t>Successful side align only; seconds</t>
  </si>
  <si>
    <t>Normal orientation</t>
  </si>
  <si>
    <t>Docking time</t>
  </si>
  <si>
    <t>Average fine align time</t>
  </si>
  <si>
    <t>Successful fine align only; seconds</t>
  </si>
  <si>
    <t>Average docking time</t>
  </si>
  <si>
    <t>Successful docking only; seconds</t>
  </si>
  <si>
    <t>Trash + Normal</t>
  </si>
  <si>
    <t>Fine align extra light used</t>
  </si>
  <si>
    <t>Trash + Flipped</t>
  </si>
  <si>
    <t>Generated</t>
  </si>
  <si>
    <t>Laundry + Normal</t>
  </si>
  <si>
    <t>Laundry + Flipped</t>
  </si>
  <si>
    <t>Stage</t>
  </si>
  <si>
    <t>Success count</t>
  </si>
  <si>
    <t>Attempted</t>
  </si>
  <si>
    <t>Criteria</t>
  </si>
  <si>
    <t>E = success</t>
  </si>
  <si>
    <t>G = correct</t>
  </si>
  <si>
    <t>H = success</t>
  </si>
  <si>
    <t>Fine align</t>
  </si>
  <si>
    <t>Docking</t>
  </si>
  <si>
    <t>O = success</t>
  </si>
  <si>
    <t>P = success</t>
  </si>
  <si>
    <t>Return charging</t>
  </si>
  <si>
    <t>Q = success</t>
  </si>
  <si>
    <t>Orientation</t>
  </si>
  <si>
    <t>Fine light</t>
  </si>
  <si>
    <t>Side align time (s)</t>
  </si>
  <si>
    <t>Fine align time (s)</t>
  </si>
  <si>
    <t>Docking time (s)</t>
  </si>
  <si>
    <t>J = success</t>
  </si>
  <si>
    <t>M = success</t>
  </si>
  <si>
    <t>Aruco error_x all</t>
  </si>
  <si>
    <t>side align</t>
  </si>
  <si>
    <t>Aruco yaw error (deg) success</t>
  </si>
  <si>
    <t>Aruco yaw error (deg) all</t>
  </si>
  <si>
    <t>side align event data</t>
  </si>
  <si>
    <t>Average error</t>
  </si>
  <si>
    <t>Partial</t>
  </si>
  <si>
    <t>docking unsuccessfull_helped_docking</t>
  </si>
  <si>
    <t>unsuccessful</t>
  </si>
  <si>
    <t>Whole run success with docking (laundry/Trash)</t>
  </si>
  <si>
    <t>Drive under time (s)</t>
  </si>
  <si>
    <t>Note: Docking was faster but needed to check manually if actually docked,--&gt; time can be improved</t>
  </si>
  <si>
    <t>Side align - Fine align done</t>
  </si>
  <si>
    <t>Average in s</t>
  </si>
  <si>
    <t>Median in s</t>
  </si>
  <si>
    <t>Min in s</t>
  </si>
  <si>
    <t>Max in s</t>
  </si>
  <si>
    <t>Side align - Fine align done for successfull runs</t>
  </si>
  <si>
    <t>Aruco error_y all fine align</t>
  </si>
  <si>
    <t>Aruco error_x sucess docking</t>
  </si>
  <si>
    <t>in mm</t>
  </si>
  <si>
    <t>based on aruco estimated error</t>
  </si>
  <si>
    <t>Aruco error_x drive under sucess</t>
  </si>
  <si>
    <t>Aruco yaw_error all</t>
  </si>
  <si>
    <t>Aruco yaw_error drive under sucess</t>
  </si>
  <si>
    <t>Aruco error_y  docking success</t>
  </si>
  <si>
    <t>Fail runs reasons</t>
  </si>
  <si>
    <t>Failed runs id :</t>
  </si>
  <si>
    <t>Reason</t>
  </si>
  <si>
    <t>Notes and marks</t>
  </si>
  <si>
    <t>Fine align not exact enough</t>
  </si>
  <si>
    <t>side align needed retry, (timeout on first try)</t>
  </si>
  <si>
    <t>Side align time out</t>
  </si>
  <si>
    <t>Drive under Usuccessfull stopped run</t>
  </si>
  <si>
    <t>Drive under unsuccessfull</t>
  </si>
  <si>
    <t xml:space="preserve">side align: success on second2; </t>
  </si>
  <si>
    <t>Drive under too far</t>
  </si>
  <si>
    <t>fine align, after changing target value</t>
  </si>
  <si>
    <t>Approach trolley drove too far</t>
  </si>
  <si>
    <t>approach drove to far, corrected</t>
  </si>
  <si>
    <t>Wrong trolley position</t>
  </si>
  <si>
    <t>needed second try fine align</t>
  </si>
  <si>
    <t>aruco node died failed restart robot</t>
  </si>
  <si>
    <t>side align needed more time (2ndcommand)</t>
  </si>
  <si>
    <t>Drive under unsuccessfull stopped run</t>
  </si>
  <si>
    <t>no logs available ,drove to far</t>
  </si>
  <si>
    <t>Empty trolley</t>
  </si>
  <si>
    <t>approach too close</t>
  </si>
  <si>
    <t>YOLO nothing detected</t>
  </si>
  <si>
    <t>Object detection did not detect</t>
  </si>
  <si>
    <t>Excepted runs:</t>
  </si>
  <si>
    <t>auruco node died</t>
  </si>
  <si>
    <t>trolley wrong positioned</t>
  </si>
  <si>
    <t>Fine align not exact enough/ fine align time out</t>
  </si>
  <si>
    <t>too_dark_added light_new_fine_aling_try fine align with light worked but not exact enough</t>
  </si>
  <si>
    <t>with light fine align but still not exact enough</t>
  </si>
  <si>
    <t>success count</t>
  </si>
  <si>
    <t>Laundry</t>
  </si>
  <si>
    <t>Trash</t>
  </si>
  <si>
    <t>Empty</t>
  </si>
  <si>
    <t>total</t>
  </si>
  <si>
    <t>extra light success</t>
  </si>
  <si>
    <t>no light attempts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</si>
</sst>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0.0000"/>
    <numFmt numFmtId="167" formatCode="0.00000"/>
    <numFmt numFmtId="168" formatCode="0.000000000"/>
  </numFmts>
  <fonts count="9" x14ac:knownFonts="1">
    <font>
      <sz val="11"/>
      <color theme="1"/>
      <name val="Aptos Narrow"/>
    </font>
    <font>
      <b/>
      <sz val="11"/>
      <color rgb="FFFFFFFF"/>
      <name val="Aptos Narrow"/>
      <family val="2"/>
    </font>
    <font>
      <sz val="11"/>
      <name val="Aptos Narrow"/>
      <family val="2"/>
    </font>
    <font>
      <b/>
      <sz val="11"/>
      <color theme="1"/>
      <name val="Aptos Narrow"/>
      <family val="2"/>
    </font>
    <font>
      <b/>
      <sz val="16"/>
      <color rgb="FFFFFFFF"/>
      <name val="Aptos Narrow"/>
      <family val="2"/>
    </font>
    <font>
      <i/>
      <sz val="11"/>
      <color rgb="FF666666"/>
      <name val="Aptos Narrow"/>
      <family val="2"/>
    </font>
    <font>
      <sz val="11"/>
      <color theme="1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0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rgb="FFFF0000"/>
      </patternFill>
    </fill>
    <fill>
      <patternFill patternType="solid">
        <fgColor theme="2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3" fontId="0" fillId="7" borderId="0" xfId="0" applyNumberFormat="1" applyFill="1"/>
    <xf numFmtId="0" fontId="0" fillId="8" borderId="0" xfId="0" applyFill="1"/>
    <xf numFmtId="0" fontId="0" fillId="9" borderId="0" xfId="0" applyFill="1"/>
    <xf numFmtId="3" fontId="0" fillId="6" borderId="0" xfId="0" applyNumberFormat="1" applyFill="1"/>
    <xf numFmtId="3" fontId="0" fillId="0" borderId="0" xfId="0" applyNumberFormat="1"/>
    <xf numFmtId="3" fontId="0" fillId="8" borderId="0" xfId="0" applyNumberFormat="1" applyFill="1"/>
    <xf numFmtId="0" fontId="0" fillId="10" borderId="0" xfId="0" applyFill="1"/>
    <xf numFmtId="3" fontId="0" fillId="10" borderId="0" xfId="0" applyNumberFormat="1" applyFill="1"/>
    <xf numFmtId="0" fontId="0" fillId="11" borderId="0" xfId="0" applyFill="1"/>
    <xf numFmtId="3" fontId="0" fillId="11" borderId="0" xfId="0" applyNumberFormat="1" applyFill="1"/>
    <xf numFmtId="3" fontId="0" fillId="4" borderId="0" xfId="0" applyNumberFormat="1" applyFill="1"/>
    <xf numFmtId="0" fontId="2" fillId="12" borderId="0" xfId="0" applyFont="1" applyFill="1"/>
    <xf numFmtId="3" fontId="2" fillId="12" borderId="0" xfId="0" applyNumberFormat="1" applyFont="1" applyFill="1"/>
    <xf numFmtId="3" fontId="0" fillId="3" borderId="0" xfId="0" applyNumberFormat="1" applyFill="1"/>
    <xf numFmtId="3" fontId="0" fillId="9" borderId="0" xfId="0" applyNumberFormat="1" applyFill="1"/>
    <xf numFmtId="0" fontId="1" fillId="2" borderId="0" xfId="0" applyFont="1" applyFill="1" applyAlignment="1">
      <alignment horizontal="center" vertical="center" wrapText="1"/>
    </xf>
    <xf numFmtId="0" fontId="0" fillId="4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13" borderId="0" xfId="0" applyFill="1"/>
    <xf numFmtId="0" fontId="0" fillId="13" borderId="0" xfId="0" applyFill="1" applyAlignment="1">
      <alignment vertical="top" wrapText="1"/>
    </xf>
    <xf numFmtId="0" fontId="0" fillId="0" borderId="2" xfId="0" applyBorder="1"/>
    <xf numFmtId="0" fontId="0" fillId="13" borderId="1" xfId="0" applyFill="1" applyBorder="1"/>
    <xf numFmtId="0" fontId="3" fillId="0" borderId="2" xfId="0" applyFont="1" applyBorder="1"/>
    <xf numFmtId="0" fontId="3" fillId="0" borderId="0" xfId="0" applyFont="1"/>
    <xf numFmtId="0" fontId="4" fillId="14" borderId="0" xfId="0" applyFont="1" applyFill="1" applyAlignment="1">
      <alignment horizontal="center"/>
    </xf>
    <xf numFmtId="0" fontId="5" fillId="0" borderId="0" xfId="0" applyFont="1"/>
    <xf numFmtId="0" fontId="1" fillId="15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wrapText="1"/>
    </xf>
    <xf numFmtId="22" fontId="0" fillId="0" borderId="0" xfId="0" applyNumberFormat="1"/>
    <xf numFmtId="165" fontId="0" fillId="0" borderId="0" xfId="0" applyNumberFormat="1"/>
    <xf numFmtId="166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0" fontId="0" fillId="0" borderId="4" xfId="0" applyBorder="1"/>
    <xf numFmtId="0" fontId="0" fillId="0" borderId="3" xfId="0" applyBorder="1"/>
    <xf numFmtId="0" fontId="0" fillId="0" borderId="0" xfId="0" applyAlignment="1">
      <alignment horizontal="right"/>
    </xf>
    <xf numFmtId="0" fontId="6" fillId="7" borderId="0" xfId="0" applyFont="1" applyFill="1"/>
    <xf numFmtId="0" fontId="6" fillId="3" borderId="0" xfId="0" applyFont="1" applyFill="1"/>
    <xf numFmtId="0" fontId="6" fillId="6" borderId="0" xfId="0" applyFont="1" applyFill="1"/>
    <xf numFmtId="2" fontId="6" fillId="0" borderId="0" xfId="0" applyNumberFormat="1" applyFont="1"/>
    <xf numFmtId="0" fontId="6" fillId="0" borderId="0" xfId="0" applyFont="1"/>
    <xf numFmtId="0" fontId="7" fillId="15" borderId="0" xfId="0" applyFont="1" applyFill="1" applyAlignment="1">
      <alignment horizontal="center" vertical="center" wrapText="1"/>
    </xf>
    <xf numFmtId="0" fontId="7" fillId="15" borderId="0" xfId="0" applyFont="1" applyFill="1" applyAlignment="1">
      <alignment horizontal="center" vertical="center"/>
    </xf>
    <xf numFmtId="0" fontId="6" fillId="0" borderId="4" xfId="0" applyFont="1" applyBorder="1"/>
    <xf numFmtId="2" fontId="0" fillId="0" borderId="4" xfId="0" applyNumberFormat="1" applyBorder="1"/>
    <xf numFmtId="168" fontId="0" fillId="0" borderId="0" xfId="0" applyNumberFormat="1"/>
    <xf numFmtId="0" fontId="6" fillId="0" borderId="0" xfId="0" applyFont="1" applyAlignment="1">
      <alignment wrapText="1"/>
    </xf>
    <xf numFmtId="0" fontId="6" fillId="3" borderId="0" xfId="0" applyFont="1" applyFill="1" applyAlignment="1">
      <alignment vertical="top" wrapText="1"/>
    </xf>
    <xf numFmtId="0" fontId="6" fillId="4" borderId="0" xfId="0" applyFont="1" applyFill="1"/>
    <xf numFmtId="0" fontId="0" fillId="16" borderId="0" xfId="0" applyFill="1"/>
    <xf numFmtId="3" fontId="0" fillId="16" borderId="0" xfId="0" applyNumberFormat="1" applyFill="1"/>
    <xf numFmtId="0" fontId="6" fillId="7" borderId="0" xfId="0" applyFont="1" applyFill="1" applyAlignment="1">
      <alignment vertical="top" wrapText="1"/>
    </xf>
    <xf numFmtId="0" fontId="6" fillId="4" borderId="0" xfId="0" applyFont="1" applyFill="1" applyAlignment="1">
      <alignment vertical="top" wrapText="1"/>
    </xf>
    <xf numFmtId="9" fontId="0" fillId="0" borderId="0" xfId="1" applyFont="1"/>
    <xf numFmtId="0" fontId="4" fillId="14" borderId="0" xfId="0" applyFont="1" applyFill="1" applyAlignment="1">
      <alignment horizontal="center"/>
    </xf>
    <xf numFmtId="0" fontId="0" fillId="0" borderId="0" xfId="1" applyNumberFormat="1" applyFont="1"/>
    <xf numFmtId="0" fontId="0" fillId="0" borderId="0" xfId="0" applyNumberFormat="1"/>
    <xf numFmtId="164" fontId="0" fillId="0" borderId="0" xfId="1" applyNumberFormat="1" applyFo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5"/>
  <sheetViews>
    <sheetView topLeftCell="A6" workbookViewId="0">
      <pane xSplit="2" topLeftCell="L1" activePane="topRight" state="frozen"/>
      <selection pane="topRight" activeCell="S20" sqref="S20"/>
    </sheetView>
  </sheetViews>
  <sheetFormatPr baseColWidth="10" defaultColWidth="9.140625" defaultRowHeight="15" x14ac:dyDescent="0.25"/>
  <cols>
    <col min="2" max="2" width="7" customWidth="1"/>
    <col min="3" max="3" width="19" customWidth="1"/>
    <col min="4" max="4" width="18" customWidth="1"/>
    <col min="5" max="5" width="17.5703125" customWidth="1"/>
    <col min="6" max="6" width="55.140625" customWidth="1"/>
    <col min="7" max="7" width="40" customWidth="1"/>
    <col min="8" max="8" width="40.42578125" customWidth="1"/>
    <col min="9" max="9" width="20" customWidth="1"/>
    <col min="10" max="10" width="24" customWidth="1"/>
    <col min="11" max="11" width="43" customWidth="1"/>
    <col min="12" max="12" width="32" customWidth="1"/>
    <col min="13" max="14" width="36" customWidth="1"/>
    <col min="15" max="15" width="25" customWidth="1"/>
    <col min="16" max="17" width="20" customWidth="1"/>
  </cols>
  <sheetData>
    <row r="1" spans="1:49" ht="32.1" customHeigh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8</v>
      </c>
      <c r="M1" s="23" t="s">
        <v>11</v>
      </c>
      <c r="N1" s="23" t="s">
        <v>8</v>
      </c>
      <c r="O1" s="23" t="s">
        <v>12</v>
      </c>
      <c r="P1" s="23" t="s">
        <v>13</v>
      </c>
      <c r="Q1" s="23" t="s">
        <v>14</v>
      </c>
    </row>
    <row r="2" spans="1:49" s="4" customFormat="1" ht="84" customHeight="1" x14ac:dyDescent="0.25">
      <c r="A2" s="4" t="s">
        <v>15</v>
      </c>
      <c r="B2" s="24">
        <v>1</v>
      </c>
      <c r="C2" s="24" t="s">
        <v>16</v>
      </c>
      <c r="D2" s="24" t="s">
        <v>17</v>
      </c>
      <c r="E2" s="68" t="s">
        <v>18</v>
      </c>
      <c r="F2" s="24"/>
      <c r="G2" s="24" t="s">
        <v>19</v>
      </c>
      <c r="H2" s="24" t="s">
        <v>18</v>
      </c>
      <c r="I2" s="24"/>
      <c r="J2" s="24" t="s">
        <v>18</v>
      </c>
      <c r="K2" s="24" t="s">
        <v>20</v>
      </c>
      <c r="L2" s="24"/>
      <c r="M2" s="24" t="s">
        <v>18</v>
      </c>
      <c r="N2" s="24"/>
      <c r="O2" s="24" t="s">
        <v>18</v>
      </c>
      <c r="P2" s="24" t="s">
        <v>18</v>
      </c>
      <c r="Q2" s="24" t="s">
        <v>18</v>
      </c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</row>
    <row r="3" spans="1:49" s="4" customFormat="1" ht="84" customHeight="1" x14ac:dyDescent="0.25">
      <c r="A3" s="4" t="s">
        <v>15</v>
      </c>
      <c r="B3" s="24">
        <v>2</v>
      </c>
      <c r="C3" s="24" t="s">
        <v>16</v>
      </c>
      <c r="D3" s="24" t="s">
        <v>17</v>
      </c>
      <c r="E3" s="24" t="s">
        <v>18</v>
      </c>
      <c r="F3" s="24"/>
      <c r="G3" s="24" t="s">
        <v>19</v>
      </c>
      <c r="H3" s="24" t="s">
        <v>18</v>
      </c>
      <c r="I3" s="24"/>
      <c r="J3" s="24" t="s">
        <v>18</v>
      </c>
      <c r="K3" s="24" t="s">
        <v>20</v>
      </c>
      <c r="L3" s="24"/>
      <c r="M3" s="24" t="s">
        <v>18</v>
      </c>
      <c r="N3" s="24"/>
      <c r="O3" s="24" t="s">
        <v>18</v>
      </c>
      <c r="P3" s="24" t="s">
        <v>18</v>
      </c>
      <c r="Q3" s="24" t="s">
        <v>18</v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</row>
    <row r="4" spans="1:49" s="3" customFormat="1" ht="84" customHeight="1" x14ac:dyDescent="0.25">
      <c r="A4" s="3" t="s">
        <v>15</v>
      </c>
      <c r="B4" s="25">
        <v>3</v>
      </c>
      <c r="C4" s="25" t="s">
        <v>21</v>
      </c>
      <c r="D4" s="25" t="s">
        <v>17</v>
      </c>
      <c r="E4" s="25" t="s">
        <v>18</v>
      </c>
      <c r="F4" s="25"/>
      <c r="G4" s="25" t="s">
        <v>19</v>
      </c>
      <c r="H4" s="25" t="s">
        <v>18</v>
      </c>
      <c r="I4" s="25"/>
      <c r="J4" s="63" t="s">
        <v>18</v>
      </c>
      <c r="K4" s="3" t="s">
        <v>23</v>
      </c>
      <c r="L4" s="63" t="s">
        <v>2160</v>
      </c>
      <c r="M4" s="3" t="s">
        <v>22</v>
      </c>
      <c r="N4" s="63" t="s">
        <v>2113</v>
      </c>
      <c r="O4" s="25" t="s">
        <v>18</v>
      </c>
      <c r="P4" s="25" t="s">
        <v>18</v>
      </c>
      <c r="Q4" s="25" t="s">
        <v>18</v>
      </c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</row>
    <row r="5" spans="1:49" s="4" customFormat="1" ht="84" customHeight="1" x14ac:dyDescent="0.25">
      <c r="A5" s="4" t="s">
        <v>15</v>
      </c>
      <c r="B5" s="24">
        <v>4</v>
      </c>
      <c r="C5" s="24" t="s">
        <v>21</v>
      </c>
      <c r="D5" s="24" t="s">
        <v>26</v>
      </c>
      <c r="E5" s="24" t="s">
        <v>18</v>
      </c>
      <c r="F5" s="24"/>
      <c r="G5" s="24" t="s">
        <v>19</v>
      </c>
      <c r="H5" s="24" t="s">
        <v>18</v>
      </c>
      <c r="I5" s="24"/>
      <c r="J5" s="24" t="s">
        <v>18</v>
      </c>
      <c r="K5" s="24" t="s">
        <v>20</v>
      </c>
      <c r="L5" s="24"/>
      <c r="M5" s="24" t="s">
        <v>18</v>
      </c>
      <c r="N5" s="24"/>
      <c r="O5" s="24" t="s">
        <v>18</v>
      </c>
      <c r="P5" s="24" t="s">
        <v>18</v>
      </c>
      <c r="Q5" s="24" t="s">
        <v>18</v>
      </c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</row>
    <row r="6" spans="1:49" s="3" customFormat="1" ht="84" customHeight="1" x14ac:dyDescent="0.25">
      <c r="A6" s="53" t="s">
        <v>15</v>
      </c>
      <c r="B6" s="25">
        <v>5</v>
      </c>
      <c r="C6" s="25" t="s">
        <v>21</v>
      </c>
      <c r="D6" s="25" t="s">
        <v>26</v>
      </c>
      <c r="E6" s="24" t="s">
        <v>18</v>
      </c>
      <c r="F6" s="24"/>
      <c r="G6" s="25" t="s">
        <v>19</v>
      </c>
      <c r="H6" s="25" t="s">
        <v>18</v>
      </c>
      <c r="I6" s="25"/>
      <c r="J6" s="25" t="s">
        <v>22</v>
      </c>
      <c r="K6" s="3" t="s">
        <v>23</v>
      </c>
      <c r="L6" s="25" t="s">
        <v>24</v>
      </c>
      <c r="M6" s="3" t="s">
        <v>22</v>
      </c>
      <c r="N6" s="63" t="s">
        <v>2113</v>
      </c>
      <c r="O6" s="25" t="s">
        <v>18</v>
      </c>
      <c r="P6" s="25" t="s">
        <v>18</v>
      </c>
      <c r="Q6" s="25" t="s">
        <v>18</v>
      </c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</row>
    <row r="7" spans="1:49" s="4" customFormat="1" x14ac:dyDescent="0.25">
      <c r="A7" s="4" t="s">
        <v>15</v>
      </c>
      <c r="B7" s="24">
        <v>6</v>
      </c>
      <c r="C7" s="24" t="s">
        <v>16</v>
      </c>
      <c r="D7" s="24" t="s">
        <v>26</v>
      </c>
      <c r="E7" s="24" t="s">
        <v>18</v>
      </c>
      <c r="F7" s="24"/>
      <c r="G7" s="24" t="s">
        <v>19</v>
      </c>
      <c r="H7" s="4" t="s">
        <v>18</v>
      </c>
      <c r="J7" s="4" t="s">
        <v>18</v>
      </c>
      <c r="K7" s="24" t="s">
        <v>20</v>
      </c>
      <c r="L7" s="24"/>
      <c r="M7" s="4" t="s">
        <v>18</v>
      </c>
      <c r="O7" s="4" t="s">
        <v>18</v>
      </c>
      <c r="P7" s="4" t="s">
        <v>18</v>
      </c>
      <c r="Q7" s="4" t="s">
        <v>18</v>
      </c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</row>
    <row r="8" spans="1:49" s="4" customFormat="1" x14ac:dyDescent="0.25">
      <c r="A8" s="4" t="s">
        <v>15</v>
      </c>
      <c r="B8" s="24">
        <v>7</v>
      </c>
      <c r="C8" s="24" t="s">
        <v>16</v>
      </c>
      <c r="D8" s="24" t="s">
        <v>26</v>
      </c>
      <c r="E8" s="24" t="s">
        <v>18</v>
      </c>
      <c r="F8" s="24"/>
      <c r="G8" s="24" t="s">
        <v>19</v>
      </c>
      <c r="H8" s="4" t="s">
        <v>18</v>
      </c>
      <c r="J8" s="24" t="s">
        <v>18</v>
      </c>
      <c r="K8" s="24" t="s">
        <v>20</v>
      </c>
      <c r="L8" s="24"/>
      <c r="M8" s="24" t="s">
        <v>18</v>
      </c>
      <c r="N8" s="24"/>
      <c r="O8" s="64" t="s">
        <v>18</v>
      </c>
      <c r="P8" s="24" t="s">
        <v>18</v>
      </c>
      <c r="Q8" s="4" t="s">
        <v>18</v>
      </c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</row>
    <row r="10" spans="1:49" s="4" customFormat="1" x14ac:dyDescent="0.25">
      <c r="A10" s="4" t="s">
        <v>15</v>
      </c>
      <c r="B10" s="24">
        <v>9</v>
      </c>
      <c r="C10" s="24" t="s">
        <v>21</v>
      </c>
      <c r="D10" s="24" t="s">
        <v>17</v>
      </c>
      <c r="E10" s="24" t="s">
        <v>18</v>
      </c>
      <c r="F10" s="24"/>
      <c r="G10" s="4" t="s">
        <v>19</v>
      </c>
      <c r="H10" s="4" t="s">
        <v>18</v>
      </c>
      <c r="J10" s="4" t="s">
        <v>18</v>
      </c>
      <c r="K10" s="24" t="s">
        <v>20</v>
      </c>
      <c r="L10" s="24"/>
      <c r="M10" s="4" t="s">
        <v>18</v>
      </c>
      <c r="O10" s="4" t="s">
        <v>18</v>
      </c>
      <c r="P10" s="24" t="s">
        <v>18</v>
      </c>
      <c r="Q10" s="4" t="s">
        <v>18</v>
      </c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</row>
    <row r="13" spans="1:49" s="3" customFormat="1" x14ac:dyDescent="0.25">
      <c r="A13" s="3" t="s">
        <v>15</v>
      </c>
      <c r="B13" s="25">
        <v>12</v>
      </c>
      <c r="C13" s="25" t="s">
        <v>16</v>
      </c>
      <c r="D13" s="25" t="s">
        <v>17</v>
      </c>
      <c r="E13" s="3" t="s">
        <v>27</v>
      </c>
      <c r="F13" s="63" t="s">
        <v>28</v>
      </c>
      <c r="G13" s="25" t="s">
        <v>19</v>
      </c>
      <c r="H13" s="25" t="s">
        <v>18</v>
      </c>
      <c r="I13" s="25"/>
      <c r="J13" s="25" t="s">
        <v>18</v>
      </c>
      <c r="K13" s="25" t="s">
        <v>20</v>
      </c>
      <c r="L13" s="25"/>
      <c r="M13" s="25" t="s">
        <v>18</v>
      </c>
      <c r="N13" s="25"/>
      <c r="O13" s="25" t="s">
        <v>18</v>
      </c>
      <c r="P13" s="25" t="s">
        <v>18</v>
      </c>
      <c r="Q13" s="25" t="s">
        <v>18</v>
      </c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</row>
    <row r="14" spans="1:49" s="4" customFormat="1" x14ac:dyDescent="0.25">
      <c r="A14" s="4" t="s">
        <v>15</v>
      </c>
      <c r="B14" s="24">
        <v>13</v>
      </c>
      <c r="C14" s="24" t="s">
        <v>16</v>
      </c>
      <c r="D14" s="24" t="s">
        <v>17</v>
      </c>
      <c r="E14" s="24" t="s">
        <v>18</v>
      </c>
      <c r="F14" s="24"/>
      <c r="G14" s="4" t="s">
        <v>19</v>
      </c>
      <c r="H14" s="4" t="s">
        <v>18</v>
      </c>
      <c r="J14" s="4" t="s">
        <v>18</v>
      </c>
      <c r="K14" s="4" t="s">
        <v>23</v>
      </c>
      <c r="M14" s="24" t="s">
        <v>18</v>
      </c>
      <c r="N14" s="24"/>
      <c r="O14" s="4" t="s">
        <v>18</v>
      </c>
      <c r="P14" s="24" t="s">
        <v>18</v>
      </c>
      <c r="Q14" s="4" t="s">
        <v>18</v>
      </c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</row>
    <row r="15" spans="1:49" s="3" customFormat="1" x14ac:dyDescent="0.25">
      <c r="A15" s="3" t="s">
        <v>15</v>
      </c>
      <c r="B15" s="25">
        <v>14</v>
      </c>
      <c r="C15" s="25" t="s">
        <v>16</v>
      </c>
      <c r="D15" s="25" t="s">
        <v>17</v>
      </c>
      <c r="E15" s="3" t="s">
        <v>18</v>
      </c>
      <c r="G15" s="53" t="s">
        <v>19</v>
      </c>
      <c r="H15" s="3" t="s">
        <v>22</v>
      </c>
      <c r="P15" s="2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</row>
    <row r="16" spans="1:49" s="5" customFormat="1" x14ac:dyDescent="0.25">
      <c r="A16" s="5" t="s">
        <v>15</v>
      </c>
      <c r="B16" s="26">
        <v>15</v>
      </c>
      <c r="C16" s="26" t="s">
        <v>16</v>
      </c>
      <c r="D16" s="26" t="s">
        <v>17</v>
      </c>
      <c r="E16" s="5" t="s">
        <v>18</v>
      </c>
      <c r="G16" s="5" t="s">
        <v>19</v>
      </c>
      <c r="H16" s="5" t="s">
        <v>18</v>
      </c>
      <c r="J16" s="5" t="s">
        <v>18</v>
      </c>
      <c r="K16" s="5" t="s">
        <v>20</v>
      </c>
      <c r="M16" s="5" t="s">
        <v>18</v>
      </c>
      <c r="O16" s="5" t="s">
        <v>18</v>
      </c>
      <c r="P16" s="26" t="s">
        <v>18</v>
      </c>
      <c r="Q16" s="5" t="s">
        <v>18</v>
      </c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</row>
    <row r="17" spans="1:49" s="3" customFormat="1" x14ac:dyDescent="0.25">
      <c r="A17" s="3" t="s">
        <v>15</v>
      </c>
      <c r="B17" s="25">
        <v>16</v>
      </c>
      <c r="C17" s="25" t="s">
        <v>21</v>
      </c>
      <c r="D17" s="25" t="s">
        <v>26</v>
      </c>
      <c r="E17" s="3" t="s">
        <v>22</v>
      </c>
      <c r="F17" s="3" t="s">
        <v>29</v>
      </c>
      <c r="G17" s="3" t="s">
        <v>19</v>
      </c>
      <c r="H17" s="3" t="s">
        <v>18</v>
      </c>
      <c r="I17" s="3" t="s">
        <v>30</v>
      </c>
      <c r="J17" s="25" t="s">
        <v>22</v>
      </c>
      <c r="K17" s="3" t="s">
        <v>23</v>
      </c>
      <c r="M17" s="3" t="s">
        <v>22</v>
      </c>
      <c r="P17" s="25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</row>
    <row r="18" spans="1:49" s="3" customFormat="1" ht="30" x14ac:dyDescent="0.25">
      <c r="A18" s="3" t="s">
        <v>15</v>
      </c>
      <c r="B18" s="25">
        <v>17</v>
      </c>
      <c r="C18" s="25" t="s">
        <v>21</v>
      </c>
      <c r="D18" s="25" t="s">
        <v>26</v>
      </c>
      <c r="E18" s="3" t="s">
        <v>18</v>
      </c>
      <c r="G18" s="25" t="s">
        <v>19</v>
      </c>
      <c r="H18" s="3" t="s">
        <v>18</v>
      </c>
      <c r="I18" s="3" t="s">
        <v>30</v>
      </c>
      <c r="J18" s="63" t="s">
        <v>18</v>
      </c>
      <c r="K18" s="25" t="s">
        <v>23</v>
      </c>
      <c r="L18" s="63" t="s">
        <v>2161</v>
      </c>
      <c r="M18" s="25" t="s">
        <v>22</v>
      </c>
      <c r="N18" s="25"/>
      <c r="O18" s="25" t="s">
        <v>18</v>
      </c>
      <c r="P18" s="25" t="s">
        <v>18</v>
      </c>
      <c r="Q18" s="25" t="s">
        <v>18</v>
      </c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</row>
    <row r="19" spans="1:49" s="7" customFormat="1" x14ac:dyDescent="0.25">
      <c r="A19" s="7" t="s">
        <v>15</v>
      </c>
      <c r="B19" s="27">
        <v>18</v>
      </c>
      <c r="C19" s="27" t="s">
        <v>21</v>
      </c>
      <c r="D19" s="27" t="s">
        <v>26</v>
      </c>
      <c r="E19" s="7" t="s">
        <v>18</v>
      </c>
      <c r="G19" s="27" t="s">
        <v>19</v>
      </c>
      <c r="H19" s="27" t="s">
        <v>18</v>
      </c>
      <c r="I19" s="27"/>
      <c r="J19" s="52" t="s">
        <v>18</v>
      </c>
      <c r="K19" s="27" t="s">
        <v>23</v>
      </c>
      <c r="L19" s="27" t="s">
        <v>31</v>
      </c>
      <c r="M19" s="52" t="s">
        <v>27</v>
      </c>
      <c r="O19" s="27" t="s">
        <v>18</v>
      </c>
      <c r="P19" s="27" t="s">
        <v>18</v>
      </c>
      <c r="Q19" s="27" t="s">
        <v>18</v>
      </c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</row>
    <row r="20" spans="1:49" s="7" customFormat="1" x14ac:dyDescent="0.25">
      <c r="A20" s="7" t="s">
        <v>15</v>
      </c>
      <c r="B20" s="7">
        <v>19</v>
      </c>
      <c r="C20" s="7" t="s">
        <v>21</v>
      </c>
      <c r="D20" s="8" t="s">
        <v>26</v>
      </c>
      <c r="E20" s="7" t="s">
        <v>27</v>
      </c>
      <c r="F20" s="7" t="s">
        <v>32</v>
      </c>
      <c r="G20" s="7" t="s">
        <v>19</v>
      </c>
      <c r="H20" s="7" t="s">
        <v>18</v>
      </c>
      <c r="J20" s="7" t="s">
        <v>18</v>
      </c>
      <c r="K20" s="7" t="s">
        <v>23</v>
      </c>
      <c r="M20" s="7" t="s">
        <v>18</v>
      </c>
      <c r="O20" s="7" t="s">
        <v>18</v>
      </c>
      <c r="P20" s="7" t="s">
        <v>18</v>
      </c>
      <c r="Q20" s="7" t="s">
        <v>18</v>
      </c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</row>
    <row r="21" spans="1:49" s="7" customFormat="1" x14ac:dyDescent="0.25">
      <c r="A21" s="7" t="s">
        <v>15</v>
      </c>
      <c r="B21" s="27">
        <v>20</v>
      </c>
      <c r="C21" s="27" t="s">
        <v>16</v>
      </c>
      <c r="D21" s="27" t="s">
        <v>26</v>
      </c>
      <c r="E21" s="7" t="s">
        <v>27</v>
      </c>
      <c r="F21" s="7" t="s">
        <v>33</v>
      </c>
      <c r="G21" s="27" t="s">
        <v>19</v>
      </c>
      <c r="H21" s="27" t="s">
        <v>18</v>
      </c>
      <c r="I21" s="27"/>
      <c r="J21" s="27" t="s">
        <v>18</v>
      </c>
      <c r="K21" s="27" t="s">
        <v>23</v>
      </c>
      <c r="L21" s="27"/>
      <c r="M21" s="27" t="s">
        <v>18</v>
      </c>
      <c r="N21" s="27"/>
      <c r="O21" s="27" t="s">
        <v>18</v>
      </c>
      <c r="P21" s="27" t="s">
        <v>18</v>
      </c>
      <c r="Q21" s="27" t="s">
        <v>18</v>
      </c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</row>
    <row r="22" spans="1:49" x14ac:dyDescent="0.25">
      <c r="B22" s="1"/>
      <c r="C22" s="1"/>
      <c r="D22" s="1"/>
      <c r="F22" t="s">
        <v>34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49" s="4" customFormat="1" x14ac:dyDescent="0.25">
      <c r="A23" s="4" t="s">
        <v>15</v>
      </c>
      <c r="B23" s="24">
        <v>21</v>
      </c>
      <c r="C23" s="24" t="s">
        <v>16</v>
      </c>
      <c r="D23" s="24" t="s">
        <v>26</v>
      </c>
      <c r="E23" s="4" t="s">
        <v>18</v>
      </c>
      <c r="G23" s="24" t="s">
        <v>19</v>
      </c>
      <c r="H23" s="24" t="s">
        <v>18</v>
      </c>
      <c r="I23" s="24"/>
      <c r="J23" s="24" t="s">
        <v>18</v>
      </c>
      <c r="K23" s="24" t="s">
        <v>23</v>
      </c>
      <c r="L23" s="24"/>
      <c r="M23" s="24" t="s">
        <v>18</v>
      </c>
      <c r="N23" s="24"/>
      <c r="O23" s="24" t="s">
        <v>18</v>
      </c>
      <c r="P23" s="24" t="s">
        <v>18</v>
      </c>
      <c r="Q23" s="68" t="s">
        <v>18</v>
      </c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</row>
    <row r="24" spans="1:49" s="3" customFormat="1" x14ac:dyDescent="0.25">
      <c r="A24" s="3" t="s">
        <v>15</v>
      </c>
      <c r="B24" s="25">
        <v>22</v>
      </c>
      <c r="C24" s="25" t="s">
        <v>16</v>
      </c>
      <c r="D24" s="25" t="s">
        <v>26</v>
      </c>
      <c r="E24" s="3" t="s">
        <v>22</v>
      </c>
      <c r="F24" s="53" t="s">
        <v>35</v>
      </c>
      <c r="G24" s="25" t="s">
        <v>19</v>
      </c>
      <c r="H24" s="25" t="s">
        <v>2114</v>
      </c>
      <c r="I24" s="25"/>
      <c r="P24" s="25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</row>
    <row r="25" spans="1:49" s="7" customFormat="1" ht="30" x14ac:dyDescent="0.25">
      <c r="A25" s="7" t="s">
        <v>15</v>
      </c>
      <c r="B25" s="27">
        <v>23</v>
      </c>
      <c r="C25" s="27" t="s">
        <v>16</v>
      </c>
      <c r="D25" s="27" t="s">
        <v>26</v>
      </c>
      <c r="E25" s="7" t="s">
        <v>18</v>
      </c>
      <c r="G25" s="27" t="s">
        <v>19</v>
      </c>
      <c r="H25" s="7" t="s">
        <v>18</v>
      </c>
      <c r="J25" s="7" t="s">
        <v>27</v>
      </c>
      <c r="K25" s="27" t="s">
        <v>23</v>
      </c>
      <c r="L25" s="67" t="s">
        <v>36</v>
      </c>
      <c r="M25" s="52" t="s">
        <v>27</v>
      </c>
      <c r="O25" s="27" t="s">
        <v>22</v>
      </c>
      <c r="P25" s="27" t="s">
        <v>22</v>
      </c>
      <c r="Q25" s="27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</row>
    <row r="26" spans="1:49" s="3" customFormat="1" x14ac:dyDescent="0.25">
      <c r="A26" s="3" t="s">
        <v>15</v>
      </c>
      <c r="B26" s="25">
        <v>24</v>
      </c>
      <c r="C26" s="25" t="s">
        <v>21</v>
      </c>
      <c r="D26" s="25" t="s">
        <v>17</v>
      </c>
      <c r="E26" s="3" t="s">
        <v>18</v>
      </c>
      <c r="G26" s="25" t="s">
        <v>19</v>
      </c>
      <c r="H26" s="25" t="s">
        <v>22</v>
      </c>
      <c r="I26" s="3" t="s">
        <v>37</v>
      </c>
      <c r="K26" s="25"/>
      <c r="L26" s="25"/>
      <c r="P26" s="25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</row>
    <row r="27" spans="1:49" x14ac:dyDescent="0.25">
      <c r="B27" s="1"/>
      <c r="C27" s="1"/>
      <c r="D27" s="1"/>
      <c r="F27" t="s">
        <v>38</v>
      </c>
      <c r="G27" s="1"/>
      <c r="H27" s="1"/>
      <c r="I27" s="1"/>
      <c r="K27" s="1"/>
      <c r="L27" s="1"/>
    </row>
    <row r="28" spans="1:49" s="5" customFormat="1" x14ac:dyDescent="0.25">
      <c r="A28" s="5" t="s">
        <v>15</v>
      </c>
      <c r="B28" s="26">
        <v>25</v>
      </c>
      <c r="C28" s="26" t="s">
        <v>21</v>
      </c>
      <c r="D28" s="26" t="s">
        <v>17</v>
      </c>
      <c r="E28" s="5" t="s">
        <v>18</v>
      </c>
      <c r="G28" s="26" t="s">
        <v>19</v>
      </c>
      <c r="H28" s="26" t="s">
        <v>18</v>
      </c>
      <c r="I28" s="26"/>
      <c r="J28" s="26" t="s">
        <v>18</v>
      </c>
      <c r="K28" s="26" t="s">
        <v>23</v>
      </c>
      <c r="L28" s="26"/>
      <c r="M28" s="26" t="s">
        <v>18</v>
      </c>
      <c r="N28" s="26"/>
      <c r="O28" s="26" t="s">
        <v>18</v>
      </c>
      <c r="P28" s="26" t="s">
        <v>18</v>
      </c>
      <c r="Q28" s="26" t="s">
        <v>18</v>
      </c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</row>
    <row r="29" spans="1:49" s="5" customFormat="1" x14ac:dyDescent="0.25">
      <c r="A29" s="5" t="s">
        <v>15</v>
      </c>
      <c r="B29" s="26">
        <v>26</v>
      </c>
      <c r="C29" s="26" t="s">
        <v>21</v>
      </c>
      <c r="D29" s="26" t="s">
        <v>17</v>
      </c>
      <c r="E29" s="5" t="s">
        <v>18</v>
      </c>
      <c r="G29" s="26" t="s">
        <v>19</v>
      </c>
      <c r="H29" s="26" t="s">
        <v>18</v>
      </c>
      <c r="I29" s="26"/>
      <c r="J29" s="26" t="s">
        <v>18</v>
      </c>
      <c r="K29" s="26" t="s">
        <v>23</v>
      </c>
      <c r="L29" s="26"/>
      <c r="M29" s="26" t="s">
        <v>18</v>
      </c>
      <c r="N29" s="26"/>
      <c r="O29" s="26" t="s">
        <v>18</v>
      </c>
      <c r="P29" s="26" t="s">
        <v>18</v>
      </c>
      <c r="Q29" s="26" t="s">
        <v>18</v>
      </c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</row>
    <row r="30" spans="1:49" s="5" customFormat="1" x14ac:dyDescent="0.25">
      <c r="A30" s="5" t="s">
        <v>15</v>
      </c>
      <c r="B30" s="26">
        <v>27</v>
      </c>
      <c r="C30" s="26" t="s">
        <v>21</v>
      </c>
      <c r="D30" s="26" t="s">
        <v>17</v>
      </c>
      <c r="E30" s="5" t="s">
        <v>18</v>
      </c>
      <c r="G30" s="26" t="s">
        <v>19</v>
      </c>
      <c r="H30" s="26" t="s">
        <v>18</v>
      </c>
      <c r="I30" s="26"/>
      <c r="J30" s="26" t="s">
        <v>18</v>
      </c>
      <c r="K30" s="26" t="s">
        <v>23</v>
      </c>
      <c r="L30" s="26"/>
      <c r="M30" s="26" t="s">
        <v>18</v>
      </c>
      <c r="N30" s="26"/>
      <c r="O30" s="26" t="s">
        <v>18</v>
      </c>
      <c r="P30" s="26" t="s">
        <v>18</v>
      </c>
      <c r="Q30" s="26" t="s">
        <v>18</v>
      </c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</row>
    <row r="31" spans="1:49" s="7" customFormat="1" x14ac:dyDescent="0.25">
      <c r="A31" s="7" t="s">
        <v>15</v>
      </c>
      <c r="B31" s="27">
        <v>28</v>
      </c>
      <c r="C31" s="27" t="s">
        <v>16</v>
      </c>
      <c r="D31" s="27" t="s">
        <v>17</v>
      </c>
      <c r="E31" s="7" t="s">
        <v>27</v>
      </c>
      <c r="F31" s="52" t="s">
        <v>35</v>
      </c>
      <c r="G31" s="27" t="s">
        <v>19</v>
      </c>
      <c r="H31" s="27" t="s">
        <v>18</v>
      </c>
      <c r="I31" s="27"/>
      <c r="J31" s="27" t="s">
        <v>18</v>
      </c>
      <c r="K31" s="27" t="s">
        <v>23</v>
      </c>
      <c r="L31" s="27"/>
      <c r="M31" s="27" t="s">
        <v>18</v>
      </c>
      <c r="N31" s="27"/>
      <c r="O31" s="27" t="s">
        <v>18</v>
      </c>
      <c r="P31" s="27" t="s">
        <v>18</v>
      </c>
      <c r="Q31" s="27" t="s">
        <v>18</v>
      </c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</row>
    <row r="32" spans="1:49" s="4" customFormat="1" x14ac:dyDescent="0.25">
      <c r="A32" s="4" t="s">
        <v>15</v>
      </c>
      <c r="B32" s="24">
        <v>29</v>
      </c>
      <c r="C32" s="24" t="s">
        <v>16</v>
      </c>
      <c r="D32" s="24" t="s">
        <v>17</v>
      </c>
      <c r="E32" s="4" t="s">
        <v>18</v>
      </c>
      <c r="G32" s="24" t="s">
        <v>19</v>
      </c>
      <c r="H32" s="24" t="s">
        <v>18</v>
      </c>
      <c r="I32" s="24"/>
      <c r="J32" s="24" t="s">
        <v>18</v>
      </c>
      <c r="K32" s="24" t="s">
        <v>23</v>
      </c>
      <c r="L32" s="24"/>
      <c r="M32" s="24" t="s">
        <v>18</v>
      </c>
      <c r="N32" s="24"/>
      <c r="O32" s="24" t="s">
        <v>18</v>
      </c>
      <c r="P32" s="24" t="s">
        <v>18</v>
      </c>
      <c r="Q32" s="24" t="s">
        <v>18</v>
      </c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</row>
    <row r="33" spans="1:49" s="4" customFormat="1" x14ac:dyDescent="0.25">
      <c r="A33" s="4" t="s">
        <v>15</v>
      </c>
      <c r="B33" s="24">
        <v>30</v>
      </c>
      <c r="C33" s="24" t="s">
        <v>16</v>
      </c>
      <c r="D33" s="24" t="s">
        <v>17</v>
      </c>
      <c r="E33" s="4" t="s">
        <v>18</v>
      </c>
      <c r="G33" s="24" t="s">
        <v>19</v>
      </c>
      <c r="H33" s="24" t="s">
        <v>18</v>
      </c>
      <c r="I33" s="24"/>
      <c r="J33" s="24" t="s">
        <v>18</v>
      </c>
      <c r="K33" s="24" t="s">
        <v>23</v>
      </c>
      <c r="L33" s="24"/>
      <c r="M33" s="24" t="s">
        <v>18</v>
      </c>
      <c r="N33" s="24"/>
      <c r="O33" s="24" t="s">
        <v>18</v>
      </c>
      <c r="P33" s="24" t="s">
        <v>18</v>
      </c>
      <c r="Q33" s="24" t="s">
        <v>18</v>
      </c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</row>
    <row r="34" spans="1:49" s="7" customFormat="1" x14ac:dyDescent="0.25">
      <c r="A34" s="7" t="s">
        <v>15</v>
      </c>
      <c r="B34" s="27">
        <v>31</v>
      </c>
      <c r="C34" s="27" t="s">
        <v>16</v>
      </c>
      <c r="D34" s="27" t="s">
        <v>17</v>
      </c>
      <c r="E34" s="7" t="s">
        <v>18</v>
      </c>
      <c r="G34" s="27" t="s">
        <v>19</v>
      </c>
      <c r="H34" s="27" t="s">
        <v>18</v>
      </c>
      <c r="I34" s="27"/>
      <c r="J34" s="7" t="s">
        <v>18</v>
      </c>
      <c r="K34" s="27" t="s">
        <v>23</v>
      </c>
      <c r="L34" s="27" t="s">
        <v>39</v>
      </c>
      <c r="M34" s="7" t="s">
        <v>27</v>
      </c>
      <c r="N34" s="27" t="s">
        <v>40</v>
      </c>
      <c r="O34" s="27" t="s">
        <v>18</v>
      </c>
      <c r="P34" s="27" t="s">
        <v>18</v>
      </c>
      <c r="Q34" s="27" t="s">
        <v>18</v>
      </c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</row>
    <row r="35" spans="1:49" s="7" customFormat="1" x14ac:dyDescent="0.25">
      <c r="A35" s="7" t="s">
        <v>15</v>
      </c>
      <c r="B35" s="27">
        <v>32</v>
      </c>
      <c r="C35" s="27" t="s">
        <v>21</v>
      </c>
      <c r="D35" s="27" t="s">
        <v>26</v>
      </c>
      <c r="E35" s="7" t="s">
        <v>18</v>
      </c>
      <c r="G35" s="27" t="s">
        <v>19</v>
      </c>
      <c r="H35" s="27" t="s">
        <v>18</v>
      </c>
      <c r="I35" s="27"/>
      <c r="J35" s="7" t="s">
        <v>18</v>
      </c>
      <c r="K35" s="27" t="s">
        <v>23</v>
      </c>
      <c r="L35" s="27" t="s">
        <v>39</v>
      </c>
      <c r="M35" s="27" t="s">
        <v>27</v>
      </c>
      <c r="N35" s="27" t="s">
        <v>40</v>
      </c>
      <c r="O35" s="27" t="s">
        <v>18</v>
      </c>
      <c r="P35" s="27" t="s">
        <v>18</v>
      </c>
      <c r="Q35" s="27" t="s">
        <v>18</v>
      </c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</row>
    <row r="36" spans="1:49" s="3" customFormat="1" x14ac:dyDescent="0.25">
      <c r="A36" s="3" t="s">
        <v>15</v>
      </c>
      <c r="B36" s="25">
        <v>33</v>
      </c>
      <c r="C36" s="25" t="s">
        <v>21</v>
      </c>
      <c r="D36" s="25" t="s">
        <v>26</v>
      </c>
      <c r="E36" s="3" t="s">
        <v>18</v>
      </c>
      <c r="G36" s="25" t="s">
        <v>19</v>
      </c>
      <c r="H36" s="25" t="s">
        <v>18</v>
      </c>
      <c r="I36" s="25"/>
      <c r="J36" s="25" t="s">
        <v>22</v>
      </c>
      <c r="K36" s="25" t="s">
        <v>23</v>
      </c>
      <c r="L36" s="25"/>
      <c r="M36" s="3" t="s">
        <v>22</v>
      </c>
      <c r="N36" s="25"/>
      <c r="O36" s="25" t="s">
        <v>18</v>
      </c>
      <c r="P36" s="25" t="s">
        <v>18</v>
      </c>
      <c r="Q36" s="25" t="s">
        <v>18</v>
      </c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</row>
    <row r="37" spans="1:49" s="3" customFormat="1" x14ac:dyDescent="0.25">
      <c r="A37" s="53" t="s">
        <v>46</v>
      </c>
      <c r="B37" s="25">
        <v>34</v>
      </c>
      <c r="C37" s="25" t="s">
        <v>21</v>
      </c>
      <c r="D37" s="25" t="s">
        <v>26</v>
      </c>
      <c r="E37" s="3" t="s">
        <v>18</v>
      </c>
      <c r="F37" s="53" t="s">
        <v>2148</v>
      </c>
      <c r="G37" s="25" t="s">
        <v>19</v>
      </c>
      <c r="H37" s="25"/>
      <c r="I37" s="25"/>
      <c r="J37" s="6"/>
      <c r="K37" s="25"/>
      <c r="L37" s="25"/>
      <c r="M37" s="25"/>
      <c r="N37" s="25"/>
      <c r="O37" s="25"/>
      <c r="P37" s="25"/>
      <c r="Q37" s="25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</row>
    <row r="38" spans="1:49" s="3" customFormat="1" x14ac:dyDescent="0.25">
      <c r="B38" s="25"/>
      <c r="C38" s="25"/>
      <c r="D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</row>
    <row r="39" spans="1:49" s="4" customFormat="1" x14ac:dyDescent="0.25">
      <c r="A39" s="4" t="s">
        <v>15</v>
      </c>
      <c r="B39" s="24">
        <v>35</v>
      </c>
      <c r="C39" s="24" t="s">
        <v>21</v>
      </c>
      <c r="D39" s="24" t="s">
        <v>26</v>
      </c>
      <c r="E39" s="4" t="s">
        <v>18</v>
      </c>
      <c r="G39" s="24" t="s">
        <v>19</v>
      </c>
      <c r="H39" s="24" t="s">
        <v>18</v>
      </c>
      <c r="I39" s="24"/>
      <c r="J39" s="24" t="s">
        <v>18</v>
      </c>
      <c r="K39" s="24" t="s">
        <v>23</v>
      </c>
      <c r="L39" s="24"/>
      <c r="M39" s="24" t="s">
        <v>18</v>
      </c>
      <c r="N39" s="24"/>
      <c r="O39" s="24" t="s">
        <v>18</v>
      </c>
      <c r="P39" s="24" t="s">
        <v>18</v>
      </c>
      <c r="Q39" s="24" t="s">
        <v>18</v>
      </c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</row>
    <row r="40" spans="1:49" s="3" customFormat="1" x14ac:dyDescent="0.25">
      <c r="A40" s="3" t="s">
        <v>15</v>
      </c>
      <c r="B40" s="25">
        <v>36</v>
      </c>
      <c r="C40" s="25" t="s">
        <v>16</v>
      </c>
      <c r="D40" s="25" t="s">
        <v>26</v>
      </c>
      <c r="E40" s="3" t="s">
        <v>22</v>
      </c>
      <c r="F40" s="53" t="s">
        <v>41</v>
      </c>
      <c r="G40" s="25" t="s">
        <v>19</v>
      </c>
      <c r="H40" s="25" t="s">
        <v>22</v>
      </c>
      <c r="I40" s="25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</row>
    <row r="41" spans="1:49" s="6" customFormat="1" x14ac:dyDescent="0.25">
      <c r="A41" s="6" t="s">
        <v>15</v>
      </c>
      <c r="B41" s="28">
        <v>37</v>
      </c>
      <c r="C41" s="28" t="s">
        <v>16</v>
      </c>
      <c r="D41" s="28" t="s">
        <v>26</v>
      </c>
      <c r="E41" s="6" t="s">
        <v>18</v>
      </c>
      <c r="G41" s="28" t="s">
        <v>19</v>
      </c>
      <c r="H41" s="28" t="s">
        <v>18</v>
      </c>
      <c r="I41" s="28"/>
      <c r="J41" s="54" t="s">
        <v>18</v>
      </c>
      <c r="K41" s="6" t="s">
        <v>23</v>
      </c>
      <c r="M41" s="54" t="s">
        <v>22</v>
      </c>
      <c r="O41" s="6" t="s">
        <v>18</v>
      </c>
      <c r="P41" s="6" t="s">
        <v>22</v>
      </c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</row>
    <row r="42" spans="1:49" s="3" customFormat="1" x14ac:dyDescent="0.25">
      <c r="A42" s="3" t="s">
        <v>15</v>
      </c>
      <c r="B42" s="25">
        <v>38</v>
      </c>
      <c r="C42" s="25" t="s">
        <v>16</v>
      </c>
      <c r="D42" s="25" t="s">
        <v>26</v>
      </c>
      <c r="E42" s="3" t="s">
        <v>18</v>
      </c>
      <c r="G42" s="25" t="s">
        <v>19</v>
      </c>
      <c r="H42" s="25" t="s">
        <v>22</v>
      </c>
      <c r="I42" s="25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</row>
    <row r="43" spans="1:49" s="7" customFormat="1" x14ac:dyDescent="0.25">
      <c r="A43" s="7" t="s">
        <v>15</v>
      </c>
      <c r="B43" s="27">
        <v>39</v>
      </c>
      <c r="C43" s="27" t="s">
        <v>16</v>
      </c>
      <c r="D43" s="27" t="s">
        <v>26</v>
      </c>
      <c r="E43" s="7" t="s">
        <v>18</v>
      </c>
      <c r="G43" s="27" t="s">
        <v>19</v>
      </c>
      <c r="H43" s="7" t="s">
        <v>22</v>
      </c>
      <c r="I43" s="27" t="s">
        <v>42</v>
      </c>
      <c r="J43" s="7" t="s">
        <v>27</v>
      </c>
      <c r="K43" s="7" t="s">
        <v>23</v>
      </c>
      <c r="L43" s="7" t="s">
        <v>43</v>
      </c>
      <c r="M43" s="52" t="s">
        <v>22</v>
      </c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</row>
    <row r="44" spans="1:49" s="6" customFormat="1" x14ac:dyDescent="0.25">
      <c r="A44" s="6" t="s">
        <v>15</v>
      </c>
      <c r="B44" s="28">
        <v>40</v>
      </c>
      <c r="C44" s="28" t="s">
        <v>21</v>
      </c>
      <c r="D44" s="28" t="s">
        <v>17</v>
      </c>
      <c r="E44" s="6" t="s">
        <v>18</v>
      </c>
      <c r="G44" s="28" t="s">
        <v>19</v>
      </c>
      <c r="H44" s="28" t="s">
        <v>18</v>
      </c>
      <c r="I44" s="28"/>
      <c r="J44" s="54" t="s">
        <v>22</v>
      </c>
      <c r="K44" s="6" t="s">
        <v>23</v>
      </c>
      <c r="M44" s="54" t="s">
        <v>22</v>
      </c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</row>
    <row r="45" spans="1:49" s="3" customFormat="1" x14ac:dyDescent="0.25">
      <c r="A45" s="53" t="s">
        <v>46</v>
      </c>
      <c r="B45" s="25">
        <v>41</v>
      </c>
      <c r="C45" s="25" t="s">
        <v>21</v>
      </c>
      <c r="D45" s="25" t="s">
        <v>17</v>
      </c>
      <c r="E45" s="3" t="s">
        <v>18</v>
      </c>
      <c r="G45" s="25" t="s">
        <v>19</v>
      </c>
      <c r="H45" s="25" t="s">
        <v>18</v>
      </c>
      <c r="I45" s="25"/>
      <c r="J45" s="3" t="s">
        <v>22</v>
      </c>
      <c r="L45" s="3" t="s">
        <v>44</v>
      </c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</row>
    <row r="46" spans="1:49" s="10" customFormat="1" x14ac:dyDescent="0.25">
      <c r="B46" s="29"/>
      <c r="C46" s="29"/>
      <c r="D46" s="29"/>
      <c r="F46" s="10" t="s">
        <v>45</v>
      </c>
      <c r="G46" s="29"/>
      <c r="H46" s="29"/>
      <c r="I46" s="29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</row>
    <row r="47" spans="1:49" s="3" customFormat="1" x14ac:dyDescent="0.25">
      <c r="A47" s="3" t="s">
        <v>15</v>
      </c>
      <c r="B47" s="25">
        <v>42</v>
      </c>
      <c r="C47" s="25" t="s">
        <v>21</v>
      </c>
      <c r="D47" s="25" t="s">
        <v>17</v>
      </c>
      <c r="E47" s="3" t="s">
        <v>22</v>
      </c>
      <c r="F47" s="53" t="s">
        <v>2151</v>
      </c>
      <c r="G47" s="25" t="s">
        <v>19</v>
      </c>
      <c r="H47" s="25" t="s">
        <v>22</v>
      </c>
      <c r="I47" s="25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</row>
    <row r="48" spans="1:49" s="9" customFormat="1" x14ac:dyDescent="0.25">
      <c r="A48" s="9" t="s">
        <v>15</v>
      </c>
      <c r="B48" s="30">
        <v>43</v>
      </c>
      <c r="C48" s="30" t="s">
        <v>21</v>
      </c>
      <c r="D48" s="30" t="s">
        <v>17</v>
      </c>
      <c r="E48" s="9" t="s">
        <v>18</v>
      </c>
      <c r="G48" s="30" t="s">
        <v>19</v>
      </c>
      <c r="H48" s="30" t="s">
        <v>18</v>
      </c>
      <c r="I48" s="30"/>
      <c r="J48" s="9" t="s">
        <v>18</v>
      </c>
      <c r="K48" s="9" t="s">
        <v>23</v>
      </c>
      <c r="M48" s="9" t="s">
        <v>18</v>
      </c>
      <c r="O48" s="9" t="s">
        <v>18</v>
      </c>
      <c r="P48" s="9" t="s">
        <v>18</v>
      </c>
      <c r="Q48" s="9" t="s">
        <v>18</v>
      </c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</row>
    <row r="49" spans="1:49" s="3" customFormat="1" x14ac:dyDescent="0.25">
      <c r="A49" s="3" t="s">
        <v>46</v>
      </c>
      <c r="B49" s="25">
        <v>44</v>
      </c>
      <c r="C49" s="25" t="s">
        <v>16</v>
      </c>
      <c r="D49" s="25" t="s">
        <v>17</v>
      </c>
      <c r="E49" s="3" t="s">
        <v>22</v>
      </c>
      <c r="F49" s="53" t="s">
        <v>47</v>
      </c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</row>
    <row r="50" spans="1:49" x14ac:dyDescent="0.25">
      <c r="B50" s="1"/>
      <c r="C50" s="1"/>
      <c r="D50" s="1"/>
    </row>
    <row r="51" spans="1:49" x14ac:dyDescent="0.25">
      <c r="B51" s="1"/>
      <c r="C51" s="1"/>
      <c r="D51" s="1"/>
      <c r="H51" t="s">
        <v>48</v>
      </c>
    </row>
    <row r="52" spans="1:49" x14ac:dyDescent="0.25">
      <c r="A52" s="3" t="s">
        <v>15</v>
      </c>
      <c r="B52" s="1">
        <v>45</v>
      </c>
      <c r="C52" s="1" t="s">
        <v>16</v>
      </c>
      <c r="D52" s="1" t="s">
        <v>49</v>
      </c>
      <c r="E52" s="5" t="s">
        <v>18</v>
      </c>
      <c r="F52" s="5"/>
      <c r="G52" s="30" t="s">
        <v>19</v>
      </c>
      <c r="H52" s="26" t="s">
        <v>50</v>
      </c>
      <c r="I52" s="26"/>
    </row>
    <row r="53" spans="1:49" s="3" customFormat="1" x14ac:dyDescent="0.25">
      <c r="A53" s="3" t="s">
        <v>15</v>
      </c>
      <c r="B53" s="25">
        <v>46</v>
      </c>
      <c r="C53" s="25" t="s">
        <v>16</v>
      </c>
      <c r="D53" s="25" t="s">
        <v>49</v>
      </c>
      <c r="E53" s="3" t="s">
        <v>18</v>
      </c>
      <c r="G53" s="25" t="s">
        <v>19</v>
      </c>
      <c r="H53" s="25" t="s">
        <v>51</v>
      </c>
      <c r="I53" s="25"/>
      <c r="J53" s="3" t="s">
        <v>52</v>
      </c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</row>
    <row r="54" spans="1:49" s="3" customFormat="1" x14ac:dyDescent="0.25">
      <c r="A54" s="3" t="s">
        <v>15</v>
      </c>
      <c r="B54" s="25">
        <v>47</v>
      </c>
      <c r="C54" s="25" t="s">
        <v>16</v>
      </c>
      <c r="D54" s="25" t="s">
        <v>49</v>
      </c>
      <c r="E54" s="3" t="s">
        <v>18</v>
      </c>
      <c r="G54" s="25" t="s">
        <v>19</v>
      </c>
      <c r="H54" s="25" t="s">
        <v>51</v>
      </c>
      <c r="I54" s="25"/>
      <c r="J54" s="3" t="s">
        <v>52</v>
      </c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</row>
    <row r="55" spans="1:49" x14ac:dyDescent="0.25">
      <c r="A55" s="3" t="s">
        <v>15</v>
      </c>
      <c r="B55" s="1">
        <v>48</v>
      </c>
      <c r="C55" s="1" t="s">
        <v>16</v>
      </c>
      <c r="D55" s="1" t="s">
        <v>49</v>
      </c>
      <c r="E55" s="5" t="s">
        <v>18</v>
      </c>
      <c r="F55" s="5"/>
      <c r="G55" s="30" t="s">
        <v>19</v>
      </c>
      <c r="H55" s="26" t="s">
        <v>50</v>
      </c>
      <c r="I55" s="26"/>
    </row>
    <row r="56" spans="1:49" x14ac:dyDescent="0.25">
      <c r="A56" s="3" t="s">
        <v>15</v>
      </c>
      <c r="B56" s="1">
        <v>49</v>
      </c>
      <c r="C56" s="1" t="s">
        <v>21</v>
      </c>
      <c r="D56" s="1" t="s">
        <v>49</v>
      </c>
      <c r="E56" s="5" t="s">
        <v>18</v>
      </c>
      <c r="F56" s="5"/>
      <c r="G56" s="30" t="s">
        <v>19</v>
      </c>
      <c r="H56" s="26" t="s">
        <v>50</v>
      </c>
      <c r="I56" s="26"/>
      <c r="J56" t="s">
        <v>53</v>
      </c>
    </row>
    <row r="57" spans="1:49" x14ac:dyDescent="0.25">
      <c r="A57" s="3" t="s">
        <v>15</v>
      </c>
      <c r="B57" s="1">
        <v>50</v>
      </c>
      <c r="C57" s="1" t="s">
        <v>21</v>
      </c>
      <c r="D57" s="1" t="s">
        <v>49</v>
      </c>
      <c r="E57" s="5" t="s">
        <v>18</v>
      </c>
      <c r="F57" s="5"/>
      <c r="G57" s="30" t="s">
        <v>19</v>
      </c>
      <c r="H57" s="26" t="s">
        <v>50</v>
      </c>
      <c r="I57" s="26"/>
      <c r="J57" t="s">
        <v>53</v>
      </c>
    </row>
    <row r="58" spans="1:49" x14ac:dyDescent="0.25">
      <c r="A58" s="3" t="s">
        <v>15</v>
      </c>
      <c r="B58" s="1">
        <v>51</v>
      </c>
      <c r="C58" s="1" t="s">
        <v>21</v>
      </c>
      <c r="D58" s="1" t="s">
        <v>49</v>
      </c>
      <c r="E58" s="5" t="s">
        <v>18</v>
      </c>
      <c r="F58" s="5"/>
      <c r="G58" s="30" t="s">
        <v>19</v>
      </c>
      <c r="H58" s="26" t="s">
        <v>50</v>
      </c>
      <c r="I58" s="26"/>
      <c r="J58" t="s">
        <v>53</v>
      </c>
    </row>
    <row r="59" spans="1:49" x14ac:dyDescent="0.25">
      <c r="A59" s="3" t="s">
        <v>15</v>
      </c>
      <c r="B59" s="1">
        <v>52</v>
      </c>
      <c r="C59" s="1" t="s">
        <v>21</v>
      </c>
      <c r="D59" s="1" t="s">
        <v>49</v>
      </c>
      <c r="E59" s="5" t="s">
        <v>18</v>
      </c>
      <c r="F59" s="5"/>
      <c r="G59" s="30" t="s">
        <v>19</v>
      </c>
      <c r="H59" s="26" t="s">
        <v>50</v>
      </c>
      <c r="I59" s="26"/>
      <c r="J59" t="s">
        <v>53</v>
      </c>
    </row>
    <row r="60" spans="1:49" s="3" customFormat="1" x14ac:dyDescent="0.25">
      <c r="A60" s="3" t="s">
        <v>15</v>
      </c>
      <c r="B60" s="25">
        <v>53</v>
      </c>
      <c r="C60" s="25" t="s">
        <v>16</v>
      </c>
      <c r="D60" s="25" t="s">
        <v>49</v>
      </c>
      <c r="E60" s="3" t="s">
        <v>22</v>
      </c>
      <c r="F60" s="53" t="s">
        <v>54</v>
      </c>
      <c r="G60" s="25" t="s">
        <v>19</v>
      </c>
      <c r="H60" s="25" t="s">
        <v>50</v>
      </c>
      <c r="I60" s="25"/>
      <c r="J60" t="s">
        <v>53</v>
      </c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</row>
    <row r="61" spans="1:49" x14ac:dyDescent="0.25">
      <c r="A61" s="3" t="s">
        <v>15</v>
      </c>
      <c r="B61" s="1">
        <v>54</v>
      </c>
      <c r="C61" s="1" t="s">
        <v>16</v>
      </c>
      <c r="D61" s="1" t="s">
        <v>49</v>
      </c>
      <c r="E61" s="5" t="s">
        <v>18</v>
      </c>
      <c r="F61" s="5"/>
      <c r="G61" s="30" t="s">
        <v>19</v>
      </c>
      <c r="H61" s="26" t="s">
        <v>50</v>
      </c>
      <c r="I61" s="26"/>
    </row>
    <row r="62" spans="1:49" x14ac:dyDescent="0.25">
      <c r="A62" s="3" t="s">
        <v>15</v>
      </c>
      <c r="B62" s="1">
        <v>55</v>
      </c>
      <c r="C62" s="1" t="s">
        <v>16</v>
      </c>
      <c r="D62" s="1" t="s">
        <v>49</v>
      </c>
      <c r="E62" s="5" t="s">
        <v>18</v>
      </c>
      <c r="F62" s="5"/>
      <c r="G62" s="30" t="s">
        <v>19</v>
      </c>
      <c r="H62" s="26" t="s">
        <v>50</v>
      </c>
      <c r="I62" s="26"/>
      <c r="J62" t="s">
        <v>53</v>
      </c>
    </row>
    <row r="63" spans="1:49" s="3" customFormat="1" x14ac:dyDescent="0.25">
      <c r="A63" s="3" t="s">
        <v>15</v>
      </c>
      <c r="B63" s="25">
        <v>56</v>
      </c>
      <c r="C63" s="25" t="s">
        <v>16</v>
      </c>
      <c r="D63" s="25" t="s">
        <v>49</v>
      </c>
      <c r="E63" s="3" t="s">
        <v>18</v>
      </c>
      <c r="G63" s="53" t="s">
        <v>55</v>
      </c>
      <c r="H63" s="25" t="s">
        <v>50</v>
      </c>
      <c r="I63" s="25"/>
      <c r="J63" s="3" t="s">
        <v>53</v>
      </c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</row>
    <row r="64" spans="1:49" x14ac:dyDescent="0.25">
      <c r="A64" s="3" t="s">
        <v>15</v>
      </c>
      <c r="B64" s="1">
        <v>57</v>
      </c>
      <c r="C64" s="1" t="s">
        <v>21</v>
      </c>
      <c r="D64" s="1" t="s">
        <v>49</v>
      </c>
      <c r="E64" s="5" t="s">
        <v>18</v>
      </c>
      <c r="F64" s="5"/>
      <c r="G64" s="30" t="s">
        <v>19</v>
      </c>
      <c r="H64" s="26" t="s">
        <v>50</v>
      </c>
      <c r="I64" s="26"/>
    </row>
    <row r="65" spans="1:17" x14ac:dyDescent="0.25">
      <c r="A65" s="3" t="s">
        <v>15</v>
      </c>
      <c r="B65" s="1">
        <v>58</v>
      </c>
      <c r="C65" s="1" t="s">
        <v>21</v>
      </c>
      <c r="D65" s="1" t="s">
        <v>49</v>
      </c>
      <c r="E65" s="5" t="s">
        <v>18</v>
      </c>
      <c r="F65" s="5"/>
      <c r="G65" s="30" t="s">
        <v>19</v>
      </c>
      <c r="H65" s="26" t="s">
        <v>50</v>
      </c>
      <c r="I65" s="26"/>
    </row>
    <row r="66" spans="1:17" x14ac:dyDescent="0.25">
      <c r="A66" s="3" t="s">
        <v>15</v>
      </c>
      <c r="B66" s="1">
        <v>59</v>
      </c>
      <c r="C66" s="1" t="s">
        <v>21</v>
      </c>
      <c r="D66" s="1" t="s">
        <v>49</v>
      </c>
      <c r="E66" s="5" t="s">
        <v>18</v>
      </c>
      <c r="F66" s="5"/>
      <c r="G66" s="30" t="s">
        <v>19</v>
      </c>
      <c r="H66" s="26" t="s">
        <v>50</v>
      </c>
      <c r="I66" s="26"/>
      <c r="J66" t="s">
        <v>53</v>
      </c>
    </row>
    <row r="67" spans="1:17" x14ac:dyDescent="0.25">
      <c r="B67" s="1"/>
      <c r="C67" s="2"/>
      <c r="D67" s="2"/>
      <c r="G67" s="1"/>
      <c r="H67" s="1"/>
      <c r="I67" s="1"/>
    </row>
    <row r="78" spans="1:17" x14ac:dyDescent="0.25">
      <c r="H78" s="36" t="s">
        <v>56</v>
      </c>
      <c r="K78" t="s">
        <v>57</v>
      </c>
      <c r="N78" t="s">
        <v>58</v>
      </c>
      <c r="P78" t="s">
        <v>59</v>
      </c>
    </row>
    <row r="79" spans="1:17" x14ac:dyDescent="0.25">
      <c r="D79" s="35" t="s">
        <v>60</v>
      </c>
      <c r="E79" s="33">
        <f>COUNTIF(E2:E66,"success")</f>
        <v>46</v>
      </c>
      <c r="F79" s="35" t="s">
        <v>61</v>
      </c>
      <c r="G79" s="33">
        <f>COUNTIF(G2:G66,"correct")</f>
        <v>54</v>
      </c>
      <c r="H79" s="35" t="s">
        <v>60</v>
      </c>
      <c r="I79" s="33">
        <f>COUNTIF(H2:H66,"success")</f>
        <v>32</v>
      </c>
      <c r="K79" s="35" t="s">
        <v>60</v>
      </c>
      <c r="L79" s="33">
        <f>COUNTIF(M2:M66,"success")</f>
        <v>20</v>
      </c>
      <c r="N79" s="35" t="s">
        <v>60</v>
      </c>
      <c r="O79" s="33">
        <f>COUNTIF(O2:O66,"success")</f>
        <v>28</v>
      </c>
      <c r="P79" s="35" t="s">
        <v>60</v>
      </c>
      <c r="Q79" s="33">
        <f>COUNTIF(P2:P66,"success")</f>
        <v>27</v>
      </c>
    </row>
    <row r="80" spans="1:17" x14ac:dyDescent="0.25">
      <c r="D80" s="35" t="s">
        <v>62</v>
      </c>
      <c r="E80" s="33">
        <f>COUNTIF(E2:E66,"partial")</f>
        <v>4</v>
      </c>
      <c r="F80" s="35" t="s">
        <v>63</v>
      </c>
      <c r="G80" s="33">
        <f>COUNTIF(G2:G66,"incorrect")</f>
        <v>0</v>
      </c>
      <c r="H80" s="35" t="s">
        <v>62</v>
      </c>
      <c r="I80" s="33">
        <f>COUNTIF(H2:H66,"partial")</f>
        <v>0</v>
      </c>
      <c r="K80" s="35" t="s">
        <v>62</v>
      </c>
      <c r="L80" s="33">
        <f>COUNTIF(M2:M66,"partial")</f>
        <v>4</v>
      </c>
      <c r="N80" s="35" t="s">
        <v>62</v>
      </c>
      <c r="O80" s="33">
        <f>COUNTIF(O2:O66,"partial")</f>
        <v>0</v>
      </c>
      <c r="P80" s="35" t="s">
        <v>62</v>
      </c>
      <c r="Q80" s="33">
        <f>COUNTIF(P2:P66,"partial")</f>
        <v>0</v>
      </c>
    </row>
    <row r="81" spans="1:49" x14ac:dyDescent="0.25">
      <c r="D81" s="35" t="s">
        <v>64</v>
      </c>
      <c r="E81" s="33">
        <f>COUNTIF(E2:E66,"unsuccessfull")</f>
        <v>6</v>
      </c>
      <c r="F81" s="35" t="s">
        <v>55</v>
      </c>
      <c r="G81" s="33">
        <f>COUNTIF(G2:G66,"nothing detected")</f>
        <v>1</v>
      </c>
      <c r="H81" s="35" t="s">
        <v>64</v>
      </c>
      <c r="I81" s="33">
        <f>COUNTIF(H2:H66,"unsuccessfull")</f>
        <v>6</v>
      </c>
      <c r="K81" s="35" t="s">
        <v>64</v>
      </c>
      <c r="L81" s="33">
        <f>COUNTIF(M2:M66,"unsuccessfull")</f>
        <v>8</v>
      </c>
      <c r="N81" s="35" t="s">
        <v>64</v>
      </c>
      <c r="O81" s="33">
        <f>COUNTIF(O2:O66,"unsuccessfull")</f>
        <v>1</v>
      </c>
      <c r="P81" s="35" t="s">
        <v>64</v>
      </c>
      <c r="Q81" s="33">
        <f>COUNTIF(P2:P66,"unsuccessfull")</f>
        <v>2</v>
      </c>
    </row>
    <row r="82" spans="1:49" x14ac:dyDescent="0.25">
      <c r="H82" s="36" t="s">
        <v>65</v>
      </c>
    </row>
    <row r="83" spans="1:49" x14ac:dyDescent="0.25">
      <c r="E83" t="s">
        <v>66</v>
      </c>
      <c r="H83" s="35" t="s">
        <v>67</v>
      </c>
      <c r="I83" s="33">
        <f>COUNTIF(H2:H66,"drove")</f>
        <v>13</v>
      </c>
      <c r="K83" s="36" t="s">
        <v>68</v>
      </c>
    </row>
    <row r="84" spans="1:49" x14ac:dyDescent="0.25">
      <c r="E84" t="s">
        <v>69</v>
      </c>
      <c r="H84" s="35" t="s">
        <v>70</v>
      </c>
      <c r="I84" s="33">
        <f>COUNTIF(H6:H70,"goal failed")</f>
        <v>2</v>
      </c>
      <c r="K84" s="35" t="s">
        <v>60</v>
      </c>
      <c r="L84" s="33">
        <f>COUNTIFS(M2:M66,"success",K2:K66,"YES")</f>
        <v>12</v>
      </c>
    </row>
    <row r="85" spans="1:49" x14ac:dyDescent="0.25">
      <c r="K85" s="35" t="s">
        <v>62</v>
      </c>
      <c r="L85" s="33">
        <f>COUNTIFS(M2:M66,"partial",K2:K66,"YES")</f>
        <v>4</v>
      </c>
    </row>
    <row r="86" spans="1:49" x14ac:dyDescent="0.25">
      <c r="E86" t="s">
        <v>71</v>
      </c>
      <c r="K86" s="35" t="s">
        <v>64</v>
      </c>
      <c r="L86" s="33">
        <f>COUNTIFS(M2:M66,"unsuccessfull",K2:K66,"YES")</f>
        <v>8</v>
      </c>
    </row>
    <row r="87" spans="1:49" x14ac:dyDescent="0.25">
      <c r="E87">
        <v>5</v>
      </c>
      <c r="H87" t="s">
        <v>72</v>
      </c>
      <c r="I87">
        <f>COUNTIF(A2:A49,"y")</f>
        <v>38</v>
      </c>
    </row>
    <row r="88" spans="1:49" x14ac:dyDescent="0.25">
      <c r="H88" t="s">
        <v>2115</v>
      </c>
      <c r="I88">
        <v>15</v>
      </c>
    </row>
    <row r="92" spans="1:49" x14ac:dyDescent="0.25">
      <c r="A92" t="s">
        <v>73</v>
      </c>
    </row>
    <row r="93" spans="1:49" s="34" customFormat="1" x14ac:dyDescent="0.25">
      <c r="A93" s="31" t="s">
        <v>46</v>
      </c>
      <c r="B93" s="32">
        <v>8</v>
      </c>
      <c r="C93" s="32" t="s">
        <v>21</v>
      </c>
      <c r="D93" s="32" t="s">
        <v>17</v>
      </c>
      <c r="E93" s="31" t="s">
        <v>22</v>
      </c>
      <c r="F93" s="32" t="s">
        <v>74</v>
      </c>
      <c r="G93" s="31"/>
      <c r="H93" s="31"/>
      <c r="I93" s="31"/>
      <c r="J93" s="31"/>
      <c r="K93" s="31"/>
      <c r="L93" s="31"/>
      <c r="M93" s="31"/>
      <c r="N93" s="31"/>
      <c r="O93" s="31"/>
      <c r="P93" s="32"/>
      <c r="Q93" s="31"/>
    </row>
    <row r="94" spans="1:49" s="31" customFormat="1" x14ac:dyDescent="0.25">
      <c r="A94" s="31" t="s">
        <v>46</v>
      </c>
      <c r="B94" s="32">
        <v>10</v>
      </c>
      <c r="C94" s="32" t="s">
        <v>21</v>
      </c>
      <c r="D94" s="32" t="s">
        <v>17</v>
      </c>
      <c r="E94" s="31" t="s">
        <v>22</v>
      </c>
      <c r="F94" s="32" t="s">
        <v>75</v>
      </c>
      <c r="P94" s="32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</row>
    <row r="95" spans="1:49" s="31" customFormat="1" x14ac:dyDescent="0.25">
      <c r="A95" s="31" t="s">
        <v>46</v>
      </c>
      <c r="B95" s="32">
        <v>11</v>
      </c>
      <c r="C95" s="32" t="s">
        <v>21</v>
      </c>
      <c r="D95" s="32" t="s">
        <v>17</v>
      </c>
      <c r="E95" s="31" t="s">
        <v>22</v>
      </c>
      <c r="F95" s="32" t="s">
        <v>75</v>
      </c>
      <c r="P95" s="32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88"/>
  <sheetViews>
    <sheetView topLeftCell="A830" workbookViewId="0">
      <selection activeCell="E1340" sqref="E1340:E1341"/>
    </sheetView>
  </sheetViews>
  <sheetFormatPr baseColWidth="10" defaultRowHeight="15" x14ac:dyDescent="0.25"/>
  <cols>
    <col min="5" max="5" width="21.140625" customWidth="1"/>
  </cols>
  <sheetData>
    <row r="1" spans="1:9" x14ac:dyDescent="0.2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</row>
    <row r="2" spans="1:9" x14ac:dyDescent="0.25">
      <c r="B2" t="s">
        <v>85</v>
      </c>
      <c r="C2" s="12">
        <v>1781868938302780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</row>
    <row r="3" spans="1:9" x14ac:dyDescent="0.25">
      <c r="B3" t="s">
        <v>91</v>
      </c>
      <c r="C3" s="12">
        <v>1781868938304300</v>
      </c>
      <c r="D3" t="s">
        <v>86</v>
      </c>
      <c r="E3" t="s">
        <v>92</v>
      </c>
      <c r="F3" t="s">
        <v>93</v>
      </c>
      <c r="G3" t="s">
        <v>94</v>
      </c>
      <c r="H3" t="s">
        <v>95</v>
      </c>
      <c r="I3" t="s">
        <v>95</v>
      </c>
    </row>
    <row r="4" spans="1:9" x14ac:dyDescent="0.25">
      <c r="B4" t="s">
        <v>96</v>
      </c>
      <c r="C4" s="12">
        <v>1781868938307310</v>
      </c>
      <c r="D4" t="s">
        <v>86</v>
      </c>
      <c r="E4" t="s">
        <v>97</v>
      </c>
      <c r="F4" t="s">
        <v>98</v>
      </c>
      <c r="G4" t="s">
        <v>99</v>
      </c>
      <c r="H4" t="s">
        <v>100</v>
      </c>
      <c r="I4" t="s">
        <v>101</v>
      </c>
    </row>
    <row r="5" spans="1:9" x14ac:dyDescent="0.25">
      <c r="B5" t="s">
        <v>102</v>
      </c>
      <c r="C5" s="12">
        <v>1781868971270900</v>
      </c>
      <c r="D5" t="s">
        <v>86</v>
      </c>
      <c r="E5" s="12">
        <v>32968</v>
      </c>
      <c r="F5" t="s">
        <v>103</v>
      </c>
      <c r="G5" t="s">
        <v>89</v>
      </c>
      <c r="H5" t="s">
        <v>104</v>
      </c>
    </row>
    <row r="6" spans="1:9" x14ac:dyDescent="0.25">
      <c r="B6" t="s">
        <v>105</v>
      </c>
      <c r="C6" s="12">
        <v>1781868971272570</v>
      </c>
      <c r="D6" t="s">
        <v>106</v>
      </c>
      <c r="E6" t="s">
        <v>87</v>
      </c>
      <c r="F6" t="s">
        <v>88</v>
      </c>
      <c r="G6" t="s">
        <v>89</v>
      </c>
      <c r="H6" t="s">
        <v>90</v>
      </c>
    </row>
    <row r="7" spans="1:9" x14ac:dyDescent="0.25">
      <c r="B7" t="s">
        <v>107</v>
      </c>
      <c r="C7" s="12">
        <v>1781868971273500</v>
      </c>
      <c r="D7" t="s">
        <v>106</v>
      </c>
      <c r="E7" t="s">
        <v>108</v>
      </c>
      <c r="F7" t="s">
        <v>93</v>
      </c>
      <c r="G7" t="s">
        <v>94</v>
      </c>
      <c r="H7" t="s">
        <v>95</v>
      </c>
      <c r="I7" t="s">
        <v>95</v>
      </c>
    </row>
    <row r="8" spans="1:9" x14ac:dyDescent="0.25">
      <c r="B8" t="s">
        <v>109</v>
      </c>
      <c r="C8" s="12">
        <v>1781868971276290</v>
      </c>
      <c r="D8" t="s">
        <v>106</v>
      </c>
      <c r="E8" t="s">
        <v>110</v>
      </c>
      <c r="F8" t="s">
        <v>98</v>
      </c>
      <c r="G8" t="s">
        <v>99</v>
      </c>
      <c r="H8" t="s">
        <v>100</v>
      </c>
      <c r="I8" t="s">
        <v>101</v>
      </c>
    </row>
    <row r="9" spans="1:9" x14ac:dyDescent="0.25">
      <c r="B9" t="s">
        <v>111</v>
      </c>
      <c r="C9" s="12">
        <v>1781869028195050</v>
      </c>
      <c r="D9" t="s">
        <v>106</v>
      </c>
      <c r="E9" s="12">
        <v>56923</v>
      </c>
      <c r="F9" t="s">
        <v>103</v>
      </c>
      <c r="G9" t="s">
        <v>89</v>
      </c>
      <c r="H9" t="s">
        <v>104</v>
      </c>
    </row>
    <row r="10" spans="1:9" x14ac:dyDescent="0.25">
      <c r="A10" s="14">
        <v>1</v>
      </c>
      <c r="B10" s="14" t="s">
        <v>112</v>
      </c>
      <c r="C10" s="15">
        <v>1781869028197530</v>
      </c>
      <c r="D10" s="14" t="s">
        <v>113</v>
      </c>
      <c r="E10" s="14" t="s">
        <v>87</v>
      </c>
      <c r="F10" s="14" t="s">
        <v>88</v>
      </c>
      <c r="G10" s="14" t="s">
        <v>89</v>
      </c>
      <c r="H10" s="14" t="s">
        <v>90</v>
      </c>
      <c r="I10" s="14"/>
    </row>
    <row r="11" spans="1:9" x14ac:dyDescent="0.25">
      <c r="A11" s="14">
        <v>1</v>
      </c>
      <c r="B11" s="14" t="s">
        <v>114</v>
      </c>
      <c r="C11" s="15">
        <v>1781869028199080</v>
      </c>
      <c r="D11" s="14" t="s">
        <v>113</v>
      </c>
      <c r="E11" s="14" t="s">
        <v>92</v>
      </c>
      <c r="F11" s="14" t="s">
        <v>93</v>
      </c>
      <c r="G11" s="14" t="s">
        <v>94</v>
      </c>
      <c r="H11" s="14" t="s">
        <v>95</v>
      </c>
      <c r="I11" s="14" t="s">
        <v>95</v>
      </c>
    </row>
    <row r="12" spans="1:9" x14ac:dyDescent="0.25">
      <c r="A12" s="14">
        <v>1</v>
      </c>
      <c r="B12" s="14" t="s">
        <v>115</v>
      </c>
      <c r="C12" s="15">
        <v>1781869028203350</v>
      </c>
      <c r="D12" s="14" t="s">
        <v>113</v>
      </c>
      <c r="E12" s="14" t="s">
        <v>116</v>
      </c>
      <c r="F12" s="14" t="s">
        <v>98</v>
      </c>
      <c r="G12" s="14" t="s">
        <v>99</v>
      </c>
      <c r="H12" s="14" t="s">
        <v>100</v>
      </c>
      <c r="I12" s="14" t="s">
        <v>101</v>
      </c>
    </row>
    <row r="13" spans="1:9" x14ac:dyDescent="0.25">
      <c r="A13" s="14">
        <v>1</v>
      </c>
      <c r="B13" s="14" t="s">
        <v>117</v>
      </c>
      <c r="C13" s="15">
        <v>1781869046703000</v>
      </c>
      <c r="D13" s="14" t="s">
        <v>113</v>
      </c>
      <c r="E13" s="15">
        <v>18506</v>
      </c>
      <c r="F13" s="14" t="s">
        <v>93</v>
      </c>
      <c r="G13" s="14" t="s">
        <v>94</v>
      </c>
      <c r="H13" s="14" t="s">
        <v>118</v>
      </c>
      <c r="I13" s="14" t="s">
        <v>118</v>
      </c>
    </row>
    <row r="14" spans="1:9" x14ac:dyDescent="0.25">
      <c r="A14" s="14">
        <v>1</v>
      </c>
      <c r="B14" s="14" t="s">
        <v>119</v>
      </c>
      <c r="C14" s="15">
        <v>1781869046708850</v>
      </c>
      <c r="D14" s="14" t="s">
        <v>113</v>
      </c>
      <c r="E14" s="15">
        <v>18511</v>
      </c>
      <c r="F14" s="14" t="s">
        <v>98</v>
      </c>
      <c r="G14" s="14" t="s">
        <v>99</v>
      </c>
      <c r="H14" s="14" t="s">
        <v>120</v>
      </c>
      <c r="I14" s="14" t="s">
        <v>121</v>
      </c>
    </row>
    <row r="15" spans="1:9" x14ac:dyDescent="0.25">
      <c r="A15" s="14">
        <v>1</v>
      </c>
      <c r="B15" s="14" t="s">
        <v>122</v>
      </c>
      <c r="C15" s="15">
        <v>1781869046710320</v>
      </c>
      <c r="D15" s="14" t="s">
        <v>113</v>
      </c>
      <c r="E15" s="15">
        <v>18513</v>
      </c>
      <c r="F15" s="14" t="s">
        <v>123</v>
      </c>
      <c r="G15" s="14" t="s">
        <v>124</v>
      </c>
      <c r="H15" s="14" t="s">
        <v>120</v>
      </c>
      <c r="I15" s="14" t="s">
        <v>125</v>
      </c>
    </row>
    <row r="16" spans="1:9" x14ac:dyDescent="0.25">
      <c r="A16" s="14">
        <v>1</v>
      </c>
      <c r="B16" s="14" t="s">
        <v>126</v>
      </c>
      <c r="C16" s="15">
        <v>1781869052571370</v>
      </c>
      <c r="D16" s="14" t="s">
        <v>113</v>
      </c>
      <c r="E16" s="15">
        <v>24374</v>
      </c>
      <c r="F16" s="14" t="s">
        <v>123</v>
      </c>
      <c r="G16" s="14" t="s">
        <v>124</v>
      </c>
      <c r="H16" s="14" t="s">
        <v>127</v>
      </c>
      <c r="I16" s="14" t="s">
        <v>128</v>
      </c>
    </row>
    <row r="17" spans="1:9" x14ac:dyDescent="0.25">
      <c r="A17" s="14">
        <v>1</v>
      </c>
      <c r="B17" s="14" t="s">
        <v>129</v>
      </c>
      <c r="C17" s="15">
        <v>1781869052574280</v>
      </c>
      <c r="D17" s="14" t="s">
        <v>113</v>
      </c>
      <c r="E17" s="15">
        <v>24377</v>
      </c>
      <c r="F17" s="14" t="s">
        <v>98</v>
      </c>
      <c r="G17" s="14" t="s">
        <v>99</v>
      </c>
      <c r="H17" s="14" t="s">
        <v>127</v>
      </c>
      <c r="I17" s="14" t="s">
        <v>130</v>
      </c>
    </row>
    <row r="18" spans="1:9" x14ac:dyDescent="0.25">
      <c r="A18" s="14">
        <v>1</v>
      </c>
      <c r="B18" s="14" t="s">
        <v>131</v>
      </c>
      <c r="C18" s="15">
        <v>1781869054979030</v>
      </c>
      <c r="D18" s="14" t="s">
        <v>113</v>
      </c>
      <c r="E18" s="15">
        <v>26782</v>
      </c>
      <c r="F18" s="14" t="s">
        <v>132</v>
      </c>
      <c r="G18" s="14" t="s">
        <v>133</v>
      </c>
      <c r="H18" s="14" t="s">
        <v>134</v>
      </c>
      <c r="I18" s="14" t="s">
        <v>135</v>
      </c>
    </row>
    <row r="19" spans="1:9" x14ac:dyDescent="0.25">
      <c r="A19" s="14">
        <v>1</v>
      </c>
      <c r="B19" s="14" t="s">
        <v>136</v>
      </c>
      <c r="C19" s="15">
        <v>1781869063968570</v>
      </c>
      <c r="D19" s="14" t="s">
        <v>113</v>
      </c>
      <c r="E19" s="15">
        <v>35771</v>
      </c>
      <c r="F19" s="14" t="s">
        <v>98</v>
      </c>
      <c r="G19" s="14" t="s">
        <v>99</v>
      </c>
      <c r="H19" s="14" t="s">
        <v>137</v>
      </c>
      <c r="I19" s="14" t="s">
        <v>138</v>
      </c>
    </row>
    <row r="20" spans="1:9" x14ac:dyDescent="0.25">
      <c r="A20" s="14">
        <v>1</v>
      </c>
      <c r="B20" s="14" t="s">
        <v>139</v>
      </c>
      <c r="C20" s="15">
        <v>1781869063971860</v>
      </c>
      <c r="D20" s="14" t="s">
        <v>113</v>
      </c>
      <c r="E20" s="15">
        <v>35775</v>
      </c>
      <c r="F20" s="14" t="s">
        <v>93</v>
      </c>
      <c r="G20" s="14" t="s">
        <v>94</v>
      </c>
      <c r="H20" s="14" t="s">
        <v>140</v>
      </c>
      <c r="I20" s="14" t="s">
        <v>140</v>
      </c>
    </row>
    <row r="21" spans="1:9" x14ac:dyDescent="0.25">
      <c r="A21" s="14">
        <v>1</v>
      </c>
      <c r="B21" s="14" t="s">
        <v>141</v>
      </c>
      <c r="C21" s="15">
        <v>1781869080510750</v>
      </c>
      <c r="D21" s="14" t="s">
        <v>113</v>
      </c>
      <c r="E21" s="15">
        <v>52313</v>
      </c>
      <c r="F21" s="14" t="s">
        <v>98</v>
      </c>
      <c r="G21" s="14" t="s">
        <v>99</v>
      </c>
      <c r="H21" s="14" t="s">
        <v>120</v>
      </c>
      <c r="I21" s="14" t="s">
        <v>142</v>
      </c>
    </row>
    <row r="22" spans="1:9" x14ac:dyDescent="0.25">
      <c r="A22" s="14">
        <v>1</v>
      </c>
      <c r="B22" s="14" t="s">
        <v>143</v>
      </c>
      <c r="C22" s="15">
        <v>1781869080512010</v>
      </c>
      <c r="D22" s="14" t="s">
        <v>113</v>
      </c>
      <c r="E22" s="15">
        <v>52315</v>
      </c>
      <c r="F22" s="14" t="s">
        <v>123</v>
      </c>
      <c r="G22" s="14" t="s">
        <v>124</v>
      </c>
      <c r="H22" s="14" t="s">
        <v>120</v>
      </c>
      <c r="I22" s="14" t="s">
        <v>144</v>
      </c>
    </row>
    <row r="23" spans="1:9" x14ac:dyDescent="0.25">
      <c r="A23" s="14">
        <v>1</v>
      </c>
      <c r="B23" s="14" t="s">
        <v>145</v>
      </c>
      <c r="C23" s="15">
        <v>1781869080517020</v>
      </c>
      <c r="D23" s="14" t="s">
        <v>113</v>
      </c>
      <c r="E23" s="15">
        <v>52320</v>
      </c>
      <c r="F23" s="14" t="s">
        <v>93</v>
      </c>
      <c r="G23" s="14" t="s">
        <v>94</v>
      </c>
      <c r="H23" s="14" t="s">
        <v>146</v>
      </c>
      <c r="I23" s="14" t="s">
        <v>146</v>
      </c>
    </row>
    <row r="24" spans="1:9" x14ac:dyDescent="0.25">
      <c r="A24" s="14">
        <v>1</v>
      </c>
      <c r="B24" s="14" t="s">
        <v>147</v>
      </c>
      <c r="C24" s="15">
        <v>1781869089973010</v>
      </c>
      <c r="D24" s="14" t="s">
        <v>113</v>
      </c>
      <c r="E24" s="15">
        <v>61776</v>
      </c>
      <c r="F24" s="14" t="s">
        <v>123</v>
      </c>
      <c r="G24" s="14" t="s">
        <v>124</v>
      </c>
      <c r="H24" s="14" t="s">
        <v>148</v>
      </c>
      <c r="I24" s="14" t="s">
        <v>149</v>
      </c>
    </row>
    <row r="25" spans="1:9" x14ac:dyDescent="0.25">
      <c r="A25" s="14">
        <v>1</v>
      </c>
      <c r="B25" s="14" t="s">
        <v>150</v>
      </c>
      <c r="C25" s="15">
        <v>1781869089976550</v>
      </c>
      <c r="D25" s="14" t="s">
        <v>113</v>
      </c>
      <c r="E25" s="15">
        <v>61779</v>
      </c>
      <c r="F25" s="14" t="s">
        <v>98</v>
      </c>
      <c r="G25" s="14" t="s">
        <v>99</v>
      </c>
      <c r="H25" s="14" t="s">
        <v>148</v>
      </c>
      <c r="I25" s="14" t="s">
        <v>151</v>
      </c>
    </row>
    <row r="26" spans="1:9" x14ac:dyDescent="0.25">
      <c r="A26" s="14">
        <v>1</v>
      </c>
      <c r="B26" s="14" t="s">
        <v>152</v>
      </c>
      <c r="C26" s="15">
        <v>1781869124014930</v>
      </c>
      <c r="D26" s="14" t="s">
        <v>113</v>
      </c>
      <c r="E26" s="15">
        <v>95818</v>
      </c>
      <c r="F26" s="14" t="s">
        <v>93</v>
      </c>
      <c r="G26" s="14" t="s">
        <v>94</v>
      </c>
      <c r="H26" s="14" t="s">
        <v>153</v>
      </c>
      <c r="I26" s="14" t="s">
        <v>153</v>
      </c>
    </row>
    <row r="27" spans="1:9" x14ac:dyDescent="0.25">
      <c r="A27" s="14">
        <v>1</v>
      </c>
      <c r="B27" s="14" t="s">
        <v>154</v>
      </c>
      <c r="C27" s="15">
        <v>1781869124019280</v>
      </c>
      <c r="D27" s="14" t="s">
        <v>113</v>
      </c>
      <c r="E27" s="15">
        <v>95822</v>
      </c>
      <c r="F27" s="14" t="s">
        <v>98</v>
      </c>
      <c r="G27" s="14" t="s">
        <v>99</v>
      </c>
      <c r="H27" s="14" t="s">
        <v>120</v>
      </c>
      <c r="I27" s="14" t="s">
        <v>155</v>
      </c>
    </row>
    <row r="28" spans="1:9" x14ac:dyDescent="0.25">
      <c r="A28" s="14">
        <v>1</v>
      </c>
      <c r="B28" s="14" t="s">
        <v>156</v>
      </c>
      <c r="C28" s="15">
        <v>1781869124022490</v>
      </c>
      <c r="D28" s="14" t="s">
        <v>113</v>
      </c>
      <c r="E28" s="15">
        <v>95825</v>
      </c>
      <c r="F28" s="14" t="s">
        <v>123</v>
      </c>
      <c r="G28" s="14" t="s">
        <v>124</v>
      </c>
      <c r="H28" s="14" t="s">
        <v>120</v>
      </c>
      <c r="I28" s="14" t="s">
        <v>157</v>
      </c>
    </row>
    <row r="29" spans="1:9" x14ac:dyDescent="0.25">
      <c r="A29" s="14">
        <v>1</v>
      </c>
      <c r="B29" s="14" t="s">
        <v>158</v>
      </c>
      <c r="C29" s="15">
        <v>1781869125576360</v>
      </c>
      <c r="D29" s="14" t="s">
        <v>113</v>
      </c>
      <c r="E29" s="15">
        <v>97379</v>
      </c>
      <c r="F29" s="14" t="s">
        <v>123</v>
      </c>
      <c r="G29" s="14" t="s">
        <v>124</v>
      </c>
      <c r="H29" s="14" t="s">
        <v>120</v>
      </c>
      <c r="I29" s="14" t="s">
        <v>159</v>
      </c>
    </row>
    <row r="30" spans="1:9" x14ac:dyDescent="0.25">
      <c r="A30" s="14">
        <v>1</v>
      </c>
      <c r="B30" s="14" t="s">
        <v>160</v>
      </c>
      <c r="C30" s="15">
        <v>1781869152070840</v>
      </c>
      <c r="D30" s="14" t="s">
        <v>113</v>
      </c>
      <c r="E30" s="15">
        <v>123873</v>
      </c>
      <c r="F30" s="14" t="s">
        <v>123</v>
      </c>
      <c r="G30" s="14" t="s">
        <v>124</v>
      </c>
      <c r="H30" s="14" t="s">
        <v>161</v>
      </c>
      <c r="I30" s="14" t="s">
        <v>162</v>
      </c>
    </row>
    <row r="31" spans="1:9" x14ac:dyDescent="0.25">
      <c r="A31" s="14">
        <v>1</v>
      </c>
      <c r="B31" s="14" t="s">
        <v>163</v>
      </c>
      <c r="C31" s="15">
        <v>1781869152074860</v>
      </c>
      <c r="D31" s="14" t="s">
        <v>113</v>
      </c>
      <c r="E31" s="15">
        <v>123877</v>
      </c>
      <c r="F31" s="14" t="s">
        <v>98</v>
      </c>
      <c r="G31" s="14" t="s">
        <v>99</v>
      </c>
      <c r="H31" s="14" t="s">
        <v>161</v>
      </c>
      <c r="I31" s="14" t="s">
        <v>164</v>
      </c>
    </row>
    <row r="32" spans="1:9" x14ac:dyDescent="0.25">
      <c r="A32" s="14">
        <v>1</v>
      </c>
      <c r="B32" s="14" t="s">
        <v>165</v>
      </c>
      <c r="C32" s="15">
        <v>1781869227248340</v>
      </c>
      <c r="D32" s="14" t="s">
        <v>113</v>
      </c>
      <c r="E32" s="15">
        <v>199051</v>
      </c>
      <c r="F32" s="14" t="s">
        <v>166</v>
      </c>
      <c r="G32" s="14" t="s">
        <v>167</v>
      </c>
      <c r="H32" s="14" t="s">
        <v>168</v>
      </c>
      <c r="I32" s="14"/>
    </row>
    <row r="33" spans="1:9" x14ac:dyDescent="0.25">
      <c r="A33" s="14">
        <v>1</v>
      </c>
      <c r="B33" s="14" t="s">
        <v>169</v>
      </c>
      <c r="C33" s="15">
        <v>1781869232503470</v>
      </c>
      <c r="D33" s="14" t="s">
        <v>113</v>
      </c>
      <c r="E33" s="15">
        <v>204306</v>
      </c>
      <c r="F33" s="14" t="s">
        <v>93</v>
      </c>
      <c r="G33" s="14" t="s">
        <v>94</v>
      </c>
      <c r="H33" s="14" t="s">
        <v>170</v>
      </c>
      <c r="I33" s="14" t="s">
        <v>170</v>
      </c>
    </row>
    <row r="34" spans="1:9" x14ac:dyDescent="0.25">
      <c r="A34" s="14">
        <v>1</v>
      </c>
      <c r="B34" s="14" t="s">
        <v>171</v>
      </c>
      <c r="C34" s="15">
        <v>1781869232505920</v>
      </c>
      <c r="D34" s="14" t="s">
        <v>113</v>
      </c>
      <c r="E34" s="15">
        <v>204309</v>
      </c>
      <c r="F34" s="14" t="s">
        <v>98</v>
      </c>
      <c r="G34" s="14" t="s">
        <v>99</v>
      </c>
      <c r="H34" s="14" t="s">
        <v>172</v>
      </c>
      <c r="I34" s="14" t="s">
        <v>173</v>
      </c>
    </row>
    <row r="35" spans="1:9" x14ac:dyDescent="0.25">
      <c r="A35" s="14">
        <v>1</v>
      </c>
      <c r="B35" s="14" t="s">
        <v>174</v>
      </c>
      <c r="C35" s="15">
        <v>1781869273307430</v>
      </c>
      <c r="D35" s="14" t="s">
        <v>113</v>
      </c>
      <c r="E35" s="15">
        <v>245110</v>
      </c>
      <c r="F35" s="14" t="s">
        <v>93</v>
      </c>
      <c r="G35" s="14" t="s">
        <v>94</v>
      </c>
      <c r="H35" s="14" t="s">
        <v>175</v>
      </c>
      <c r="I35" s="14" t="s">
        <v>175</v>
      </c>
    </row>
    <row r="36" spans="1:9" x14ac:dyDescent="0.25">
      <c r="A36" s="14">
        <v>1</v>
      </c>
      <c r="B36" s="14" t="s">
        <v>176</v>
      </c>
      <c r="C36" s="15">
        <v>1781869273309010</v>
      </c>
      <c r="D36" s="14" t="s">
        <v>113</v>
      </c>
      <c r="E36" s="15">
        <v>245112</v>
      </c>
      <c r="F36" s="14" t="s">
        <v>98</v>
      </c>
      <c r="G36" s="14" t="s">
        <v>99</v>
      </c>
      <c r="H36" s="14" t="s">
        <v>120</v>
      </c>
      <c r="I36" s="14" t="s">
        <v>177</v>
      </c>
    </row>
    <row r="37" spans="1:9" x14ac:dyDescent="0.25">
      <c r="A37" s="14">
        <v>1</v>
      </c>
      <c r="B37" s="14" t="s">
        <v>178</v>
      </c>
      <c r="C37" s="15">
        <v>1781869280311010</v>
      </c>
      <c r="D37" s="14" t="s">
        <v>113</v>
      </c>
      <c r="E37" s="15">
        <v>252114</v>
      </c>
      <c r="F37" s="14" t="s">
        <v>98</v>
      </c>
      <c r="G37" s="14" t="s">
        <v>99</v>
      </c>
      <c r="H37" s="14" t="s">
        <v>179</v>
      </c>
      <c r="I37" s="14" t="s">
        <v>180</v>
      </c>
    </row>
    <row r="38" spans="1:9" x14ac:dyDescent="0.25">
      <c r="A38" s="14">
        <v>1</v>
      </c>
      <c r="B38" s="14" t="s">
        <v>181</v>
      </c>
      <c r="C38" s="15">
        <v>1781869280311500</v>
      </c>
      <c r="D38" s="14" t="s">
        <v>113</v>
      </c>
      <c r="E38" s="15">
        <v>252114</v>
      </c>
      <c r="F38" s="14" t="s">
        <v>103</v>
      </c>
      <c r="G38" s="14" t="s">
        <v>89</v>
      </c>
      <c r="H38" s="14" t="s">
        <v>179</v>
      </c>
      <c r="I38" s="14"/>
    </row>
    <row r="39" spans="1:9" x14ac:dyDescent="0.25">
      <c r="A39" s="14">
        <v>1</v>
      </c>
      <c r="B39" s="14" t="s">
        <v>182</v>
      </c>
      <c r="C39" s="15">
        <v>1781869318818870</v>
      </c>
      <c r="D39" s="14" t="s">
        <v>183</v>
      </c>
      <c r="E39" s="14" t="s">
        <v>87</v>
      </c>
      <c r="F39" s="14" t="s">
        <v>88</v>
      </c>
      <c r="G39" s="14" t="s">
        <v>89</v>
      </c>
      <c r="H39" s="14" t="s">
        <v>184</v>
      </c>
      <c r="I39" s="14"/>
    </row>
    <row r="40" spans="1:9" x14ac:dyDescent="0.25">
      <c r="A40" s="14">
        <v>1</v>
      </c>
      <c r="B40" s="14" t="s">
        <v>185</v>
      </c>
      <c r="C40" s="15">
        <v>1781869318822140</v>
      </c>
      <c r="D40" s="14" t="s">
        <v>183</v>
      </c>
      <c r="E40" s="14" t="s">
        <v>110</v>
      </c>
      <c r="F40" s="14" t="s">
        <v>166</v>
      </c>
      <c r="G40" s="14" t="s">
        <v>167</v>
      </c>
      <c r="H40" s="14" t="s">
        <v>186</v>
      </c>
      <c r="I40" s="14"/>
    </row>
    <row r="41" spans="1:9" x14ac:dyDescent="0.25">
      <c r="A41" s="14">
        <v>1</v>
      </c>
      <c r="B41" s="14" t="s">
        <v>187</v>
      </c>
      <c r="C41" s="15">
        <v>1781869336682380</v>
      </c>
      <c r="D41" s="14" t="s">
        <v>183</v>
      </c>
      <c r="E41" s="15">
        <v>17864</v>
      </c>
      <c r="F41" s="14" t="s">
        <v>103</v>
      </c>
      <c r="G41" s="14" t="s">
        <v>89</v>
      </c>
      <c r="H41" s="14" t="s">
        <v>188</v>
      </c>
      <c r="I41" s="14"/>
    </row>
    <row r="42" spans="1:9" x14ac:dyDescent="0.25">
      <c r="B42" t="s">
        <v>189</v>
      </c>
      <c r="C42" s="12">
        <v>1781869613486330</v>
      </c>
      <c r="D42" t="s">
        <v>190</v>
      </c>
      <c r="E42" t="s">
        <v>87</v>
      </c>
      <c r="F42" t="s">
        <v>88</v>
      </c>
      <c r="G42" t="s">
        <v>89</v>
      </c>
      <c r="H42" t="s">
        <v>90</v>
      </c>
    </row>
    <row r="43" spans="1:9" x14ac:dyDescent="0.25">
      <c r="B43" t="s">
        <v>191</v>
      </c>
      <c r="C43" s="12">
        <v>1781869613488120</v>
      </c>
      <c r="D43" t="s">
        <v>190</v>
      </c>
      <c r="E43" t="s">
        <v>92</v>
      </c>
      <c r="F43" t="s">
        <v>93</v>
      </c>
      <c r="G43" t="s">
        <v>94</v>
      </c>
      <c r="H43" t="s">
        <v>95</v>
      </c>
      <c r="I43" t="s">
        <v>95</v>
      </c>
    </row>
    <row r="44" spans="1:9" x14ac:dyDescent="0.25">
      <c r="B44" t="s">
        <v>192</v>
      </c>
      <c r="C44" s="12">
        <v>1781869613499990</v>
      </c>
      <c r="D44" t="s">
        <v>190</v>
      </c>
      <c r="E44" t="s">
        <v>193</v>
      </c>
      <c r="F44" t="s">
        <v>98</v>
      </c>
      <c r="G44" t="s">
        <v>99</v>
      </c>
      <c r="H44" t="s">
        <v>100</v>
      </c>
      <c r="I44" t="s">
        <v>101</v>
      </c>
    </row>
    <row r="45" spans="1:9" x14ac:dyDescent="0.25">
      <c r="B45" t="s">
        <v>194</v>
      </c>
      <c r="C45" s="12">
        <v>1781869646282860</v>
      </c>
      <c r="D45" t="s">
        <v>190</v>
      </c>
      <c r="E45" s="12">
        <v>32797</v>
      </c>
      <c r="F45" t="s">
        <v>93</v>
      </c>
      <c r="G45" t="s">
        <v>94</v>
      </c>
      <c r="H45" t="s">
        <v>195</v>
      </c>
      <c r="I45" t="s">
        <v>195</v>
      </c>
    </row>
    <row r="46" spans="1:9" x14ac:dyDescent="0.25">
      <c r="B46" t="s">
        <v>196</v>
      </c>
      <c r="C46" s="12">
        <v>1781869680448300</v>
      </c>
      <c r="D46" t="s">
        <v>190</v>
      </c>
      <c r="E46" s="12">
        <v>66962</v>
      </c>
      <c r="F46" t="s">
        <v>93</v>
      </c>
      <c r="G46" t="s">
        <v>94</v>
      </c>
      <c r="H46" t="s">
        <v>195</v>
      </c>
      <c r="I46" t="s">
        <v>195</v>
      </c>
    </row>
    <row r="47" spans="1:9" x14ac:dyDescent="0.25">
      <c r="B47" t="s">
        <v>197</v>
      </c>
      <c r="C47" s="12">
        <v>1781869724273510</v>
      </c>
      <c r="D47" t="s">
        <v>190</v>
      </c>
      <c r="E47" s="12">
        <v>110787</v>
      </c>
      <c r="F47" t="s">
        <v>103</v>
      </c>
      <c r="G47" t="s">
        <v>89</v>
      </c>
      <c r="H47" t="s">
        <v>104</v>
      </c>
    </row>
    <row r="48" spans="1:9" x14ac:dyDescent="0.25">
      <c r="B48" t="s">
        <v>198</v>
      </c>
      <c r="C48" s="12">
        <v>1781869724275500</v>
      </c>
      <c r="D48" t="s">
        <v>199</v>
      </c>
      <c r="E48" t="s">
        <v>87</v>
      </c>
      <c r="F48" t="s">
        <v>88</v>
      </c>
      <c r="G48" t="s">
        <v>89</v>
      </c>
      <c r="H48" t="s">
        <v>90</v>
      </c>
    </row>
    <row r="49" spans="1:9" x14ac:dyDescent="0.25">
      <c r="A49" s="9">
        <v>2</v>
      </c>
      <c r="B49" s="9" t="s">
        <v>200</v>
      </c>
      <c r="C49" s="13">
        <v>1781869724279660</v>
      </c>
      <c r="D49" s="9" t="s">
        <v>199</v>
      </c>
      <c r="E49" s="9" t="s">
        <v>110</v>
      </c>
      <c r="F49" s="9" t="s">
        <v>93</v>
      </c>
      <c r="G49" s="9" t="s">
        <v>94</v>
      </c>
      <c r="H49" s="9" t="s">
        <v>95</v>
      </c>
      <c r="I49" s="9" t="s">
        <v>95</v>
      </c>
    </row>
    <row r="50" spans="1:9" x14ac:dyDescent="0.25">
      <c r="A50" s="9">
        <v>2</v>
      </c>
      <c r="B50" s="9" t="s">
        <v>201</v>
      </c>
      <c r="C50" s="13">
        <v>1781869724281040</v>
      </c>
      <c r="D50" s="9" t="s">
        <v>199</v>
      </c>
      <c r="E50" s="9" t="s">
        <v>116</v>
      </c>
      <c r="F50" s="9" t="s">
        <v>98</v>
      </c>
      <c r="G50" s="9" t="s">
        <v>99</v>
      </c>
      <c r="H50" s="9" t="s">
        <v>100</v>
      </c>
      <c r="I50" s="9" t="s">
        <v>101</v>
      </c>
    </row>
    <row r="51" spans="1:9" x14ac:dyDescent="0.25">
      <c r="A51" s="9">
        <v>2</v>
      </c>
      <c r="B51" s="9" t="s">
        <v>202</v>
      </c>
      <c r="C51" s="13">
        <v>1781869739168330</v>
      </c>
      <c r="D51" s="9" t="s">
        <v>199</v>
      </c>
      <c r="E51" s="13">
        <v>14893</v>
      </c>
      <c r="F51" s="9" t="s">
        <v>93</v>
      </c>
      <c r="G51" s="9" t="s">
        <v>94</v>
      </c>
      <c r="H51" s="9" t="s">
        <v>118</v>
      </c>
      <c r="I51" s="9" t="s">
        <v>118</v>
      </c>
    </row>
    <row r="52" spans="1:9" x14ac:dyDescent="0.25">
      <c r="A52" s="9">
        <v>2</v>
      </c>
      <c r="B52" s="9" t="s">
        <v>203</v>
      </c>
      <c r="C52" s="13">
        <v>1781869739174040</v>
      </c>
      <c r="D52" s="9" t="s">
        <v>199</v>
      </c>
      <c r="E52" s="13">
        <v>14899</v>
      </c>
      <c r="F52" s="9" t="s">
        <v>98</v>
      </c>
      <c r="G52" s="9" t="s">
        <v>99</v>
      </c>
      <c r="H52" s="9" t="s">
        <v>120</v>
      </c>
      <c r="I52" s="9" t="s">
        <v>121</v>
      </c>
    </row>
    <row r="53" spans="1:9" x14ac:dyDescent="0.25">
      <c r="A53" s="9">
        <v>2</v>
      </c>
      <c r="B53" s="9" t="s">
        <v>204</v>
      </c>
      <c r="C53" s="13">
        <v>1781869739174640</v>
      </c>
      <c r="D53" s="9" t="s">
        <v>199</v>
      </c>
      <c r="E53" s="13">
        <v>14899</v>
      </c>
      <c r="F53" s="9" t="s">
        <v>123</v>
      </c>
      <c r="G53" s="9" t="s">
        <v>124</v>
      </c>
      <c r="H53" s="9" t="s">
        <v>120</v>
      </c>
      <c r="I53" s="9" t="s">
        <v>125</v>
      </c>
    </row>
    <row r="54" spans="1:9" x14ac:dyDescent="0.25">
      <c r="A54" s="9">
        <v>2</v>
      </c>
      <c r="B54" s="9" t="s">
        <v>205</v>
      </c>
      <c r="C54" s="13">
        <v>1781869746771340</v>
      </c>
      <c r="D54" s="9" t="s">
        <v>199</v>
      </c>
      <c r="E54" s="13">
        <v>22496</v>
      </c>
      <c r="F54" s="9" t="s">
        <v>123</v>
      </c>
      <c r="G54" s="9" t="s">
        <v>124</v>
      </c>
      <c r="H54" s="9" t="s">
        <v>127</v>
      </c>
      <c r="I54" s="9" t="s">
        <v>206</v>
      </c>
    </row>
    <row r="55" spans="1:9" x14ac:dyDescent="0.25">
      <c r="A55" s="9">
        <v>2</v>
      </c>
      <c r="B55" s="9" t="s">
        <v>207</v>
      </c>
      <c r="C55" s="13">
        <v>1781869746776470</v>
      </c>
      <c r="D55" s="9" t="s">
        <v>199</v>
      </c>
      <c r="E55" s="13">
        <v>22501</v>
      </c>
      <c r="F55" s="9" t="s">
        <v>98</v>
      </c>
      <c r="G55" s="9" t="s">
        <v>99</v>
      </c>
      <c r="H55" s="9" t="s">
        <v>127</v>
      </c>
      <c r="I55" s="9" t="s">
        <v>208</v>
      </c>
    </row>
    <row r="56" spans="1:9" x14ac:dyDescent="0.25">
      <c r="A56" s="9">
        <v>2</v>
      </c>
      <c r="B56" s="9" t="s">
        <v>209</v>
      </c>
      <c r="C56" s="13">
        <v>1781869748698470</v>
      </c>
      <c r="D56" s="9" t="s">
        <v>199</v>
      </c>
      <c r="E56" s="13">
        <v>24423</v>
      </c>
      <c r="F56" s="9" t="s">
        <v>132</v>
      </c>
      <c r="G56" s="9" t="s">
        <v>133</v>
      </c>
      <c r="H56" s="9" t="s">
        <v>134</v>
      </c>
      <c r="I56" s="9" t="s">
        <v>135</v>
      </c>
    </row>
    <row r="57" spans="1:9" x14ac:dyDescent="0.25">
      <c r="A57" s="9">
        <v>2</v>
      </c>
      <c r="B57" s="9" t="s">
        <v>210</v>
      </c>
      <c r="C57" s="13">
        <v>1781869766308770</v>
      </c>
      <c r="D57" s="9" t="s">
        <v>199</v>
      </c>
      <c r="E57" s="13">
        <v>42033</v>
      </c>
      <c r="F57" s="9" t="s">
        <v>93</v>
      </c>
      <c r="G57" s="9" t="s">
        <v>94</v>
      </c>
      <c r="H57" s="9" t="s">
        <v>140</v>
      </c>
      <c r="I57" s="9" t="s">
        <v>140</v>
      </c>
    </row>
    <row r="58" spans="1:9" x14ac:dyDescent="0.25">
      <c r="A58" s="9">
        <v>2</v>
      </c>
      <c r="B58" s="9" t="s">
        <v>211</v>
      </c>
      <c r="C58" s="13">
        <v>1781869766310480</v>
      </c>
      <c r="D58" s="9" t="s">
        <v>199</v>
      </c>
      <c r="E58" s="13">
        <v>42035</v>
      </c>
      <c r="F58" s="9" t="s">
        <v>98</v>
      </c>
      <c r="G58" s="9" t="s">
        <v>99</v>
      </c>
      <c r="H58" s="9" t="s">
        <v>137</v>
      </c>
      <c r="I58" s="9" t="s">
        <v>138</v>
      </c>
    </row>
    <row r="59" spans="1:9" x14ac:dyDescent="0.25">
      <c r="A59" s="9">
        <v>2</v>
      </c>
      <c r="B59" s="9" t="s">
        <v>212</v>
      </c>
      <c r="C59" s="13">
        <v>1781869780274410</v>
      </c>
      <c r="D59" s="9" t="s">
        <v>199</v>
      </c>
      <c r="E59" s="13">
        <v>55999</v>
      </c>
      <c r="F59" s="9" t="s">
        <v>166</v>
      </c>
      <c r="G59" s="9" t="s">
        <v>167</v>
      </c>
      <c r="H59" s="9" t="s">
        <v>213</v>
      </c>
      <c r="I59" s="9"/>
    </row>
    <row r="60" spans="1:9" x14ac:dyDescent="0.25">
      <c r="A60" s="9">
        <v>2</v>
      </c>
      <c r="B60" s="9" t="s">
        <v>214</v>
      </c>
      <c r="C60" s="13">
        <v>1781869791345570</v>
      </c>
      <c r="D60" s="9" t="s">
        <v>199</v>
      </c>
      <c r="E60" s="13">
        <v>67070</v>
      </c>
      <c r="F60" s="9" t="s">
        <v>93</v>
      </c>
      <c r="G60" s="9" t="s">
        <v>94</v>
      </c>
      <c r="H60" s="9" t="s">
        <v>146</v>
      </c>
      <c r="I60" s="9" t="s">
        <v>146</v>
      </c>
    </row>
    <row r="61" spans="1:9" x14ac:dyDescent="0.25">
      <c r="A61" s="9">
        <v>2</v>
      </c>
      <c r="B61" s="9" t="s">
        <v>215</v>
      </c>
      <c r="C61" s="13">
        <v>1781869791349740</v>
      </c>
      <c r="D61" s="9" t="s">
        <v>199</v>
      </c>
      <c r="E61" s="13">
        <v>67074</v>
      </c>
      <c r="F61" s="9" t="s">
        <v>98</v>
      </c>
      <c r="G61" s="9" t="s">
        <v>99</v>
      </c>
      <c r="H61" s="9" t="s">
        <v>120</v>
      </c>
      <c r="I61" s="9" t="s">
        <v>142</v>
      </c>
    </row>
    <row r="62" spans="1:9" x14ac:dyDescent="0.25">
      <c r="A62" s="9">
        <v>2</v>
      </c>
      <c r="B62" s="9" t="s">
        <v>216</v>
      </c>
      <c r="C62" s="13">
        <v>1781869791351410</v>
      </c>
      <c r="D62" s="9" t="s">
        <v>199</v>
      </c>
      <c r="E62" s="13">
        <v>67076</v>
      </c>
      <c r="F62" s="9" t="s">
        <v>123</v>
      </c>
      <c r="G62" s="9" t="s">
        <v>124</v>
      </c>
      <c r="H62" s="9" t="s">
        <v>120</v>
      </c>
      <c r="I62" s="9" t="s">
        <v>144</v>
      </c>
    </row>
    <row r="63" spans="1:9" x14ac:dyDescent="0.25">
      <c r="A63" s="9">
        <v>2</v>
      </c>
      <c r="B63" s="9" t="s">
        <v>217</v>
      </c>
      <c r="C63" s="13">
        <v>1781869800775290</v>
      </c>
      <c r="D63" s="9" t="s">
        <v>199</v>
      </c>
      <c r="E63" s="13">
        <v>76500</v>
      </c>
      <c r="F63" s="9" t="s">
        <v>123</v>
      </c>
      <c r="G63" s="9" t="s">
        <v>124</v>
      </c>
      <c r="H63" s="9" t="s">
        <v>148</v>
      </c>
      <c r="I63" s="9" t="s">
        <v>149</v>
      </c>
    </row>
    <row r="64" spans="1:9" x14ac:dyDescent="0.25">
      <c r="A64" s="9">
        <v>2</v>
      </c>
      <c r="B64" s="9" t="s">
        <v>218</v>
      </c>
      <c r="C64" s="13">
        <v>1781869800780010</v>
      </c>
      <c r="D64" s="9" t="s">
        <v>199</v>
      </c>
      <c r="E64" s="13">
        <v>76505</v>
      </c>
      <c r="F64" s="9" t="s">
        <v>98</v>
      </c>
      <c r="G64" s="9" t="s">
        <v>99</v>
      </c>
      <c r="H64" s="9" t="s">
        <v>148</v>
      </c>
      <c r="I64" s="9" t="s">
        <v>151</v>
      </c>
    </row>
    <row r="65" spans="1:9" x14ac:dyDescent="0.25">
      <c r="A65" s="9">
        <v>2</v>
      </c>
      <c r="B65" s="9" t="s">
        <v>219</v>
      </c>
      <c r="C65" s="13">
        <v>1781869808739470</v>
      </c>
      <c r="D65" s="9" t="s">
        <v>199</v>
      </c>
      <c r="E65" s="13">
        <v>84464</v>
      </c>
      <c r="F65" s="9" t="s">
        <v>93</v>
      </c>
      <c r="G65" s="9" t="s">
        <v>94</v>
      </c>
      <c r="H65" s="9" t="s">
        <v>153</v>
      </c>
      <c r="I65" s="9" t="s">
        <v>153</v>
      </c>
    </row>
    <row r="66" spans="1:9" x14ac:dyDescent="0.25">
      <c r="A66" s="9">
        <v>2</v>
      </c>
      <c r="B66" s="9" t="s">
        <v>220</v>
      </c>
      <c r="C66" s="13">
        <v>1781869808741280</v>
      </c>
      <c r="D66" s="9" t="s">
        <v>199</v>
      </c>
      <c r="E66" s="13">
        <v>84466</v>
      </c>
      <c r="F66" s="9" t="s">
        <v>98</v>
      </c>
      <c r="G66" s="9" t="s">
        <v>99</v>
      </c>
      <c r="H66" s="9" t="s">
        <v>120</v>
      </c>
      <c r="I66" s="9" t="s">
        <v>155</v>
      </c>
    </row>
    <row r="67" spans="1:9" x14ac:dyDescent="0.25">
      <c r="A67" s="9">
        <v>2</v>
      </c>
      <c r="B67" s="9" t="s">
        <v>221</v>
      </c>
      <c r="C67" s="13">
        <v>1781869808742890</v>
      </c>
      <c r="D67" s="9" t="s">
        <v>199</v>
      </c>
      <c r="E67" s="13">
        <v>84468</v>
      </c>
      <c r="F67" s="9" t="s">
        <v>123</v>
      </c>
      <c r="G67" s="9" t="s">
        <v>124</v>
      </c>
      <c r="H67" s="9" t="s">
        <v>120</v>
      </c>
      <c r="I67" s="9" t="s">
        <v>157</v>
      </c>
    </row>
    <row r="68" spans="1:9" x14ac:dyDescent="0.25">
      <c r="A68" s="9">
        <v>2</v>
      </c>
      <c r="B68" s="9" t="s">
        <v>222</v>
      </c>
      <c r="C68" s="13">
        <v>1781869810273940</v>
      </c>
      <c r="D68" s="9" t="s">
        <v>199</v>
      </c>
      <c r="E68" s="13">
        <v>85999</v>
      </c>
      <c r="F68" s="9" t="s">
        <v>123</v>
      </c>
      <c r="G68" s="9" t="s">
        <v>124</v>
      </c>
      <c r="H68" s="9" t="s">
        <v>120</v>
      </c>
      <c r="I68" s="9" t="s">
        <v>159</v>
      </c>
    </row>
    <row r="69" spans="1:9" x14ac:dyDescent="0.25">
      <c r="A69" s="9">
        <v>2</v>
      </c>
      <c r="B69" s="9" t="s">
        <v>223</v>
      </c>
      <c r="C69" s="13">
        <v>1781869810971740</v>
      </c>
      <c r="D69" s="9" t="s">
        <v>199</v>
      </c>
      <c r="E69" s="13">
        <v>86696</v>
      </c>
      <c r="F69" s="9" t="s">
        <v>123</v>
      </c>
      <c r="G69" s="9" t="s">
        <v>124</v>
      </c>
      <c r="H69" s="9" t="s">
        <v>161</v>
      </c>
      <c r="I69" s="9" t="s">
        <v>224</v>
      </c>
    </row>
    <row r="70" spans="1:9" x14ac:dyDescent="0.25">
      <c r="A70" s="9">
        <v>2</v>
      </c>
      <c r="B70" s="9" t="s">
        <v>225</v>
      </c>
      <c r="C70" s="13">
        <v>1781869810973590</v>
      </c>
      <c r="D70" s="9" t="s">
        <v>199</v>
      </c>
      <c r="E70" s="13">
        <v>86698</v>
      </c>
      <c r="F70" s="9" t="s">
        <v>98</v>
      </c>
      <c r="G70" s="9" t="s">
        <v>99</v>
      </c>
      <c r="H70" s="9" t="s">
        <v>161</v>
      </c>
      <c r="I70" s="9" t="s">
        <v>226</v>
      </c>
    </row>
    <row r="71" spans="1:9" x14ac:dyDescent="0.25">
      <c r="A71" s="9">
        <v>2</v>
      </c>
      <c r="B71" s="9" t="s">
        <v>227</v>
      </c>
      <c r="C71" s="13">
        <v>1781869844904280</v>
      </c>
      <c r="D71" s="9" t="s">
        <v>199</v>
      </c>
      <c r="E71" s="13">
        <v>120629</v>
      </c>
      <c r="F71" s="9" t="s">
        <v>166</v>
      </c>
      <c r="G71" s="9" t="s">
        <v>167</v>
      </c>
      <c r="H71" s="9" t="s">
        <v>168</v>
      </c>
      <c r="I71" s="9"/>
    </row>
    <row r="72" spans="1:9" x14ac:dyDescent="0.25">
      <c r="A72" s="9">
        <v>2</v>
      </c>
      <c r="B72" s="9" t="s">
        <v>228</v>
      </c>
      <c r="C72" s="13">
        <v>1781869855117350</v>
      </c>
      <c r="D72" s="9" t="s">
        <v>199</v>
      </c>
      <c r="E72" s="13">
        <v>130842</v>
      </c>
      <c r="F72" s="9" t="s">
        <v>93</v>
      </c>
      <c r="G72" s="9" t="s">
        <v>94</v>
      </c>
      <c r="H72" s="9" t="s">
        <v>170</v>
      </c>
      <c r="I72" s="9" t="s">
        <v>170</v>
      </c>
    </row>
    <row r="73" spans="1:9" x14ac:dyDescent="0.25">
      <c r="A73" s="9">
        <v>2</v>
      </c>
      <c r="B73" s="9" t="s">
        <v>229</v>
      </c>
      <c r="C73" s="13">
        <v>1781869855325870</v>
      </c>
      <c r="D73" s="9" t="s">
        <v>199</v>
      </c>
      <c r="E73" s="13">
        <v>131051</v>
      </c>
      <c r="F73" s="9" t="s">
        <v>98</v>
      </c>
      <c r="G73" s="9" t="s">
        <v>99</v>
      </c>
      <c r="H73" s="9" t="s">
        <v>172</v>
      </c>
      <c r="I73" s="9" t="s">
        <v>173</v>
      </c>
    </row>
    <row r="74" spans="1:9" x14ac:dyDescent="0.25">
      <c r="A74" s="9">
        <v>2</v>
      </c>
      <c r="B74" s="9" t="s">
        <v>230</v>
      </c>
      <c r="C74" s="13">
        <v>1781869882648360</v>
      </c>
      <c r="D74" s="9" t="s">
        <v>199</v>
      </c>
      <c r="E74" s="13">
        <v>158373</v>
      </c>
      <c r="F74" s="9" t="s">
        <v>93</v>
      </c>
      <c r="G74" s="9" t="s">
        <v>94</v>
      </c>
      <c r="H74" s="9" t="s">
        <v>175</v>
      </c>
      <c r="I74" s="9" t="s">
        <v>175</v>
      </c>
    </row>
    <row r="75" spans="1:9" x14ac:dyDescent="0.25">
      <c r="A75" s="9">
        <v>2</v>
      </c>
      <c r="B75" s="9" t="s">
        <v>231</v>
      </c>
      <c r="C75" s="13">
        <v>1781869882651640</v>
      </c>
      <c r="D75" s="9" t="s">
        <v>199</v>
      </c>
      <c r="E75" s="13">
        <v>158376</v>
      </c>
      <c r="F75" s="9" t="s">
        <v>98</v>
      </c>
      <c r="G75" s="9" t="s">
        <v>99</v>
      </c>
      <c r="H75" s="9" t="s">
        <v>120</v>
      </c>
      <c r="I75" s="9" t="s">
        <v>177</v>
      </c>
    </row>
    <row r="76" spans="1:9" x14ac:dyDescent="0.25">
      <c r="A76" s="9">
        <v>2</v>
      </c>
      <c r="B76" s="9" t="s">
        <v>232</v>
      </c>
      <c r="C76" s="13">
        <v>1781869889653830</v>
      </c>
      <c r="D76" s="9" t="s">
        <v>199</v>
      </c>
      <c r="E76" s="13">
        <v>165378</v>
      </c>
      <c r="F76" s="9" t="s">
        <v>98</v>
      </c>
      <c r="G76" s="9" t="s">
        <v>99</v>
      </c>
      <c r="H76" s="9" t="s">
        <v>179</v>
      </c>
      <c r="I76" s="9" t="s">
        <v>180</v>
      </c>
    </row>
    <row r="77" spans="1:9" x14ac:dyDescent="0.25">
      <c r="A77" s="9">
        <v>2</v>
      </c>
      <c r="B77" s="9" t="s">
        <v>233</v>
      </c>
      <c r="C77" s="13">
        <v>1781869889654400</v>
      </c>
      <c r="D77" s="9" t="s">
        <v>199</v>
      </c>
      <c r="E77" s="13">
        <v>165379</v>
      </c>
      <c r="F77" s="9" t="s">
        <v>103</v>
      </c>
      <c r="G77" s="9" t="s">
        <v>89</v>
      </c>
      <c r="H77" s="9" t="s">
        <v>179</v>
      </c>
      <c r="I77" s="9"/>
    </row>
    <row r="78" spans="1:9" x14ac:dyDescent="0.25">
      <c r="A78" s="6">
        <v>3</v>
      </c>
      <c r="B78" s="6" t="s">
        <v>234</v>
      </c>
      <c r="C78" s="11">
        <v>1781869993933690</v>
      </c>
      <c r="D78" s="6" t="s">
        <v>235</v>
      </c>
      <c r="E78" s="6" t="s">
        <v>87</v>
      </c>
      <c r="F78" s="6" t="s">
        <v>88</v>
      </c>
      <c r="G78" s="6" t="s">
        <v>89</v>
      </c>
      <c r="H78" s="6" t="s">
        <v>90</v>
      </c>
      <c r="I78" s="6"/>
    </row>
    <row r="79" spans="1:9" x14ac:dyDescent="0.25">
      <c r="A79" s="6">
        <v>3</v>
      </c>
      <c r="B79" s="6" t="s">
        <v>236</v>
      </c>
      <c r="C79" s="11">
        <v>1781869993935320</v>
      </c>
      <c r="D79" s="6" t="s">
        <v>235</v>
      </c>
      <c r="E79" s="6" t="s">
        <v>92</v>
      </c>
      <c r="F79" s="6" t="s">
        <v>93</v>
      </c>
      <c r="G79" s="6" t="s">
        <v>94</v>
      </c>
      <c r="H79" s="6" t="s">
        <v>95</v>
      </c>
      <c r="I79" s="6" t="s">
        <v>95</v>
      </c>
    </row>
    <row r="80" spans="1:9" x14ac:dyDescent="0.25">
      <c r="A80" s="6">
        <v>3</v>
      </c>
      <c r="B80" s="6" t="s">
        <v>237</v>
      </c>
      <c r="C80" s="11">
        <v>1781869993944960</v>
      </c>
      <c r="D80" s="6" t="s">
        <v>235</v>
      </c>
      <c r="E80" s="6" t="s">
        <v>238</v>
      </c>
      <c r="F80" s="6" t="s">
        <v>98</v>
      </c>
      <c r="G80" s="6" t="s">
        <v>99</v>
      </c>
      <c r="H80" s="6" t="s">
        <v>100</v>
      </c>
      <c r="I80" s="6" t="s">
        <v>101</v>
      </c>
    </row>
    <row r="81" spans="1:9" x14ac:dyDescent="0.25">
      <c r="A81" s="6">
        <v>3</v>
      </c>
      <c r="B81" s="6" t="s">
        <v>239</v>
      </c>
      <c r="C81" s="11">
        <v>1781870012298800</v>
      </c>
      <c r="D81" s="6" t="s">
        <v>235</v>
      </c>
      <c r="E81" s="11">
        <v>18365</v>
      </c>
      <c r="F81" s="6" t="s">
        <v>93</v>
      </c>
      <c r="G81" s="6" t="s">
        <v>94</v>
      </c>
      <c r="H81" s="6" t="s">
        <v>118</v>
      </c>
      <c r="I81" s="6" t="s">
        <v>118</v>
      </c>
    </row>
    <row r="82" spans="1:9" x14ac:dyDescent="0.25">
      <c r="A82" s="6">
        <v>3</v>
      </c>
      <c r="B82" s="6" t="s">
        <v>240</v>
      </c>
      <c r="C82" s="11">
        <v>1781870012304580</v>
      </c>
      <c r="D82" s="6" t="s">
        <v>235</v>
      </c>
      <c r="E82" s="11">
        <v>18371</v>
      </c>
      <c r="F82" s="6" t="s">
        <v>98</v>
      </c>
      <c r="G82" s="6" t="s">
        <v>99</v>
      </c>
      <c r="H82" s="6" t="s">
        <v>120</v>
      </c>
      <c r="I82" s="6" t="s">
        <v>121</v>
      </c>
    </row>
    <row r="83" spans="1:9" x14ac:dyDescent="0.25">
      <c r="A83" s="6">
        <v>3</v>
      </c>
      <c r="B83" s="6" t="s">
        <v>241</v>
      </c>
      <c r="C83" s="11">
        <v>1781870012305270</v>
      </c>
      <c r="D83" s="6" t="s">
        <v>235</v>
      </c>
      <c r="E83" s="11">
        <v>18372</v>
      </c>
      <c r="F83" s="6" t="s">
        <v>123</v>
      </c>
      <c r="G83" s="6" t="s">
        <v>124</v>
      </c>
      <c r="H83" s="6" t="s">
        <v>120</v>
      </c>
      <c r="I83" s="6" t="s">
        <v>125</v>
      </c>
    </row>
    <row r="84" spans="1:9" x14ac:dyDescent="0.25">
      <c r="A84" s="6">
        <v>3</v>
      </c>
      <c r="B84" s="6" t="s">
        <v>242</v>
      </c>
      <c r="C84" s="11">
        <v>1781870030973610</v>
      </c>
      <c r="D84" s="6" t="s">
        <v>235</v>
      </c>
      <c r="E84" s="11">
        <v>37040</v>
      </c>
      <c r="F84" s="6" t="s">
        <v>123</v>
      </c>
      <c r="G84" s="6" t="s">
        <v>124</v>
      </c>
      <c r="H84" s="6" t="s">
        <v>127</v>
      </c>
      <c r="I84" s="6" t="s">
        <v>243</v>
      </c>
    </row>
    <row r="85" spans="1:9" x14ac:dyDescent="0.25">
      <c r="A85" s="6">
        <v>3</v>
      </c>
      <c r="B85" s="6" t="s">
        <v>244</v>
      </c>
      <c r="C85" s="11">
        <v>1781870030977760</v>
      </c>
      <c r="D85" s="6" t="s">
        <v>235</v>
      </c>
      <c r="E85" s="11">
        <v>37044</v>
      </c>
      <c r="F85" s="6" t="s">
        <v>98</v>
      </c>
      <c r="G85" s="6" t="s">
        <v>99</v>
      </c>
      <c r="H85" s="6" t="s">
        <v>127</v>
      </c>
      <c r="I85" s="6" t="s">
        <v>245</v>
      </c>
    </row>
    <row r="86" spans="1:9" x14ac:dyDescent="0.25">
      <c r="A86" s="6">
        <v>3</v>
      </c>
      <c r="B86" s="6" t="s">
        <v>246</v>
      </c>
      <c r="C86" s="11">
        <v>1781870032969200</v>
      </c>
      <c r="D86" s="6" t="s">
        <v>235</v>
      </c>
      <c r="E86" s="11">
        <v>39036</v>
      </c>
      <c r="F86" s="6" t="s">
        <v>132</v>
      </c>
      <c r="G86" s="6" t="s">
        <v>133</v>
      </c>
      <c r="H86" s="6" t="s">
        <v>134</v>
      </c>
      <c r="I86" s="6" t="s">
        <v>135</v>
      </c>
    </row>
    <row r="87" spans="1:9" x14ac:dyDescent="0.25">
      <c r="A87" s="6">
        <v>3</v>
      </c>
      <c r="B87" s="6" t="s">
        <v>247</v>
      </c>
      <c r="C87" s="11">
        <v>1781870040297750</v>
      </c>
      <c r="D87" s="6" t="s">
        <v>235</v>
      </c>
      <c r="E87" s="11">
        <v>46364</v>
      </c>
      <c r="F87" s="6" t="s">
        <v>98</v>
      </c>
      <c r="G87" s="6" t="s">
        <v>99</v>
      </c>
      <c r="H87" s="6" t="s">
        <v>137</v>
      </c>
      <c r="I87" s="6" t="s">
        <v>138</v>
      </c>
    </row>
    <row r="88" spans="1:9" x14ac:dyDescent="0.25">
      <c r="A88" s="6">
        <v>3</v>
      </c>
      <c r="B88" s="6" t="s">
        <v>248</v>
      </c>
      <c r="C88" s="11">
        <v>1781870040494000</v>
      </c>
      <c r="D88" s="6" t="s">
        <v>235</v>
      </c>
      <c r="E88" s="11">
        <v>46560</v>
      </c>
      <c r="F88" s="6" t="s">
        <v>93</v>
      </c>
      <c r="G88" s="6" t="s">
        <v>94</v>
      </c>
      <c r="H88" s="6" t="s">
        <v>140</v>
      </c>
      <c r="I88" s="6" t="s">
        <v>140</v>
      </c>
    </row>
    <row r="89" spans="1:9" x14ac:dyDescent="0.25">
      <c r="A89" s="6">
        <v>3</v>
      </c>
      <c r="B89" s="6" t="s">
        <v>249</v>
      </c>
      <c r="C89" s="11">
        <v>1781870052212350</v>
      </c>
      <c r="D89" s="6" t="s">
        <v>235</v>
      </c>
      <c r="E89" s="11">
        <v>58279</v>
      </c>
      <c r="F89" s="6" t="s">
        <v>166</v>
      </c>
      <c r="G89" s="6" t="s">
        <v>167</v>
      </c>
      <c r="H89" s="6" t="s">
        <v>213</v>
      </c>
      <c r="I89" s="6"/>
    </row>
    <row r="90" spans="1:9" x14ac:dyDescent="0.25">
      <c r="A90" s="6">
        <v>3</v>
      </c>
      <c r="B90" s="6" t="s">
        <v>250</v>
      </c>
      <c r="C90" s="11">
        <v>1781870061390520</v>
      </c>
      <c r="D90" s="6" t="s">
        <v>235</v>
      </c>
      <c r="E90" s="11">
        <v>67457</v>
      </c>
      <c r="F90" s="6" t="s">
        <v>93</v>
      </c>
      <c r="G90" s="6" t="s">
        <v>94</v>
      </c>
      <c r="H90" s="6" t="s">
        <v>146</v>
      </c>
      <c r="I90" s="6" t="s">
        <v>146</v>
      </c>
    </row>
    <row r="91" spans="1:9" x14ac:dyDescent="0.25">
      <c r="A91" s="6">
        <v>3</v>
      </c>
      <c r="B91" s="6" t="s">
        <v>251</v>
      </c>
      <c r="C91" s="11">
        <v>1781870061395420</v>
      </c>
      <c r="D91" s="6" t="s">
        <v>235</v>
      </c>
      <c r="E91" s="11">
        <v>67462</v>
      </c>
      <c r="F91" s="6" t="s">
        <v>98</v>
      </c>
      <c r="G91" s="6" t="s">
        <v>99</v>
      </c>
      <c r="H91" s="6" t="s">
        <v>120</v>
      </c>
      <c r="I91" s="6" t="s">
        <v>142</v>
      </c>
    </row>
    <row r="92" spans="1:9" x14ac:dyDescent="0.25">
      <c r="A92" s="6">
        <v>3</v>
      </c>
      <c r="B92" s="6" t="s">
        <v>252</v>
      </c>
      <c r="C92" s="11">
        <v>1781870061404270</v>
      </c>
      <c r="D92" s="6" t="s">
        <v>235</v>
      </c>
      <c r="E92" s="11">
        <v>67471</v>
      </c>
      <c r="F92" s="6" t="s">
        <v>123</v>
      </c>
      <c r="G92" s="6" t="s">
        <v>124</v>
      </c>
      <c r="H92" s="6" t="s">
        <v>120</v>
      </c>
      <c r="I92" s="6" t="s">
        <v>144</v>
      </c>
    </row>
    <row r="93" spans="1:9" x14ac:dyDescent="0.25">
      <c r="A93" s="6">
        <v>3</v>
      </c>
      <c r="B93" s="6" t="s">
        <v>253</v>
      </c>
      <c r="C93" s="11">
        <v>1781870070873400</v>
      </c>
      <c r="D93" s="6" t="s">
        <v>235</v>
      </c>
      <c r="E93" s="11">
        <v>76940</v>
      </c>
      <c r="F93" s="6" t="s">
        <v>123</v>
      </c>
      <c r="G93" s="6" t="s">
        <v>124</v>
      </c>
      <c r="H93" s="6" t="s">
        <v>148</v>
      </c>
      <c r="I93" s="6" t="s">
        <v>149</v>
      </c>
    </row>
    <row r="94" spans="1:9" x14ac:dyDescent="0.25">
      <c r="A94" s="6">
        <v>3</v>
      </c>
      <c r="B94" s="6" t="s">
        <v>254</v>
      </c>
      <c r="C94" s="11">
        <v>1781870070875980</v>
      </c>
      <c r="D94" s="6" t="s">
        <v>235</v>
      </c>
      <c r="E94" s="11">
        <v>76942</v>
      </c>
      <c r="F94" s="6" t="s">
        <v>98</v>
      </c>
      <c r="G94" s="6" t="s">
        <v>99</v>
      </c>
      <c r="H94" s="6" t="s">
        <v>148</v>
      </c>
      <c r="I94" s="6" t="s">
        <v>151</v>
      </c>
    </row>
    <row r="95" spans="1:9" x14ac:dyDescent="0.25">
      <c r="A95" s="6">
        <v>3</v>
      </c>
      <c r="B95" s="6" t="s">
        <v>255</v>
      </c>
      <c r="C95" s="11">
        <v>1781870083421460</v>
      </c>
      <c r="D95" s="6" t="s">
        <v>235</v>
      </c>
      <c r="E95" s="11">
        <v>89488</v>
      </c>
      <c r="F95" s="6" t="s">
        <v>93</v>
      </c>
      <c r="G95" s="6" t="s">
        <v>94</v>
      </c>
      <c r="H95" s="6" t="s">
        <v>153</v>
      </c>
      <c r="I95" s="6" t="s">
        <v>153</v>
      </c>
    </row>
    <row r="96" spans="1:9" x14ac:dyDescent="0.25">
      <c r="A96" s="6">
        <v>3</v>
      </c>
      <c r="B96" s="6" t="s">
        <v>256</v>
      </c>
      <c r="C96" s="11">
        <v>1781870083423090</v>
      </c>
      <c r="D96" s="6" t="s">
        <v>235</v>
      </c>
      <c r="E96" s="11">
        <v>89490</v>
      </c>
      <c r="F96" s="6" t="s">
        <v>98</v>
      </c>
      <c r="G96" s="6" t="s">
        <v>99</v>
      </c>
      <c r="H96" s="6" t="s">
        <v>120</v>
      </c>
      <c r="I96" s="6" t="s">
        <v>155</v>
      </c>
    </row>
    <row r="97" spans="1:9" x14ac:dyDescent="0.25">
      <c r="A97" s="6">
        <v>3</v>
      </c>
      <c r="B97" s="6" t="s">
        <v>257</v>
      </c>
      <c r="C97" s="11">
        <v>1781870083429370</v>
      </c>
      <c r="D97" s="6" t="s">
        <v>235</v>
      </c>
      <c r="E97" s="11">
        <v>89496</v>
      </c>
      <c r="F97" s="6" t="s">
        <v>123</v>
      </c>
      <c r="G97" s="6" t="s">
        <v>124</v>
      </c>
      <c r="H97" s="6" t="s">
        <v>120</v>
      </c>
      <c r="I97" s="6" t="s">
        <v>157</v>
      </c>
    </row>
    <row r="98" spans="1:9" x14ac:dyDescent="0.25">
      <c r="A98" s="6">
        <v>3</v>
      </c>
      <c r="B98" s="6" t="s">
        <v>258</v>
      </c>
      <c r="C98" s="11">
        <v>1781870084973370</v>
      </c>
      <c r="D98" s="6" t="s">
        <v>235</v>
      </c>
      <c r="E98" s="11">
        <v>91040</v>
      </c>
      <c r="F98" s="6" t="s">
        <v>123</v>
      </c>
      <c r="G98" s="6" t="s">
        <v>124</v>
      </c>
      <c r="H98" s="6" t="s">
        <v>120</v>
      </c>
      <c r="I98" s="6" t="s">
        <v>159</v>
      </c>
    </row>
    <row r="99" spans="1:9" x14ac:dyDescent="0.25">
      <c r="A99" s="6">
        <v>3</v>
      </c>
      <c r="B99" s="6" t="s">
        <v>259</v>
      </c>
      <c r="C99" s="11">
        <v>1781870130070000</v>
      </c>
      <c r="D99" s="6" t="s">
        <v>235</v>
      </c>
      <c r="E99" s="11">
        <v>136136</v>
      </c>
      <c r="F99" s="6" t="s">
        <v>123</v>
      </c>
      <c r="G99" s="6" t="s">
        <v>124</v>
      </c>
      <c r="H99" s="6" t="s">
        <v>120</v>
      </c>
      <c r="I99" s="6" t="s">
        <v>260</v>
      </c>
    </row>
    <row r="100" spans="1:9" x14ac:dyDescent="0.25">
      <c r="A100" s="6">
        <v>3</v>
      </c>
      <c r="B100" s="6" t="s">
        <v>261</v>
      </c>
      <c r="C100" s="11">
        <v>1781870130072000</v>
      </c>
      <c r="D100" s="6" t="s">
        <v>235</v>
      </c>
      <c r="E100" s="11">
        <v>136138</v>
      </c>
      <c r="F100" s="6" t="s">
        <v>98</v>
      </c>
      <c r="G100" s="6" t="s">
        <v>99</v>
      </c>
      <c r="H100" s="6" t="s">
        <v>120</v>
      </c>
      <c r="I100" s="6" t="s">
        <v>262</v>
      </c>
    </row>
    <row r="101" spans="1:9" x14ac:dyDescent="0.25">
      <c r="A101" s="6">
        <v>3</v>
      </c>
      <c r="B101" s="6" t="s">
        <v>263</v>
      </c>
      <c r="C101" s="11">
        <v>1781870167474790</v>
      </c>
      <c r="D101" s="6" t="s">
        <v>235</v>
      </c>
      <c r="E101" s="11">
        <v>173541</v>
      </c>
      <c r="F101" s="6" t="s">
        <v>166</v>
      </c>
      <c r="G101" s="6" t="s">
        <v>167</v>
      </c>
      <c r="H101" s="6" t="s">
        <v>24</v>
      </c>
      <c r="I101" s="6"/>
    </row>
    <row r="102" spans="1:9" x14ac:dyDescent="0.25">
      <c r="A102" s="6">
        <v>3</v>
      </c>
      <c r="B102" s="6" t="s">
        <v>264</v>
      </c>
      <c r="C102" s="11">
        <v>1781870196324220</v>
      </c>
      <c r="D102" s="6" t="s">
        <v>235</v>
      </c>
      <c r="E102" s="11">
        <v>202391</v>
      </c>
      <c r="F102" s="6" t="s">
        <v>93</v>
      </c>
      <c r="G102" s="6" t="s">
        <v>94</v>
      </c>
      <c r="H102" s="6" t="s">
        <v>153</v>
      </c>
      <c r="I102" s="6" t="s">
        <v>153</v>
      </c>
    </row>
    <row r="103" spans="1:9" x14ac:dyDescent="0.25">
      <c r="A103" s="6">
        <v>3</v>
      </c>
      <c r="B103" s="6" t="s">
        <v>265</v>
      </c>
      <c r="C103" s="11">
        <v>1781870196325650</v>
      </c>
      <c r="D103" s="6" t="s">
        <v>235</v>
      </c>
      <c r="E103" s="11">
        <v>202392</v>
      </c>
      <c r="F103" s="6" t="s">
        <v>98</v>
      </c>
      <c r="G103" s="6" t="s">
        <v>99</v>
      </c>
      <c r="H103" s="6" t="s">
        <v>120</v>
      </c>
      <c r="I103" s="6" t="s">
        <v>155</v>
      </c>
    </row>
    <row r="104" spans="1:9" x14ac:dyDescent="0.25">
      <c r="A104" s="6">
        <v>3</v>
      </c>
      <c r="B104" s="6" t="s">
        <v>266</v>
      </c>
      <c r="C104" s="11">
        <v>1781870196331940</v>
      </c>
      <c r="D104" s="6" t="s">
        <v>235</v>
      </c>
      <c r="E104" s="11">
        <v>202398</v>
      </c>
      <c r="F104" s="6" t="s">
        <v>123</v>
      </c>
      <c r="G104" s="6" t="s">
        <v>124</v>
      </c>
      <c r="H104" s="6" t="s">
        <v>120</v>
      </c>
      <c r="I104" s="6" t="s">
        <v>157</v>
      </c>
    </row>
    <row r="105" spans="1:9" x14ac:dyDescent="0.25">
      <c r="A105" s="6">
        <v>3</v>
      </c>
      <c r="B105" s="6" t="s">
        <v>267</v>
      </c>
      <c r="C105" s="11">
        <v>1781870197871010</v>
      </c>
      <c r="D105" s="6" t="s">
        <v>235</v>
      </c>
      <c r="E105" s="11">
        <v>203937</v>
      </c>
      <c r="F105" s="6" t="s">
        <v>123</v>
      </c>
      <c r="G105" s="6" t="s">
        <v>124</v>
      </c>
      <c r="H105" s="6" t="s">
        <v>120</v>
      </c>
      <c r="I105" s="6" t="s">
        <v>159</v>
      </c>
    </row>
    <row r="106" spans="1:9" x14ac:dyDescent="0.25">
      <c r="A106" s="6">
        <v>3</v>
      </c>
      <c r="B106" s="6" t="s">
        <v>268</v>
      </c>
      <c r="C106" s="11">
        <v>1781870217470890</v>
      </c>
      <c r="D106" s="6" t="s">
        <v>235</v>
      </c>
      <c r="E106" s="11">
        <v>223537</v>
      </c>
      <c r="F106" s="6" t="s">
        <v>123</v>
      </c>
      <c r="G106" s="6" t="s">
        <v>124</v>
      </c>
      <c r="H106" s="6" t="s">
        <v>161</v>
      </c>
      <c r="I106" s="6" t="s">
        <v>269</v>
      </c>
    </row>
    <row r="107" spans="1:9" x14ac:dyDescent="0.25">
      <c r="A107" s="6">
        <v>3</v>
      </c>
      <c r="B107" s="6" t="s">
        <v>270</v>
      </c>
      <c r="C107" s="11">
        <v>1781870217472800</v>
      </c>
      <c r="D107" s="6" t="s">
        <v>235</v>
      </c>
      <c r="E107" s="11">
        <v>223539</v>
      </c>
      <c r="F107" s="6" t="s">
        <v>98</v>
      </c>
      <c r="G107" s="6" t="s">
        <v>99</v>
      </c>
      <c r="H107" s="6" t="s">
        <v>161</v>
      </c>
      <c r="I107" s="6" t="s">
        <v>271</v>
      </c>
    </row>
    <row r="108" spans="1:9" x14ac:dyDescent="0.25">
      <c r="A108" s="6">
        <v>3</v>
      </c>
      <c r="B108" s="6" t="s">
        <v>272</v>
      </c>
      <c r="C108" s="11">
        <v>1781870328051360</v>
      </c>
      <c r="D108" s="6" t="s">
        <v>235</v>
      </c>
      <c r="E108" s="11">
        <v>334118</v>
      </c>
      <c r="F108" s="6" t="s">
        <v>98</v>
      </c>
      <c r="G108" s="6" t="s">
        <v>99</v>
      </c>
      <c r="H108" s="6" t="s">
        <v>120</v>
      </c>
      <c r="I108" s="6" t="s">
        <v>155</v>
      </c>
    </row>
    <row r="109" spans="1:9" x14ac:dyDescent="0.25">
      <c r="A109" s="6">
        <v>3</v>
      </c>
      <c r="B109" s="6" t="s">
        <v>273</v>
      </c>
      <c r="C109" s="11">
        <v>1781870328058780</v>
      </c>
      <c r="D109" s="6" t="s">
        <v>235</v>
      </c>
      <c r="E109" s="11">
        <v>334125</v>
      </c>
      <c r="F109" s="6" t="s">
        <v>123</v>
      </c>
      <c r="G109" s="6" t="s">
        <v>124</v>
      </c>
      <c r="H109" s="6" t="s">
        <v>120</v>
      </c>
      <c r="I109" s="6" t="s">
        <v>157</v>
      </c>
    </row>
    <row r="110" spans="1:9" x14ac:dyDescent="0.25">
      <c r="A110" s="6">
        <v>3</v>
      </c>
      <c r="B110" s="6" t="s">
        <v>274</v>
      </c>
      <c r="C110" s="11">
        <v>1781870328148550</v>
      </c>
      <c r="D110" s="6" t="s">
        <v>235</v>
      </c>
      <c r="E110" s="11">
        <v>334215</v>
      </c>
      <c r="F110" s="6" t="s">
        <v>93</v>
      </c>
      <c r="G110" s="6" t="s">
        <v>94</v>
      </c>
      <c r="H110" s="6" t="s">
        <v>153</v>
      </c>
      <c r="I110" s="6" t="s">
        <v>153</v>
      </c>
    </row>
    <row r="111" spans="1:9" x14ac:dyDescent="0.25">
      <c r="A111" s="6">
        <v>3</v>
      </c>
      <c r="B111" s="6" t="s">
        <v>275</v>
      </c>
      <c r="C111" s="11">
        <v>1781870329571770</v>
      </c>
      <c r="D111" s="6" t="s">
        <v>235</v>
      </c>
      <c r="E111" s="11">
        <v>335638</v>
      </c>
      <c r="F111" s="6" t="s">
        <v>123</v>
      </c>
      <c r="G111" s="6" t="s">
        <v>124</v>
      </c>
      <c r="H111" s="6" t="s">
        <v>120</v>
      </c>
      <c r="I111" s="6" t="s">
        <v>159</v>
      </c>
    </row>
    <row r="112" spans="1:9" x14ac:dyDescent="0.25">
      <c r="A112" s="6">
        <v>3</v>
      </c>
      <c r="B112" s="6" t="s">
        <v>276</v>
      </c>
      <c r="C112" s="11">
        <v>1781870330274530</v>
      </c>
      <c r="D112" s="6" t="s">
        <v>235</v>
      </c>
      <c r="E112" s="11">
        <v>336341</v>
      </c>
      <c r="F112" s="6" t="s">
        <v>123</v>
      </c>
      <c r="G112" s="6" t="s">
        <v>124</v>
      </c>
      <c r="H112" s="6" t="s">
        <v>161</v>
      </c>
      <c r="I112" s="6" t="s">
        <v>277</v>
      </c>
    </row>
    <row r="113" spans="1:9" x14ac:dyDescent="0.25">
      <c r="A113" s="6">
        <v>3</v>
      </c>
      <c r="B113" s="6" t="s">
        <v>278</v>
      </c>
      <c r="C113" s="11">
        <v>1781870330279870</v>
      </c>
      <c r="D113" s="6" t="s">
        <v>235</v>
      </c>
      <c r="E113" s="11">
        <v>336346</v>
      </c>
      <c r="F113" s="6" t="s">
        <v>98</v>
      </c>
      <c r="G113" s="6" t="s">
        <v>99</v>
      </c>
      <c r="H113" s="6" t="s">
        <v>161</v>
      </c>
      <c r="I113" s="6" t="s">
        <v>279</v>
      </c>
    </row>
    <row r="114" spans="1:9" x14ac:dyDescent="0.25">
      <c r="A114" s="6">
        <v>3</v>
      </c>
      <c r="B114" s="6" t="s">
        <v>280</v>
      </c>
      <c r="C114" s="11">
        <v>1781870335597990</v>
      </c>
      <c r="D114" s="6" t="s">
        <v>235</v>
      </c>
      <c r="E114" s="11">
        <v>341664</v>
      </c>
      <c r="F114" s="6" t="s">
        <v>166</v>
      </c>
      <c r="G114" s="6" t="s">
        <v>167</v>
      </c>
      <c r="H114" s="6" t="s">
        <v>25</v>
      </c>
      <c r="I114" s="6"/>
    </row>
    <row r="115" spans="1:9" x14ac:dyDescent="0.25">
      <c r="A115" s="6">
        <v>3</v>
      </c>
      <c r="B115" s="6" t="s">
        <v>281</v>
      </c>
      <c r="C115" s="11">
        <v>1781870351955070</v>
      </c>
      <c r="D115" s="6" t="s">
        <v>235</v>
      </c>
      <c r="E115" s="11">
        <v>358022</v>
      </c>
      <c r="F115" s="6" t="s">
        <v>93</v>
      </c>
      <c r="G115" s="6" t="s">
        <v>94</v>
      </c>
      <c r="H115" s="6" t="s">
        <v>170</v>
      </c>
      <c r="I115" s="6" t="s">
        <v>170</v>
      </c>
    </row>
    <row r="116" spans="1:9" x14ac:dyDescent="0.25">
      <c r="A116" s="6">
        <v>3</v>
      </c>
      <c r="B116" s="6" t="s">
        <v>282</v>
      </c>
      <c r="C116" s="11">
        <v>1781870351957170</v>
      </c>
      <c r="D116" s="6" t="s">
        <v>235</v>
      </c>
      <c r="E116" s="11">
        <v>358024</v>
      </c>
      <c r="F116" s="6" t="s">
        <v>98</v>
      </c>
      <c r="G116" s="6" t="s">
        <v>99</v>
      </c>
      <c r="H116" s="6" t="s">
        <v>172</v>
      </c>
      <c r="I116" s="6" t="s">
        <v>173</v>
      </c>
    </row>
    <row r="117" spans="1:9" x14ac:dyDescent="0.25">
      <c r="A117" s="6">
        <v>3</v>
      </c>
      <c r="B117" s="6" t="s">
        <v>283</v>
      </c>
      <c r="C117" s="11">
        <v>1781870373224860</v>
      </c>
      <c r="D117" s="6" t="s">
        <v>235</v>
      </c>
      <c r="E117" s="11">
        <v>379291</v>
      </c>
      <c r="F117" s="6" t="s">
        <v>93</v>
      </c>
      <c r="G117" s="6" t="s">
        <v>94</v>
      </c>
      <c r="H117" s="6" t="s">
        <v>175</v>
      </c>
      <c r="I117" s="6" t="s">
        <v>175</v>
      </c>
    </row>
    <row r="118" spans="1:9" x14ac:dyDescent="0.25">
      <c r="A118" s="6">
        <v>3</v>
      </c>
      <c r="B118" s="6" t="s">
        <v>284</v>
      </c>
      <c r="C118" s="11">
        <v>1781870373229180</v>
      </c>
      <c r="D118" s="6" t="s">
        <v>235</v>
      </c>
      <c r="E118" s="11">
        <v>379296</v>
      </c>
      <c r="F118" s="6" t="s">
        <v>98</v>
      </c>
      <c r="G118" s="6" t="s">
        <v>99</v>
      </c>
      <c r="H118" s="6" t="s">
        <v>120</v>
      </c>
      <c r="I118" s="6" t="s">
        <v>177</v>
      </c>
    </row>
    <row r="119" spans="1:9" x14ac:dyDescent="0.25">
      <c r="A119" s="6">
        <v>3</v>
      </c>
      <c r="B119" s="6" t="s">
        <v>285</v>
      </c>
      <c r="C119" s="11">
        <v>1781870380230140</v>
      </c>
      <c r="D119" s="6" t="s">
        <v>235</v>
      </c>
      <c r="E119" s="11">
        <v>386297</v>
      </c>
      <c r="F119" s="6" t="s">
        <v>98</v>
      </c>
      <c r="G119" s="6" t="s">
        <v>99</v>
      </c>
      <c r="H119" s="6" t="s">
        <v>179</v>
      </c>
      <c r="I119" s="6" t="s">
        <v>180</v>
      </c>
    </row>
    <row r="120" spans="1:9" x14ac:dyDescent="0.25">
      <c r="A120" s="6">
        <v>3</v>
      </c>
      <c r="B120" s="6" t="s">
        <v>286</v>
      </c>
      <c r="C120" s="11">
        <v>1781870380230620</v>
      </c>
      <c r="D120" s="6" t="s">
        <v>235</v>
      </c>
      <c r="E120" s="11">
        <v>386297</v>
      </c>
      <c r="F120" s="6" t="s">
        <v>103</v>
      </c>
      <c r="G120" s="6" t="s">
        <v>89</v>
      </c>
      <c r="H120" s="6" t="s">
        <v>179</v>
      </c>
      <c r="I120" s="6"/>
    </row>
    <row r="121" spans="1:9" x14ac:dyDescent="0.25">
      <c r="B121" t="s">
        <v>287</v>
      </c>
      <c r="C121" s="12">
        <v>1781870555582760</v>
      </c>
      <c r="D121" t="s">
        <v>288</v>
      </c>
      <c r="E121" t="s">
        <v>87</v>
      </c>
      <c r="F121" t="s">
        <v>88</v>
      </c>
      <c r="G121" t="s">
        <v>89</v>
      </c>
      <c r="H121" t="s">
        <v>184</v>
      </c>
    </row>
    <row r="122" spans="1:9" x14ac:dyDescent="0.25">
      <c r="B122" t="s">
        <v>289</v>
      </c>
      <c r="C122" s="12">
        <v>1781870555584570</v>
      </c>
      <c r="D122" t="s">
        <v>288</v>
      </c>
      <c r="E122" t="s">
        <v>92</v>
      </c>
      <c r="F122" t="s">
        <v>166</v>
      </c>
      <c r="G122" t="s">
        <v>167</v>
      </c>
      <c r="H122" t="s">
        <v>290</v>
      </c>
    </row>
    <row r="123" spans="1:9" x14ac:dyDescent="0.25">
      <c r="B123" t="s">
        <v>291</v>
      </c>
      <c r="C123" s="12">
        <v>1781870597680390</v>
      </c>
      <c r="D123" t="s">
        <v>288</v>
      </c>
      <c r="E123" s="12">
        <v>42098</v>
      </c>
      <c r="F123" t="s">
        <v>98</v>
      </c>
      <c r="G123" t="s">
        <v>99</v>
      </c>
      <c r="H123" t="s">
        <v>100</v>
      </c>
      <c r="I123" t="s">
        <v>101</v>
      </c>
    </row>
    <row r="124" spans="1:9" x14ac:dyDescent="0.25">
      <c r="B124" t="s">
        <v>292</v>
      </c>
      <c r="C124" s="12">
        <v>1781870597778160</v>
      </c>
      <c r="D124" t="s">
        <v>288</v>
      </c>
      <c r="E124" s="12">
        <v>42196</v>
      </c>
      <c r="F124" t="s">
        <v>103</v>
      </c>
      <c r="G124" t="s">
        <v>89</v>
      </c>
      <c r="H124" t="s">
        <v>104</v>
      </c>
    </row>
    <row r="125" spans="1:9" x14ac:dyDescent="0.25">
      <c r="B125" t="s">
        <v>293</v>
      </c>
      <c r="C125" s="12">
        <v>1781870597780040</v>
      </c>
      <c r="D125" t="s">
        <v>294</v>
      </c>
      <c r="E125" t="s">
        <v>87</v>
      </c>
      <c r="F125" t="s">
        <v>88</v>
      </c>
      <c r="G125" t="s">
        <v>89</v>
      </c>
      <c r="H125" t="s">
        <v>90</v>
      </c>
    </row>
    <row r="126" spans="1:9" x14ac:dyDescent="0.25">
      <c r="B126" t="s">
        <v>295</v>
      </c>
      <c r="C126" s="12">
        <v>1781870597781070</v>
      </c>
      <c r="D126" t="s">
        <v>294</v>
      </c>
      <c r="E126" t="s">
        <v>108</v>
      </c>
      <c r="F126" t="s">
        <v>93</v>
      </c>
      <c r="G126" t="s">
        <v>94</v>
      </c>
      <c r="H126" t="s">
        <v>95</v>
      </c>
      <c r="I126" t="s">
        <v>95</v>
      </c>
    </row>
    <row r="127" spans="1:9" x14ac:dyDescent="0.25">
      <c r="B127" t="s">
        <v>296</v>
      </c>
      <c r="C127" s="12">
        <v>1781870631725700</v>
      </c>
      <c r="D127" t="s">
        <v>294</v>
      </c>
      <c r="E127" s="12">
        <v>33946</v>
      </c>
      <c r="F127" t="s">
        <v>103</v>
      </c>
      <c r="G127" t="s">
        <v>89</v>
      </c>
      <c r="H127" t="s">
        <v>104</v>
      </c>
    </row>
    <row r="128" spans="1:9" x14ac:dyDescent="0.25">
      <c r="B128" t="s">
        <v>297</v>
      </c>
      <c r="C128" s="12">
        <v>1781870631727510</v>
      </c>
      <c r="D128" t="s">
        <v>298</v>
      </c>
      <c r="E128" t="s">
        <v>87</v>
      </c>
      <c r="F128" t="s">
        <v>88</v>
      </c>
      <c r="G128" t="s">
        <v>89</v>
      </c>
      <c r="H128" t="s">
        <v>90</v>
      </c>
    </row>
    <row r="129" spans="1:9" x14ac:dyDescent="0.25">
      <c r="A129" s="9">
        <v>4</v>
      </c>
      <c r="B129" s="9" t="s">
        <v>299</v>
      </c>
      <c r="C129" s="13">
        <v>1781870631728500</v>
      </c>
      <c r="D129" s="9" t="s">
        <v>298</v>
      </c>
      <c r="E129" s="9" t="s">
        <v>108</v>
      </c>
      <c r="F129" s="9" t="s">
        <v>93</v>
      </c>
      <c r="G129" s="9" t="s">
        <v>94</v>
      </c>
      <c r="H129" s="9" t="s">
        <v>95</v>
      </c>
      <c r="I129" s="9" t="s">
        <v>95</v>
      </c>
    </row>
    <row r="130" spans="1:9" x14ac:dyDescent="0.25">
      <c r="A130" s="9">
        <v>4</v>
      </c>
      <c r="B130" s="9" t="s">
        <v>300</v>
      </c>
      <c r="C130" s="13">
        <v>1781870631729480</v>
      </c>
      <c r="D130" s="9" t="s">
        <v>298</v>
      </c>
      <c r="E130" s="9" t="s">
        <v>92</v>
      </c>
      <c r="F130" s="9" t="s">
        <v>98</v>
      </c>
      <c r="G130" s="9" t="s">
        <v>99</v>
      </c>
      <c r="H130" s="9" t="s">
        <v>100</v>
      </c>
      <c r="I130" s="9" t="s">
        <v>101</v>
      </c>
    </row>
    <row r="131" spans="1:9" x14ac:dyDescent="0.25">
      <c r="A131" s="9">
        <v>4</v>
      </c>
      <c r="B131" s="9" t="s">
        <v>301</v>
      </c>
      <c r="C131" s="13">
        <v>1781870647297890</v>
      </c>
      <c r="D131" s="9" t="s">
        <v>298</v>
      </c>
      <c r="E131" s="13">
        <v>15571</v>
      </c>
      <c r="F131" s="9" t="s">
        <v>93</v>
      </c>
      <c r="G131" s="9" t="s">
        <v>94</v>
      </c>
      <c r="H131" s="9" t="s">
        <v>118</v>
      </c>
      <c r="I131" s="9" t="s">
        <v>118</v>
      </c>
    </row>
    <row r="132" spans="1:9" x14ac:dyDescent="0.25">
      <c r="A132" s="9">
        <v>4</v>
      </c>
      <c r="B132" s="9" t="s">
        <v>302</v>
      </c>
      <c r="C132" s="13">
        <v>1781870647304830</v>
      </c>
      <c r="D132" s="9" t="s">
        <v>298</v>
      </c>
      <c r="E132" s="13">
        <v>15577</v>
      </c>
      <c r="F132" s="9" t="s">
        <v>98</v>
      </c>
      <c r="G132" s="9" t="s">
        <v>99</v>
      </c>
      <c r="H132" s="9" t="s">
        <v>120</v>
      </c>
      <c r="I132" s="9" t="s">
        <v>121</v>
      </c>
    </row>
    <row r="133" spans="1:9" x14ac:dyDescent="0.25">
      <c r="A133" s="9">
        <v>4</v>
      </c>
      <c r="B133" s="9" t="s">
        <v>303</v>
      </c>
      <c r="C133" s="13">
        <v>1781870647306050</v>
      </c>
      <c r="D133" s="9" t="s">
        <v>298</v>
      </c>
      <c r="E133" s="13">
        <v>15579</v>
      </c>
      <c r="F133" s="9" t="s">
        <v>123</v>
      </c>
      <c r="G133" s="9" t="s">
        <v>124</v>
      </c>
      <c r="H133" s="9" t="s">
        <v>120</v>
      </c>
      <c r="I133" s="9" t="s">
        <v>125</v>
      </c>
    </row>
    <row r="134" spans="1:9" x14ac:dyDescent="0.25">
      <c r="A134" s="9">
        <v>4</v>
      </c>
      <c r="B134" s="9" t="s">
        <v>304</v>
      </c>
      <c r="C134" s="13">
        <v>1781870653471330</v>
      </c>
      <c r="D134" s="9" t="s">
        <v>298</v>
      </c>
      <c r="E134" s="13">
        <v>21744</v>
      </c>
      <c r="F134" s="9" t="s">
        <v>123</v>
      </c>
      <c r="G134" s="9" t="s">
        <v>124</v>
      </c>
      <c r="H134" s="9" t="s">
        <v>127</v>
      </c>
      <c r="I134" s="9" t="s">
        <v>305</v>
      </c>
    </row>
    <row r="135" spans="1:9" x14ac:dyDescent="0.25">
      <c r="A135" s="9">
        <v>4</v>
      </c>
      <c r="B135" s="9" t="s">
        <v>306</v>
      </c>
      <c r="C135" s="13">
        <v>1781870653477310</v>
      </c>
      <c r="D135" s="9" t="s">
        <v>298</v>
      </c>
      <c r="E135" s="13">
        <v>21750</v>
      </c>
      <c r="F135" s="9" t="s">
        <v>98</v>
      </c>
      <c r="G135" s="9" t="s">
        <v>99</v>
      </c>
      <c r="H135" s="9" t="s">
        <v>127</v>
      </c>
      <c r="I135" s="9" t="s">
        <v>307</v>
      </c>
    </row>
    <row r="136" spans="1:9" x14ac:dyDescent="0.25">
      <c r="A136" s="9">
        <v>4</v>
      </c>
      <c r="B136" s="9" t="s">
        <v>308</v>
      </c>
      <c r="C136" s="13">
        <v>1781870655271200</v>
      </c>
      <c r="D136" s="9" t="s">
        <v>298</v>
      </c>
      <c r="E136" s="13">
        <v>23544</v>
      </c>
      <c r="F136" s="9" t="s">
        <v>132</v>
      </c>
      <c r="G136" s="9" t="s">
        <v>133</v>
      </c>
      <c r="H136" s="9" t="s">
        <v>309</v>
      </c>
      <c r="I136" s="9" t="s">
        <v>310</v>
      </c>
    </row>
    <row r="137" spans="1:9" x14ac:dyDescent="0.25">
      <c r="A137" s="9">
        <v>4</v>
      </c>
      <c r="B137" s="9" t="s">
        <v>311</v>
      </c>
      <c r="C137" s="13">
        <v>1781870663559820</v>
      </c>
      <c r="D137" s="9" t="s">
        <v>298</v>
      </c>
      <c r="E137" s="13">
        <v>31832</v>
      </c>
      <c r="F137" s="9" t="s">
        <v>93</v>
      </c>
      <c r="G137" s="9" t="s">
        <v>94</v>
      </c>
      <c r="H137" s="9" t="s">
        <v>140</v>
      </c>
      <c r="I137" s="9" t="s">
        <v>140</v>
      </c>
    </row>
    <row r="138" spans="1:9" x14ac:dyDescent="0.25">
      <c r="A138" s="9">
        <v>4</v>
      </c>
      <c r="B138" s="9" t="s">
        <v>312</v>
      </c>
      <c r="C138" s="13">
        <v>1781870663577100</v>
      </c>
      <c r="D138" s="9" t="s">
        <v>298</v>
      </c>
      <c r="E138" s="13">
        <v>31850</v>
      </c>
      <c r="F138" s="9" t="s">
        <v>98</v>
      </c>
      <c r="G138" s="9" t="s">
        <v>99</v>
      </c>
      <c r="H138" s="9" t="s">
        <v>137</v>
      </c>
      <c r="I138" s="9" t="s">
        <v>313</v>
      </c>
    </row>
    <row r="139" spans="1:9" x14ac:dyDescent="0.25">
      <c r="A139" s="9">
        <v>4</v>
      </c>
      <c r="B139" s="9" t="s">
        <v>314</v>
      </c>
      <c r="C139" s="13">
        <v>1781870678864930</v>
      </c>
      <c r="D139" s="9" t="s">
        <v>298</v>
      </c>
      <c r="E139" s="13">
        <v>47138</v>
      </c>
      <c r="F139" s="9" t="s">
        <v>166</v>
      </c>
      <c r="G139" s="9" t="s">
        <v>167</v>
      </c>
      <c r="H139" s="9" t="s">
        <v>213</v>
      </c>
      <c r="I139" s="9"/>
    </row>
    <row r="140" spans="1:9" x14ac:dyDescent="0.25">
      <c r="A140" s="9">
        <v>4</v>
      </c>
      <c r="B140" s="9" t="s">
        <v>315</v>
      </c>
      <c r="C140" s="13">
        <v>1781870692919300</v>
      </c>
      <c r="D140" s="9" t="s">
        <v>298</v>
      </c>
      <c r="E140" s="13">
        <v>61192</v>
      </c>
      <c r="F140" s="9" t="s">
        <v>93</v>
      </c>
      <c r="G140" s="9" t="s">
        <v>94</v>
      </c>
      <c r="H140" s="9" t="s">
        <v>146</v>
      </c>
      <c r="I140" s="9" t="s">
        <v>146</v>
      </c>
    </row>
    <row r="141" spans="1:9" x14ac:dyDescent="0.25">
      <c r="A141" s="9">
        <v>4</v>
      </c>
      <c r="B141" s="9" t="s">
        <v>316</v>
      </c>
      <c r="C141" s="13">
        <v>1781870692921630</v>
      </c>
      <c r="D141" s="9" t="s">
        <v>298</v>
      </c>
      <c r="E141" s="13">
        <v>61194</v>
      </c>
      <c r="F141" s="9" t="s">
        <v>98</v>
      </c>
      <c r="G141" s="9" t="s">
        <v>99</v>
      </c>
      <c r="H141" s="9" t="s">
        <v>120</v>
      </c>
      <c r="I141" s="9" t="s">
        <v>142</v>
      </c>
    </row>
    <row r="142" spans="1:9" x14ac:dyDescent="0.25">
      <c r="A142" s="9">
        <v>4</v>
      </c>
      <c r="B142" s="9" t="s">
        <v>317</v>
      </c>
      <c r="C142" s="13">
        <v>1781870692927860</v>
      </c>
      <c r="D142" s="9" t="s">
        <v>298</v>
      </c>
      <c r="E142" s="13">
        <v>61201</v>
      </c>
      <c r="F142" s="9" t="s">
        <v>123</v>
      </c>
      <c r="G142" s="9" t="s">
        <v>124</v>
      </c>
      <c r="H142" s="9" t="s">
        <v>120</v>
      </c>
      <c r="I142" s="9" t="s">
        <v>144</v>
      </c>
    </row>
    <row r="143" spans="1:9" x14ac:dyDescent="0.25">
      <c r="A143" s="9">
        <v>4</v>
      </c>
      <c r="B143" s="9" t="s">
        <v>318</v>
      </c>
      <c r="C143" s="13">
        <v>1781870702372740</v>
      </c>
      <c r="D143" s="9" t="s">
        <v>298</v>
      </c>
      <c r="E143" s="13">
        <v>70645</v>
      </c>
      <c r="F143" s="9" t="s">
        <v>123</v>
      </c>
      <c r="G143" s="9" t="s">
        <v>124</v>
      </c>
      <c r="H143" s="9" t="s">
        <v>148</v>
      </c>
      <c r="I143" s="9" t="s">
        <v>149</v>
      </c>
    </row>
    <row r="144" spans="1:9" x14ac:dyDescent="0.25">
      <c r="A144" s="9">
        <v>4</v>
      </c>
      <c r="B144" s="9" t="s">
        <v>319</v>
      </c>
      <c r="C144" s="13">
        <v>1781870702375430</v>
      </c>
      <c r="D144" s="9" t="s">
        <v>298</v>
      </c>
      <c r="E144" s="13">
        <v>70648</v>
      </c>
      <c r="F144" s="9" t="s">
        <v>98</v>
      </c>
      <c r="G144" s="9" t="s">
        <v>99</v>
      </c>
      <c r="H144" s="9" t="s">
        <v>148</v>
      </c>
      <c r="I144" s="9" t="s">
        <v>151</v>
      </c>
    </row>
    <row r="145" spans="1:9" x14ac:dyDescent="0.25">
      <c r="A145" s="9">
        <v>4</v>
      </c>
      <c r="B145" s="9" t="s">
        <v>320</v>
      </c>
      <c r="C145" s="13">
        <v>1781870707239550</v>
      </c>
      <c r="D145" s="9" t="s">
        <v>298</v>
      </c>
      <c r="E145" s="13">
        <v>75512</v>
      </c>
      <c r="F145" s="9" t="s">
        <v>93</v>
      </c>
      <c r="G145" s="9" t="s">
        <v>94</v>
      </c>
      <c r="H145" s="9" t="s">
        <v>153</v>
      </c>
      <c r="I145" s="9" t="s">
        <v>153</v>
      </c>
    </row>
    <row r="146" spans="1:9" x14ac:dyDescent="0.25">
      <c r="A146" s="9">
        <v>4</v>
      </c>
      <c r="B146" s="9" t="s">
        <v>321</v>
      </c>
      <c r="C146" s="13">
        <v>1781870707246110</v>
      </c>
      <c r="D146" s="9" t="s">
        <v>298</v>
      </c>
      <c r="E146" s="13">
        <v>75519</v>
      </c>
      <c r="F146" s="9" t="s">
        <v>98</v>
      </c>
      <c r="G146" s="9" t="s">
        <v>99</v>
      </c>
      <c r="H146" s="9" t="s">
        <v>120</v>
      </c>
      <c r="I146" s="9" t="s">
        <v>155</v>
      </c>
    </row>
    <row r="147" spans="1:9" x14ac:dyDescent="0.25">
      <c r="A147" s="9">
        <v>4</v>
      </c>
      <c r="B147" s="9" t="s">
        <v>322</v>
      </c>
      <c r="C147" s="13">
        <v>1781870707246770</v>
      </c>
      <c r="D147" s="9" t="s">
        <v>298</v>
      </c>
      <c r="E147" s="13">
        <v>75519</v>
      </c>
      <c r="F147" s="9" t="s">
        <v>123</v>
      </c>
      <c r="G147" s="9" t="s">
        <v>124</v>
      </c>
      <c r="H147" s="9" t="s">
        <v>120</v>
      </c>
      <c r="I147" s="9" t="s">
        <v>157</v>
      </c>
    </row>
    <row r="148" spans="1:9" x14ac:dyDescent="0.25">
      <c r="A148" s="9">
        <v>4</v>
      </c>
      <c r="B148" s="9" t="s">
        <v>323</v>
      </c>
      <c r="C148" s="13">
        <v>1781870708775090</v>
      </c>
      <c r="D148" s="9" t="s">
        <v>298</v>
      </c>
      <c r="E148" s="13">
        <v>77048</v>
      </c>
      <c r="F148" s="9" t="s">
        <v>123</v>
      </c>
      <c r="G148" s="9" t="s">
        <v>124</v>
      </c>
      <c r="H148" s="9" t="s">
        <v>120</v>
      </c>
      <c r="I148" s="9" t="s">
        <v>159</v>
      </c>
    </row>
    <row r="149" spans="1:9" x14ac:dyDescent="0.25">
      <c r="A149" s="9">
        <v>4</v>
      </c>
      <c r="B149" s="9" t="s">
        <v>324</v>
      </c>
      <c r="C149" s="13">
        <v>1781870714670600</v>
      </c>
      <c r="D149" s="9" t="s">
        <v>298</v>
      </c>
      <c r="E149" s="13">
        <v>82943</v>
      </c>
      <c r="F149" s="9" t="s">
        <v>123</v>
      </c>
      <c r="G149" s="9" t="s">
        <v>124</v>
      </c>
      <c r="H149" s="9" t="s">
        <v>161</v>
      </c>
      <c r="I149" s="9" t="s">
        <v>325</v>
      </c>
    </row>
    <row r="150" spans="1:9" x14ac:dyDescent="0.25">
      <c r="A150" s="9">
        <v>4</v>
      </c>
      <c r="B150" s="9" t="s">
        <v>326</v>
      </c>
      <c r="C150" s="13">
        <v>1781870714673570</v>
      </c>
      <c r="D150" s="9" t="s">
        <v>298</v>
      </c>
      <c r="E150" s="13">
        <v>82946</v>
      </c>
      <c r="F150" s="9" t="s">
        <v>98</v>
      </c>
      <c r="G150" s="9" t="s">
        <v>99</v>
      </c>
      <c r="H150" s="9" t="s">
        <v>161</v>
      </c>
      <c r="I150" s="9" t="s">
        <v>327</v>
      </c>
    </row>
    <row r="151" spans="1:9" x14ac:dyDescent="0.25">
      <c r="A151" s="9">
        <v>4</v>
      </c>
      <c r="B151" s="9" t="s">
        <v>328</v>
      </c>
      <c r="C151" s="13">
        <v>1781870747471460</v>
      </c>
      <c r="D151" s="9" t="s">
        <v>298</v>
      </c>
      <c r="E151" s="13">
        <v>115744</v>
      </c>
      <c r="F151" s="9" t="s">
        <v>166</v>
      </c>
      <c r="G151" s="9" t="s">
        <v>167</v>
      </c>
      <c r="H151" s="9" t="s">
        <v>168</v>
      </c>
      <c r="I151" s="9"/>
    </row>
    <row r="152" spans="1:9" x14ac:dyDescent="0.25">
      <c r="A152" s="9">
        <v>4</v>
      </c>
      <c r="B152" s="9" t="s">
        <v>329</v>
      </c>
      <c r="C152" s="13">
        <v>1781870763696230</v>
      </c>
      <c r="D152" s="9" t="s">
        <v>298</v>
      </c>
      <c r="E152" s="13">
        <v>131969</v>
      </c>
      <c r="F152" s="9" t="s">
        <v>93</v>
      </c>
      <c r="G152" s="9" t="s">
        <v>94</v>
      </c>
      <c r="H152" s="9" t="s">
        <v>170</v>
      </c>
      <c r="I152" s="9" t="s">
        <v>170</v>
      </c>
    </row>
    <row r="153" spans="1:9" x14ac:dyDescent="0.25">
      <c r="A153" s="9">
        <v>4</v>
      </c>
      <c r="B153" s="9" t="s">
        <v>330</v>
      </c>
      <c r="C153" s="13">
        <v>1781870763702260</v>
      </c>
      <c r="D153" s="9" t="s">
        <v>298</v>
      </c>
      <c r="E153" s="13">
        <v>131975</v>
      </c>
      <c r="F153" s="9" t="s">
        <v>98</v>
      </c>
      <c r="G153" s="9" t="s">
        <v>99</v>
      </c>
      <c r="H153" s="9" t="s">
        <v>172</v>
      </c>
      <c r="I153" s="9" t="s">
        <v>331</v>
      </c>
    </row>
    <row r="154" spans="1:9" x14ac:dyDescent="0.25">
      <c r="A154" s="9">
        <v>4</v>
      </c>
      <c r="B154" s="9" t="s">
        <v>332</v>
      </c>
      <c r="C154" s="13">
        <v>1781870780129440</v>
      </c>
      <c r="D154" s="9" t="s">
        <v>298</v>
      </c>
      <c r="E154" s="13">
        <v>148402</v>
      </c>
      <c r="F154" s="9" t="s">
        <v>93</v>
      </c>
      <c r="G154" s="9" t="s">
        <v>94</v>
      </c>
      <c r="H154" s="9" t="s">
        <v>175</v>
      </c>
      <c r="I154" s="9" t="s">
        <v>175</v>
      </c>
    </row>
    <row r="155" spans="1:9" x14ac:dyDescent="0.25">
      <c r="A155" s="9">
        <v>4</v>
      </c>
      <c r="B155" s="9" t="s">
        <v>333</v>
      </c>
      <c r="C155" s="13">
        <v>1781870780132860</v>
      </c>
      <c r="D155" s="9" t="s">
        <v>298</v>
      </c>
      <c r="E155" s="13">
        <v>148405</v>
      </c>
      <c r="F155" s="9" t="s">
        <v>98</v>
      </c>
      <c r="G155" s="9" t="s">
        <v>99</v>
      </c>
      <c r="H155" s="9" t="s">
        <v>120</v>
      </c>
      <c r="I155" s="9" t="s">
        <v>177</v>
      </c>
    </row>
    <row r="156" spans="1:9" x14ac:dyDescent="0.25">
      <c r="A156" s="9">
        <v>4</v>
      </c>
      <c r="B156" s="9" t="s">
        <v>334</v>
      </c>
      <c r="C156" s="13">
        <v>1781870787133520</v>
      </c>
      <c r="D156" s="9" t="s">
        <v>298</v>
      </c>
      <c r="E156" s="13">
        <v>155406</v>
      </c>
      <c r="F156" s="9" t="s">
        <v>98</v>
      </c>
      <c r="G156" s="9" t="s">
        <v>99</v>
      </c>
      <c r="H156" s="9" t="s">
        <v>179</v>
      </c>
      <c r="I156" s="9" t="s">
        <v>335</v>
      </c>
    </row>
    <row r="157" spans="1:9" x14ac:dyDescent="0.25">
      <c r="A157" s="9">
        <v>4</v>
      </c>
      <c r="B157" s="9" t="s">
        <v>336</v>
      </c>
      <c r="C157" s="13">
        <v>1781870787134010</v>
      </c>
      <c r="D157" s="9" t="s">
        <v>298</v>
      </c>
      <c r="E157" s="13">
        <v>155407</v>
      </c>
      <c r="F157" s="9" t="s">
        <v>103</v>
      </c>
      <c r="G157" s="9" t="s">
        <v>89</v>
      </c>
      <c r="H157" s="9" t="s">
        <v>179</v>
      </c>
      <c r="I157" s="9"/>
    </row>
    <row r="158" spans="1:9" x14ac:dyDescent="0.25">
      <c r="A158" s="6">
        <v>5</v>
      </c>
      <c r="B158" s="6" t="s">
        <v>337</v>
      </c>
      <c r="C158" s="11">
        <v>1781870849889740</v>
      </c>
      <c r="D158" s="6" t="s">
        <v>338</v>
      </c>
      <c r="E158" s="6" t="s">
        <v>87</v>
      </c>
      <c r="F158" s="6" t="s">
        <v>88</v>
      </c>
      <c r="G158" s="6" t="s">
        <v>89</v>
      </c>
      <c r="H158" s="6" t="s">
        <v>90</v>
      </c>
      <c r="I158" s="6"/>
    </row>
    <row r="159" spans="1:9" x14ac:dyDescent="0.25">
      <c r="A159" s="6">
        <v>5</v>
      </c>
      <c r="B159" s="6" t="s">
        <v>339</v>
      </c>
      <c r="C159" s="11">
        <v>1781870849891370</v>
      </c>
      <c r="D159" s="6" t="s">
        <v>338</v>
      </c>
      <c r="E159" s="6" t="s">
        <v>92</v>
      </c>
      <c r="F159" s="6" t="s">
        <v>93</v>
      </c>
      <c r="G159" s="6" t="s">
        <v>94</v>
      </c>
      <c r="H159" s="6" t="s">
        <v>95</v>
      </c>
      <c r="I159" s="6" t="s">
        <v>95</v>
      </c>
    </row>
    <row r="160" spans="1:9" x14ac:dyDescent="0.25">
      <c r="A160" s="6">
        <v>5</v>
      </c>
      <c r="B160" s="6" t="s">
        <v>340</v>
      </c>
      <c r="C160" s="11">
        <v>1781870849892890</v>
      </c>
      <c r="D160" s="6" t="s">
        <v>338</v>
      </c>
      <c r="E160" s="6" t="s">
        <v>341</v>
      </c>
      <c r="F160" s="6" t="s">
        <v>98</v>
      </c>
      <c r="G160" s="6" t="s">
        <v>99</v>
      </c>
      <c r="H160" s="6" t="s">
        <v>100</v>
      </c>
      <c r="I160" s="6" t="s">
        <v>101</v>
      </c>
    </row>
    <row r="161" spans="1:9" x14ac:dyDescent="0.25">
      <c r="A161" s="6">
        <v>5</v>
      </c>
      <c r="B161" s="6" t="s">
        <v>342</v>
      </c>
      <c r="C161" s="11">
        <v>1781870864007750</v>
      </c>
      <c r="D161" s="6" t="s">
        <v>338</v>
      </c>
      <c r="E161" s="11">
        <v>14118</v>
      </c>
      <c r="F161" s="6" t="s">
        <v>93</v>
      </c>
      <c r="G161" s="6" t="s">
        <v>94</v>
      </c>
      <c r="H161" s="6" t="s">
        <v>118</v>
      </c>
      <c r="I161" s="6" t="s">
        <v>118</v>
      </c>
    </row>
    <row r="162" spans="1:9" x14ac:dyDescent="0.25">
      <c r="A162" s="6">
        <v>5</v>
      </c>
      <c r="B162" s="6" t="s">
        <v>343</v>
      </c>
      <c r="C162" s="11">
        <v>1781870864012400</v>
      </c>
      <c r="D162" s="6" t="s">
        <v>338</v>
      </c>
      <c r="E162" s="11">
        <v>14123</v>
      </c>
      <c r="F162" s="6" t="s">
        <v>98</v>
      </c>
      <c r="G162" s="6" t="s">
        <v>99</v>
      </c>
      <c r="H162" s="6" t="s">
        <v>120</v>
      </c>
      <c r="I162" s="6" t="s">
        <v>121</v>
      </c>
    </row>
    <row r="163" spans="1:9" x14ac:dyDescent="0.25">
      <c r="A163" s="6">
        <v>5</v>
      </c>
      <c r="B163" s="6" t="s">
        <v>344</v>
      </c>
      <c r="C163" s="11">
        <v>1781870864020860</v>
      </c>
      <c r="D163" s="6" t="s">
        <v>338</v>
      </c>
      <c r="E163" s="11">
        <v>14131</v>
      </c>
      <c r="F163" s="6" t="s">
        <v>123</v>
      </c>
      <c r="G163" s="6" t="s">
        <v>124</v>
      </c>
      <c r="H163" s="6" t="s">
        <v>120</v>
      </c>
      <c r="I163" s="6" t="s">
        <v>125</v>
      </c>
    </row>
    <row r="164" spans="1:9" x14ac:dyDescent="0.25">
      <c r="A164" s="6">
        <v>5</v>
      </c>
      <c r="B164" s="6" t="s">
        <v>345</v>
      </c>
      <c r="C164" s="11">
        <v>1781870879471030</v>
      </c>
      <c r="D164" s="6" t="s">
        <v>338</v>
      </c>
      <c r="E164" s="11">
        <v>29581</v>
      </c>
      <c r="F164" s="6" t="s">
        <v>123</v>
      </c>
      <c r="G164" s="6" t="s">
        <v>124</v>
      </c>
      <c r="H164" s="6" t="s">
        <v>127</v>
      </c>
      <c r="I164" s="6" t="s">
        <v>346</v>
      </c>
    </row>
    <row r="165" spans="1:9" x14ac:dyDescent="0.25">
      <c r="A165" s="6">
        <v>5</v>
      </c>
      <c r="B165" s="6" t="s">
        <v>347</v>
      </c>
      <c r="C165" s="11">
        <v>1781870879477530</v>
      </c>
      <c r="D165" s="6" t="s">
        <v>338</v>
      </c>
      <c r="E165" s="11">
        <v>29588</v>
      </c>
      <c r="F165" s="6" t="s">
        <v>98</v>
      </c>
      <c r="G165" s="6" t="s">
        <v>99</v>
      </c>
      <c r="H165" s="6" t="s">
        <v>127</v>
      </c>
      <c r="I165" s="6" t="s">
        <v>348</v>
      </c>
    </row>
    <row r="166" spans="1:9" x14ac:dyDescent="0.25">
      <c r="A166" s="6">
        <v>5</v>
      </c>
      <c r="B166" s="6" t="s">
        <v>349</v>
      </c>
      <c r="C166" s="11">
        <v>1781870881263450</v>
      </c>
      <c r="D166" s="6" t="s">
        <v>338</v>
      </c>
      <c r="E166" s="11">
        <v>31374</v>
      </c>
      <c r="F166" s="6" t="s">
        <v>132</v>
      </c>
      <c r="G166" s="6" t="s">
        <v>133</v>
      </c>
      <c r="H166" s="6" t="s">
        <v>309</v>
      </c>
      <c r="I166" s="6" t="s">
        <v>310</v>
      </c>
    </row>
    <row r="167" spans="1:9" x14ac:dyDescent="0.25">
      <c r="A167" s="6">
        <v>5</v>
      </c>
      <c r="B167" s="6" t="s">
        <v>350</v>
      </c>
      <c r="C167" s="11">
        <v>1781870887636250</v>
      </c>
      <c r="D167" s="6" t="s">
        <v>338</v>
      </c>
      <c r="E167" s="11">
        <v>37747</v>
      </c>
      <c r="F167" s="6" t="s">
        <v>93</v>
      </c>
      <c r="G167" s="6" t="s">
        <v>94</v>
      </c>
      <c r="H167" s="6" t="s">
        <v>140</v>
      </c>
      <c r="I167" s="6" t="s">
        <v>140</v>
      </c>
    </row>
    <row r="168" spans="1:9" x14ac:dyDescent="0.25">
      <c r="A168" s="6">
        <v>5</v>
      </c>
      <c r="B168" s="6" t="s">
        <v>351</v>
      </c>
      <c r="C168" s="11">
        <v>1781870887745960</v>
      </c>
      <c r="D168" s="6" t="s">
        <v>338</v>
      </c>
      <c r="E168" s="11">
        <v>37856</v>
      </c>
      <c r="F168" s="6" t="s">
        <v>98</v>
      </c>
      <c r="G168" s="6" t="s">
        <v>99</v>
      </c>
      <c r="H168" s="6" t="s">
        <v>137</v>
      </c>
      <c r="I168" s="6" t="s">
        <v>313</v>
      </c>
    </row>
    <row r="169" spans="1:9" x14ac:dyDescent="0.25">
      <c r="A169" s="6">
        <v>5</v>
      </c>
      <c r="B169" s="6" t="s">
        <v>352</v>
      </c>
      <c r="C169" s="11">
        <v>1781870901733110</v>
      </c>
      <c r="D169" s="6" t="s">
        <v>338</v>
      </c>
      <c r="E169" s="11">
        <v>51844</v>
      </c>
      <c r="F169" s="6" t="s">
        <v>166</v>
      </c>
      <c r="G169" s="6" t="s">
        <v>167</v>
      </c>
      <c r="H169" s="6" t="s">
        <v>213</v>
      </c>
      <c r="I169" s="6"/>
    </row>
    <row r="170" spans="1:9" x14ac:dyDescent="0.25">
      <c r="A170" s="6">
        <v>5</v>
      </c>
      <c r="B170" s="6" t="s">
        <v>353</v>
      </c>
      <c r="C170" s="11">
        <v>1781870909331470</v>
      </c>
      <c r="D170" s="6" t="s">
        <v>338</v>
      </c>
      <c r="E170" s="11">
        <v>59442</v>
      </c>
      <c r="F170" s="6" t="s">
        <v>98</v>
      </c>
      <c r="G170" s="6" t="s">
        <v>99</v>
      </c>
      <c r="H170" s="6" t="s">
        <v>120</v>
      </c>
      <c r="I170" s="6" t="s">
        <v>142</v>
      </c>
    </row>
    <row r="171" spans="1:9" x14ac:dyDescent="0.25">
      <c r="A171" s="6">
        <v>5</v>
      </c>
      <c r="B171" s="6" t="s">
        <v>354</v>
      </c>
      <c r="C171" s="11">
        <v>1781870909334900</v>
      </c>
      <c r="D171" s="6" t="s">
        <v>338</v>
      </c>
      <c r="E171" s="11">
        <v>59445</v>
      </c>
      <c r="F171" s="6" t="s">
        <v>123</v>
      </c>
      <c r="G171" s="6" t="s">
        <v>124</v>
      </c>
      <c r="H171" s="6" t="s">
        <v>120</v>
      </c>
      <c r="I171" s="6" t="s">
        <v>144</v>
      </c>
    </row>
    <row r="172" spans="1:9" x14ac:dyDescent="0.25">
      <c r="A172" s="6">
        <v>5</v>
      </c>
      <c r="B172" s="6" t="s">
        <v>355</v>
      </c>
      <c r="C172" s="11">
        <v>1781870909337930</v>
      </c>
      <c r="D172" s="6" t="s">
        <v>338</v>
      </c>
      <c r="E172" s="11">
        <v>59448</v>
      </c>
      <c r="F172" s="6" t="s">
        <v>93</v>
      </c>
      <c r="G172" s="6" t="s">
        <v>94</v>
      </c>
      <c r="H172" s="6" t="s">
        <v>146</v>
      </c>
      <c r="I172" s="6" t="s">
        <v>146</v>
      </c>
    </row>
    <row r="173" spans="1:9" x14ac:dyDescent="0.25">
      <c r="A173" s="6">
        <v>5</v>
      </c>
      <c r="B173" s="6" t="s">
        <v>356</v>
      </c>
      <c r="C173" s="11">
        <v>1781870918775180</v>
      </c>
      <c r="D173" s="6" t="s">
        <v>338</v>
      </c>
      <c r="E173" s="11">
        <v>68886</v>
      </c>
      <c r="F173" s="6" t="s">
        <v>123</v>
      </c>
      <c r="G173" s="6" t="s">
        <v>124</v>
      </c>
      <c r="H173" s="6" t="s">
        <v>148</v>
      </c>
      <c r="I173" s="6" t="s">
        <v>149</v>
      </c>
    </row>
    <row r="174" spans="1:9" x14ac:dyDescent="0.25">
      <c r="A174" s="6">
        <v>5</v>
      </c>
      <c r="B174" s="6" t="s">
        <v>357</v>
      </c>
      <c r="C174" s="11">
        <v>1781870918780400</v>
      </c>
      <c r="D174" s="6" t="s">
        <v>338</v>
      </c>
      <c r="E174" s="11">
        <v>68891</v>
      </c>
      <c r="F174" s="6" t="s">
        <v>98</v>
      </c>
      <c r="G174" s="6" t="s">
        <v>99</v>
      </c>
      <c r="H174" s="6" t="s">
        <v>148</v>
      </c>
      <c r="I174" s="6" t="s">
        <v>151</v>
      </c>
    </row>
    <row r="175" spans="1:9" x14ac:dyDescent="0.25">
      <c r="A175" s="6">
        <v>5</v>
      </c>
      <c r="B175" s="6" t="s">
        <v>358</v>
      </c>
      <c r="C175" s="11">
        <v>1781870924089480</v>
      </c>
      <c r="D175" s="6" t="s">
        <v>338</v>
      </c>
      <c r="E175" s="11">
        <v>74200</v>
      </c>
      <c r="F175" s="6" t="s">
        <v>98</v>
      </c>
      <c r="G175" s="6" t="s">
        <v>99</v>
      </c>
      <c r="H175" s="6" t="s">
        <v>120</v>
      </c>
      <c r="I175" s="6" t="s">
        <v>155</v>
      </c>
    </row>
    <row r="176" spans="1:9" x14ac:dyDescent="0.25">
      <c r="A176" s="6">
        <v>5</v>
      </c>
      <c r="B176" s="6" t="s">
        <v>359</v>
      </c>
      <c r="C176" s="11">
        <v>1781870924091350</v>
      </c>
      <c r="D176" s="6" t="s">
        <v>338</v>
      </c>
      <c r="E176" s="11">
        <v>74202</v>
      </c>
      <c r="F176" s="6" t="s">
        <v>123</v>
      </c>
      <c r="G176" s="6" t="s">
        <v>124</v>
      </c>
      <c r="H176" s="6" t="s">
        <v>120</v>
      </c>
      <c r="I176" s="6" t="s">
        <v>157</v>
      </c>
    </row>
    <row r="177" spans="1:9" x14ac:dyDescent="0.25">
      <c r="A177" s="6">
        <v>5</v>
      </c>
      <c r="B177" s="6" t="s">
        <v>360</v>
      </c>
      <c r="C177" s="11">
        <v>1781870924288090</v>
      </c>
      <c r="D177" s="6" t="s">
        <v>338</v>
      </c>
      <c r="E177" s="11">
        <v>74399</v>
      </c>
      <c r="F177" s="6" t="s">
        <v>93</v>
      </c>
      <c r="G177" s="6" t="s">
        <v>94</v>
      </c>
      <c r="H177" s="6" t="s">
        <v>153</v>
      </c>
      <c r="I177" s="6" t="s">
        <v>153</v>
      </c>
    </row>
    <row r="178" spans="1:9" x14ac:dyDescent="0.25">
      <c r="A178" s="6">
        <v>5</v>
      </c>
      <c r="B178" s="6" t="s">
        <v>361</v>
      </c>
      <c r="C178" s="11">
        <v>1781870925671670</v>
      </c>
      <c r="D178" s="6" t="s">
        <v>338</v>
      </c>
      <c r="E178" s="11">
        <v>75782</v>
      </c>
      <c r="F178" s="6" t="s">
        <v>123</v>
      </c>
      <c r="G178" s="6" t="s">
        <v>124</v>
      </c>
      <c r="H178" s="6" t="s">
        <v>120</v>
      </c>
      <c r="I178" s="6" t="s">
        <v>159</v>
      </c>
    </row>
    <row r="179" spans="1:9" x14ac:dyDescent="0.25">
      <c r="A179" s="6">
        <v>5</v>
      </c>
      <c r="B179" s="6" t="s">
        <v>362</v>
      </c>
      <c r="C179" s="11">
        <v>1781870970770040</v>
      </c>
      <c r="D179" s="6" t="s">
        <v>338</v>
      </c>
      <c r="E179" s="11">
        <v>120880</v>
      </c>
      <c r="F179" s="6" t="s">
        <v>123</v>
      </c>
      <c r="G179" s="6" t="s">
        <v>124</v>
      </c>
      <c r="H179" s="6" t="s">
        <v>120</v>
      </c>
      <c r="I179" s="6" t="s">
        <v>260</v>
      </c>
    </row>
    <row r="180" spans="1:9" x14ac:dyDescent="0.25">
      <c r="A180" s="6">
        <v>5</v>
      </c>
      <c r="B180" s="6" t="s">
        <v>363</v>
      </c>
      <c r="C180" s="11">
        <v>1781870970771400</v>
      </c>
      <c r="D180" s="6" t="s">
        <v>338</v>
      </c>
      <c r="E180" s="11">
        <v>120882</v>
      </c>
      <c r="F180" s="6" t="s">
        <v>98</v>
      </c>
      <c r="G180" s="6" t="s">
        <v>99</v>
      </c>
      <c r="H180" s="6" t="s">
        <v>120</v>
      </c>
      <c r="I180" s="6" t="s">
        <v>262</v>
      </c>
    </row>
    <row r="181" spans="1:9" x14ac:dyDescent="0.25">
      <c r="A181" s="6">
        <v>5</v>
      </c>
      <c r="B181" s="6" t="s">
        <v>364</v>
      </c>
      <c r="C181" s="11">
        <v>1781870979106320</v>
      </c>
      <c r="D181" s="6" t="s">
        <v>338</v>
      </c>
      <c r="E181" s="11">
        <v>129217</v>
      </c>
      <c r="F181" s="6" t="s">
        <v>166</v>
      </c>
      <c r="G181" s="6" t="s">
        <v>167</v>
      </c>
      <c r="H181" s="6" t="s">
        <v>24</v>
      </c>
      <c r="I181" s="6"/>
    </row>
    <row r="182" spans="1:9" x14ac:dyDescent="0.25">
      <c r="A182" s="6">
        <v>5</v>
      </c>
      <c r="B182" s="6" t="s">
        <v>365</v>
      </c>
      <c r="C182" s="11">
        <v>1781871008878300</v>
      </c>
      <c r="D182" s="6" t="s">
        <v>338</v>
      </c>
      <c r="E182" s="11">
        <v>158989</v>
      </c>
      <c r="F182" s="6" t="s">
        <v>93</v>
      </c>
      <c r="G182" s="6" t="s">
        <v>94</v>
      </c>
      <c r="H182" s="6" t="s">
        <v>153</v>
      </c>
      <c r="I182" s="6" t="s">
        <v>153</v>
      </c>
    </row>
    <row r="183" spans="1:9" x14ac:dyDescent="0.25">
      <c r="A183" s="6">
        <v>5</v>
      </c>
      <c r="B183" s="6" t="s">
        <v>366</v>
      </c>
      <c r="C183" s="11">
        <v>1781871008890500</v>
      </c>
      <c r="D183" s="6" t="s">
        <v>338</v>
      </c>
      <c r="E183" s="11">
        <v>159001</v>
      </c>
      <c r="F183" s="6" t="s">
        <v>98</v>
      </c>
      <c r="G183" s="6" t="s">
        <v>99</v>
      </c>
      <c r="H183" s="6" t="s">
        <v>120</v>
      </c>
      <c r="I183" s="6" t="s">
        <v>155</v>
      </c>
    </row>
    <row r="184" spans="1:9" x14ac:dyDescent="0.25">
      <c r="A184" s="6">
        <v>5</v>
      </c>
      <c r="B184" s="6" t="s">
        <v>367</v>
      </c>
      <c r="C184" s="11">
        <v>1781871008891240</v>
      </c>
      <c r="D184" s="6" t="s">
        <v>338</v>
      </c>
      <c r="E184" s="11">
        <v>159002</v>
      </c>
      <c r="F184" s="6" t="s">
        <v>123</v>
      </c>
      <c r="G184" s="6" t="s">
        <v>124</v>
      </c>
      <c r="H184" s="6" t="s">
        <v>120</v>
      </c>
      <c r="I184" s="6" t="s">
        <v>157</v>
      </c>
    </row>
    <row r="185" spans="1:9" x14ac:dyDescent="0.25">
      <c r="A185" s="6">
        <v>5</v>
      </c>
      <c r="B185" s="6" t="s">
        <v>368</v>
      </c>
      <c r="C185" s="11">
        <v>1781871010471780</v>
      </c>
      <c r="D185" s="6" t="s">
        <v>338</v>
      </c>
      <c r="E185" s="11">
        <v>160582</v>
      </c>
      <c r="F185" s="6" t="s">
        <v>123</v>
      </c>
      <c r="G185" s="6" t="s">
        <v>124</v>
      </c>
      <c r="H185" s="6" t="s">
        <v>120</v>
      </c>
      <c r="I185" s="6" t="s">
        <v>159</v>
      </c>
    </row>
    <row r="186" spans="1:9" x14ac:dyDescent="0.25">
      <c r="A186" s="6">
        <v>5</v>
      </c>
      <c r="B186" s="6" t="s">
        <v>369</v>
      </c>
      <c r="C186" s="11">
        <v>1781871055473670</v>
      </c>
      <c r="D186" s="6" t="s">
        <v>338</v>
      </c>
      <c r="E186" s="11">
        <v>205584</v>
      </c>
      <c r="F186" s="6" t="s">
        <v>123</v>
      </c>
      <c r="G186" s="6" t="s">
        <v>124</v>
      </c>
      <c r="H186" s="6" t="s">
        <v>120</v>
      </c>
      <c r="I186" s="6" t="s">
        <v>260</v>
      </c>
    </row>
    <row r="187" spans="1:9" x14ac:dyDescent="0.25">
      <c r="A187" s="6">
        <v>5</v>
      </c>
      <c r="B187" s="6" t="s">
        <v>370</v>
      </c>
      <c r="C187" s="11">
        <v>1781871055481860</v>
      </c>
      <c r="D187" s="6" t="s">
        <v>338</v>
      </c>
      <c r="E187" s="11">
        <v>205592</v>
      </c>
      <c r="F187" s="6" t="s">
        <v>98</v>
      </c>
      <c r="G187" s="6" t="s">
        <v>99</v>
      </c>
      <c r="H187" s="6" t="s">
        <v>120</v>
      </c>
      <c r="I187" s="6" t="s">
        <v>262</v>
      </c>
    </row>
    <row r="188" spans="1:9" x14ac:dyDescent="0.25">
      <c r="A188" s="6">
        <v>5</v>
      </c>
      <c r="B188" s="6" t="s">
        <v>371</v>
      </c>
      <c r="C188" s="11">
        <v>1781871075649020</v>
      </c>
      <c r="D188" s="6" t="s">
        <v>338</v>
      </c>
      <c r="E188" s="11">
        <v>225759</v>
      </c>
      <c r="F188" s="6" t="s">
        <v>166</v>
      </c>
      <c r="G188" s="6" t="s">
        <v>167</v>
      </c>
      <c r="H188" s="6" t="s">
        <v>25</v>
      </c>
      <c r="I188" s="6"/>
    </row>
    <row r="189" spans="1:9" x14ac:dyDescent="0.25">
      <c r="A189" s="6">
        <v>5</v>
      </c>
      <c r="B189" s="6" t="s">
        <v>372</v>
      </c>
      <c r="C189" s="11">
        <v>1781871097750430</v>
      </c>
      <c r="D189" s="6" t="s">
        <v>338</v>
      </c>
      <c r="E189" s="11">
        <v>247861</v>
      </c>
      <c r="F189" s="6" t="s">
        <v>93</v>
      </c>
      <c r="G189" s="6" t="s">
        <v>94</v>
      </c>
      <c r="H189" s="6" t="s">
        <v>153</v>
      </c>
      <c r="I189" s="6" t="s">
        <v>153</v>
      </c>
    </row>
    <row r="190" spans="1:9" x14ac:dyDescent="0.25">
      <c r="A190" s="6">
        <v>5</v>
      </c>
      <c r="B190" s="6" t="s">
        <v>373</v>
      </c>
      <c r="C190" s="11">
        <v>1781871097753110</v>
      </c>
      <c r="D190" s="6" t="s">
        <v>338</v>
      </c>
      <c r="E190" s="11">
        <v>247864</v>
      </c>
      <c r="F190" s="6" t="s">
        <v>98</v>
      </c>
      <c r="G190" s="6" t="s">
        <v>99</v>
      </c>
      <c r="H190" s="6" t="s">
        <v>120</v>
      </c>
      <c r="I190" s="6" t="s">
        <v>155</v>
      </c>
    </row>
    <row r="191" spans="1:9" x14ac:dyDescent="0.25">
      <c r="A191" s="6">
        <v>5</v>
      </c>
      <c r="B191" s="6" t="s">
        <v>374</v>
      </c>
      <c r="C191" s="11">
        <v>1781871097757790</v>
      </c>
      <c r="D191" s="6" t="s">
        <v>338</v>
      </c>
      <c r="E191" s="11">
        <v>247868</v>
      </c>
      <c r="F191" s="6" t="s">
        <v>123</v>
      </c>
      <c r="G191" s="6" t="s">
        <v>124</v>
      </c>
      <c r="H191" s="6" t="s">
        <v>120</v>
      </c>
      <c r="I191" s="6" t="s">
        <v>157</v>
      </c>
    </row>
    <row r="192" spans="1:9" x14ac:dyDescent="0.25">
      <c r="A192" s="6">
        <v>5</v>
      </c>
      <c r="B192" s="6" t="s">
        <v>375</v>
      </c>
      <c r="C192" s="11">
        <v>1781871099272600</v>
      </c>
      <c r="D192" s="6" t="s">
        <v>338</v>
      </c>
      <c r="E192" s="11">
        <v>249383</v>
      </c>
      <c r="F192" s="6" t="s">
        <v>123</v>
      </c>
      <c r="G192" s="6" t="s">
        <v>124</v>
      </c>
      <c r="H192" s="6" t="s">
        <v>120</v>
      </c>
      <c r="I192" s="6" t="s">
        <v>159</v>
      </c>
    </row>
    <row r="193" spans="1:9" x14ac:dyDescent="0.25">
      <c r="A193" s="6">
        <v>5</v>
      </c>
      <c r="B193" s="6" t="s">
        <v>376</v>
      </c>
      <c r="C193" s="11">
        <v>1781871118872230</v>
      </c>
      <c r="D193" s="6" t="s">
        <v>338</v>
      </c>
      <c r="E193" s="11">
        <v>268983</v>
      </c>
      <c r="F193" s="6" t="s">
        <v>123</v>
      </c>
      <c r="G193" s="6" t="s">
        <v>124</v>
      </c>
      <c r="H193" s="6" t="s">
        <v>161</v>
      </c>
      <c r="I193" s="6" t="s">
        <v>377</v>
      </c>
    </row>
    <row r="194" spans="1:9" x14ac:dyDescent="0.25">
      <c r="A194" s="6">
        <v>5</v>
      </c>
      <c r="B194" s="6" t="s">
        <v>378</v>
      </c>
      <c r="C194" s="11">
        <v>1781871118877030</v>
      </c>
      <c r="D194" s="6" t="s">
        <v>338</v>
      </c>
      <c r="E194" s="11">
        <v>268988</v>
      </c>
      <c r="F194" s="6" t="s">
        <v>98</v>
      </c>
      <c r="G194" s="6" t="s">
        <v>99</v>
      </c>
      <c r="H194" s="6" t="s">
        <v>161</v>
      </c>
      <c r="I194" s="6" t="s">
        <v>379</v>
      </c>
    </row>
    <row r="195" spans="1:9" x14ac:dyDescent="0.25">
      <c r="A195" s="6">
        <v>5</v>
      </c>
      <c r="B195" s="6" t="s">
        <v>380</v>
      </c>
      <c r="C195" s="11">
        <v>1781871183050230</v>
      </c>
      <c r="D195" s="6" t="s">
        <v>338</v>
      </c>
      <c r="E195" s="11">
        <v>333161</v>
      </c>
      <c r="F195" s="6" t="s">
        <v>98</v>
      </c>
      <c r="G195" s="6" t="s">
        <v>99</v>
      </c>
      <c r="H195" s="6" t="s">
        <v>120</v>
      </c>
      <c r="I195" s="6" t="s">
        <v>155</v>
      </c>
    </row>
    <row r="196" spans="1:9" x14ac:dyDescent="0.25">
      <c r="A196" s="6">
        <v>5</v>
      </c>
      <c r="B196" s="6" t="s">
        <v>381</v>
      </c>
      <c r="C196" s="11">
        <v>1781871183056720</v>
      </c>
      <c r="D196" s="6" t="s">
        <v>338</v>
      </c>
      <c r="E196" s="11">
        <v>333167</v>
      </c>
      <c r="F196" s="6" t="s">
        <v>123</v>
      </c>
      <c r="G196" s="6" t="s">
        <v>124</v>
      </c>
      <c r="H196" s="6" t="s">
        <v>120</v>
      </c>
      <c r="I196" s="6" t="s">
        <v>157</v>
      </c>
    </row>
    <row r="197" spans="1:9" x14ac:dyDescent="0.25">
      <c r="A197" s="6">
        <v>5</v>
      </c>
      <c r="B197" s="6" t="s">
        <v>382</v>
      </c>
      <c r="C197" s="11">
        <v>1781871183145320</v>
      </c>
      <c r="D197" s="6" t="s">
        <v>338</v>
      </c>
      <c r="E197" s="11">
        <v>333256</v>
      </c>
      <c r="F197" s="6" t="s">
        <v>93</v>
      </c>
      <c r="G197" s="6" t="s">
        <v>94</v>
      </c>
      <c r="H197" s="6" t="s">
        <v>153</v>
      </c>
      <c r="I197" s="6" t="s">
        <v>153</v>
      </c>
    </row>
    <row r="198" spans="1:9" x14ac:dyDescent="0.25">
      <c r="A198" s="6">
        <v>5</v>
      </c>
      <c r="B198" s="6" t="s">
        <v>383</v>
      </c>
      <c r="C198" s="11">
        <v>1781871184572400</v>
      </c>
      <c r="D198" s="6" t="s">
        <v>338</v>
      </c>
      <c r="E198" s="11">
        <v>334683</v>
      </c>
      <c r="F198" s="6" t="s">
        <v>123</v>
      </c>
      <c r="G198" s="6" t="s">
        <v>124</v>
      </c>
      <c r="H198" s="6" t="s">
        <v>120</v>
      </c>
      <c r="I198" s="6" t="s">
        <v>159</v>
      </c>
    </row>
    <row r="199" spans="1:9" x14ac:dyDescent="0.25">
      <c r="A199" s="6">
        <v>5</v>
      </c>
      <c r="B199" s="6" t="s">
        <v>384</v>
      </c>
      <c r="C199" s="11">
        <v>1781871185274140</v>
      </c>
      <c r="D199" s="6" t="s">
        <v>338</v>
      </c>
      <c r="E199" s="11">
        <v>335385</v>
      </c>
      <c r="F199" s="6" t="s">
        <v>123</v>
      </c>
      <c r="G199" s="6" t="s">
        <v>124</v>
      </c>
      <c r="H199" s="6" t="s">
        <v>161</v>
      </c>
      <c r="I199" s="6" t="s">
        <v>385</v>
      </c>
    </row>
    <row r="200" spans="1:9" x14ac:dyDescent="0.25">
      <c r="A200" s="6">
        <v>5</v>
      </c>
      <c r="B200" s="6" t="s">
        <v>386</v>
      </c>
      <c r="C200" s="11">
        <v>1781871185278090</v>
      </c>
      <c r="D200" s="6" t="s">
        <v>338</v>
      </c>
      <c r="E200" s="11">
        <v>335389</v>
      </c>
      <c r="F200" s="6" t="s">
        <v>98</v>
      </c>
      <c r="G200" s="6" t="s">
        <v>99</v>
      </c>
      <c r="H200" s="6" t="s">
        <v>161</v>
      </c>
      <c r="I200" s="6" t="s">
        <v>387</v>
      </c>
    </row>
    <row r="201" spans="1:9" x14ac:dyDescent="0.25">
      <c r="A201" s="6">
        <v>5</v>
      </c>
      <c r="B201" s="6" t="s">
        <v>388</v>
      </c>
      <c r="C201" s="11">
        <v>1781871196776990</v>
      </c>
      <c r="D201" s="6" t="s">
        <v>338</v>
      </c>
      <c r="E201" s="11">
        <v>346887</v>
      </c>
      <c r="F201" s="6" t="s">
        <v>93</v>
      </c>
      <c r="G201" s="6" t="s">
        <v>94</v>
      </c>
      <c r="H201" s="6" t="s">
        <v>170</v>
      </c>
      <c r="I201" s="6" t="s">
        <v>170</v>
      </c>
    </row>
    <row r="202" spans="1:9" x14ac:dyDescent="0.25">
      <c r="A202" s="6">
        <v>5</v>
      </c>
      <c r="B202" s="6" t="s">
        <v>389</v>
      </c>
      <c r="C202" s="11">
        <v>1781871196784090</v>
      </c>
      <c r="D202" s="6" t="s">
        <v>338</v>
      </c>
      <c r="E202" s="11">
        <v>346895</v>
      </c>
      <c r="F202" s="6" t="s">
        <v>98</v>
      </c>
      <c r="G202" s="6" t="s">
        <v>99</v>
      </c>
      <c r="H202" s="6" t="s">
        <v>172</v>
      </c>
      <c r="I202" s="6" t="s">
        <v>331</v>
      </c>
    </row>
    <row r="203" spans="1:9" x14ac:dyDescent="0.25">
      <c r="A203" s="6">
        <v>5</v>
      </c>
      <c r="B203" s="6" t="s">
        <v>390</v>
      </c>
      <c r="C203" s="11">
        <v>1781871213250930</v>
      </c>
      <c r="D203" s="6" t="s">
        <v>338</v>
      </c>
      <c r="E203" s="11">
        <v>363361</v>
      </c>
      <c r="F203" s="6" t="s">
        <v>98</v>
      </c>
      <c r="G203" s="6" t="s">
        <v>99</v>
      </c>
      <c r="H203" s="6" t="s">
        <v>120</v>
      </c>
      <c r="I203" s="6" t="s">
        <v>177</v>
      </c>
    </row>
    <row r="204" spans="1:9" x14ac:dyDescent="0.25">
      <c r="A204" s="6">
        <v>5</v>
      </c>
      <c r="B204" s="6" t="s">
        <v>391</v>
      </c>
      <c r="C204" s="11">
        <v>1781871213261710</v>
      </c>
      <c r="D204" s="6" t="s">
        <v>338</v>
      </c>
      <c r="E204" s="11">
        <v>363372</v>
      </c>
      <c r="F204" s="6" t="s">
        <v>93</v>
      </c>
      <c r="G204" s="6" t="s">
        <v>94</v>
      </c>
      <c r="H204" s="6" t="s">
        <v>175</v>
      </c>
      <c r="I204" s="6" t="s">
        <v>175</v>
      </c>
    </row>
    <row r="205" spans="1:9" x14ac:dyDescent="0.25">
      <c r="A205" s="6">
        <v>5</v>
      </c>
      <c r="B205" s="6" t="s">
        <v>392</v>
      </c>
      <c r="C205" s="11">
        <v>1781871220252610</v>
      </c>
      <c r="D205" s="6" t="s">
        <v>338</v>
      </c>
      <c r="E205" s="11">
        <v>370363</v>
      </c>
      <c r="F205" s="6" t="s">
        <v>98</v>
      </c>
      <c r="G205" s="6" t="s">
        <v>99</v>
      </c>
      <c r="H205" s="6" t="s">
        <v>179</v>
      </c>
      <c r="I205" s="6" t="s">
        <v>335</v>
      </c>
    </row>
    <row r="206" spans="1:9" x14ac:dyDescent="0.25">
      <c r="A206" s="6">
        <v>5</v>
      </c>
      <c r="B206" s="6" t="s">
        <v>393</v>
      </c>
      <c r="C206" s="11">
        <v>1781871220253080</v>
      </c>
      <c r="D206" s="6" t="s">
        <v>338</v>
      </c>
      <c r="E206" s="11">
        <v>370363</v>
      </c>
      <c r="F206" s="6" t="s">
        <v>103</v>
      </c>
      <c r="G206" s="6" t="s">
        <v>89</v>
      </c>
      <c r="H206" s="6" t="s">
        <v>179</v>
      </c>
      <c r="I206" s="6"/>
    </row>
    <row r="207" spans="1:9" x14ac:dyDescent="0.25">
      <c r="B207" t="s">
        <v>394</v>
      </c>
      <c r="C207" s="12">
        <v>1781872941482910</v>
      </c>
      <c r="D207" t="s">
        <v>395</v>
      </c>
      <c r="E207" t="s">
        <v>87</v>
      </c>
      <c r="F207" t="s">
        <v>88</v>
      </c>
      <c r="G207" t="s">
        <v>89</v>
      </c>
      <c r="H207" t="s">
        <v>184</v>
      </c>
    </row>
    <row r="208" spans="1:9" x14ac:dyDescent="0.25">
      <c r="B208" t="s">
        <v>396</v>
      </c>
      <c r="C208" s="12">
        <v>1781872941484340</v>
      </c>
      <c r="D208" t="s">
        <v>395</v>
      </c>
      <c r="E208" t="s">
        <v>92</v>
      </c>
      <c r="F208" t="s">
        <v>166</v>
      </c>
      <c r="G208" t="s">
        <v>167</v>
      </c>
      <c r="H208" t="s">
        <v>397</v>
      </c>
    </row>
    <row r="209" spans="1:9" x14ac:dyDescent="0.25">
      <c r="B209" t="s">
        <v>398</v>
      </c>
      <c r="C209" s="12">
        <v>1781872953999870</v>
      </c>
      <c r="D209" t="s">
        <v>395</v>
      </c>
      <c r="E209" s="12">
        <v>12517</v>
      </c>
      <c r="F209" t="s">
        <v>103</v>
      </c>
      <c r="G209" t="s">
        <v>89</v>
      </c>
      <c r="H209" t="s">
        <v>104</v>
      </c>
    </row>
    <row r="210" spans="1:9" x14ac:dyDescent="0.25">
      <c r="B210" t="s">
        <v>399</v>
      </c>
      <c r="C210" s="12">
        <v>1781872954001570</v>
      </c>
      <c r="D210" t="s">
        <v>400</v>
      </c>
      <c r="E210" t="s">
        <v>87</v>
      </c>
      <c r="F210" t="s">
        <v>88</v>
      </c>
      <c r="G210" t="s">
        <v>89</v>
      </c>
      <c r="H210" t="s">
        <v>90</v>
      </c>
    </row>
    <row r="211" spans="1:9" x14ac:dyDescent="0.25">
      <c r="A211" s="9">
        <v>6</v>
      </c>
      <c r="B211" s="9" t="s">
        <v>401</v>
      </c>
      <c r="C211" s="13">
        <v>1781872954002500</v>
      </c>
      <c r="D211" s="9" t="s">
        <v>400</v>
      </c>
      <c r="E211" s="9" t="s">
        <v>108</v>
      </c>
      <c r="F211" s="9" t="s">
        <v>93</v>
      </c>
      <c r="G211" s="9" t="s">
        <v>94</v>
      </c>
      <c r="H211" s="9" t="s">
        <v>95</v>
      </c>
      <c r="I211" s="9" t="s">
        <v>95</v>
      </c>
    </row>
    <row r="212" spans="1:9" x14ac:dyDescent="0.25">
      <c r="A212" s="9">
        <v>6</v>
      </c>
      <c r="B212" s="9" t="s">
        <v>402</v>
      </c>
      <c r="C212" s="13">
        <v>1781872954004750</v>
      </c>
      <c r="D212" s="9" t="s">
        <v>400</v>
      </c>
      <c r="E212" s="9" t="s">
        <v>341</v>
      </c>
      <c r="F212" s="9" t="s">
        <v>98</v>
      </c>
      <c r="G212" s="9" t="s">
        <v>99</v>
      </c>
      <c r="H212" s="9" t="s">
        <v>100</v>
      </c>
      <c r="I212" s="9" t="s">
        <v>101</v>
      </c>
    </row>
    <row r="213" spans="1:9" x14ac:dyDescent="0.25">
      <c r="A213" s="9">
        <v>6</v>
      </c>
      <c r="B213" s="9" t="s">
        <v>403</v>
      </c>
      <c r="C213" s="13">
        <v>1781872973074650</v>
      </c>
      <c r="D213" s="9" t="s">
        <v>400</v>
      </c>
      <c r="E213" s="13">
        <v>19073</v>
      </c>
      <c r="F213" s="9" t="s">
        <v>93</v>
      </c>
      <c r="G213" s="9" t="s">
        <v>94</v>
      </c>
      <c r="H213" s="9" t="s">
        <v>118</v>
      </c>
      <c r="I213" s="9" t="s">
        <v>118</v>
      </c>
    </row>
    <row r="214" spans="1:9" x14ac:dyDescent="0.25">
      <c r="A214" s="9">
        <v>6</v>
      </c>
      <c r="B214" s="9" t="s">
        <v>404</v>
      </c>
      <c r="C214" s="13">
        <v>1781872973079320</v>
      </c>
      <c r="D214" s="9" t="s">
        <v>400</v>
      </c>
      <c r="E214" s="13">
        <v>19078</v>
      </c>
      <c r="F214" s="9" t="s">
        <v>98</v>
      </c>
      <c r="G214" s="9" t="s">
        <v>99</v>
      </c>
      <c r="H214" s="9" t="s">
        <v>120</v>
      </c>
      <c r="I214" s="9" t="s">
        <v>121</v>
      </c>
    </row>
    <row r="215" spans="1:9" x14ac:dyDescent="0.25">
      <c r="A215" s="9">
        <v>6</v>
      </c>
      <c r="B215" s="9" t="s">
        <v>405</v>
      </c>
      <c r="C215" s="13">
        <v>1781872973080460</v>
      </c>
      <c r="D215" s="9" t="s">
        <v>400</v>
      </c>
      <c r="E215" s="13">
        <v>19079</v>
      </c>
      <c r="F215" s="9" t="s">
        <v>123</v>
      </c>
      <c r="G215" s="9" t="s">
        <v>124</v>
      </c>
      <c r="H215" s="9" t="s">
        <v>120</v>
      </c>
      <c r="I215" s="9" t="s">
        <v>125</v>
      </c>
    </row>
    <row r="216" spans="1:9" x14ac:dyDescent="0.25">
      <c r="A216" s="9">
        <v>6</v>
      </c>
      <c r="B216" s="9" t="s">
        <v>406</v>
      </c>
      <c r="C216" s="13">
        <v>1781872988078610</v>
      </c>
      <c r="D216" s="9" t="s">
        <v>400</v>
      </c>
      <c r="E216" s="13">
        <v>34077</v>
      </c>
      <c r="F216" s="9" t="s">
        <v>123</v>
      </c>
      <c r="G216" s="9" t="s">
        <v>124</v>
      </c>
      <c r="H216" s="9" t="s">
        <v>127</v>
      </c>
      <c r="I216" s="9" t="s">
        <v>407</v>
      </c>
    </row>
    <row r="217" spans="1:9" x14ac:dyDescent="0.25">
      <c r="A217" s="9">
        <v>6</v>
      </c>
      <c r="B217" s="9" t="s">
        <v>408</v>
      </c>
      <c r="C217" s="13">
        <v>1781872988082740</v>
      </c>
      <c r="D217" s="9" t="s">
        <v>400</v>
      </c>
      <c r="E217" s="13">
        <v>34081</v>
      </c>
      <c r="F217" s="9" t="s">
        <v>98</v>
      </c>
      <c r="G217" s="9" t="s">
        <v>99</v>
      </c>
      <c r="H217" s="9" t="s">
        <v>127</v>
      </c>
      <c r="I217" s="9" t="s">
        <v>409</v>
      </c>
    </row>
    <row r="218" spans="1:9" x14ac:dyDescent="0.25">
      <c r="A218" s="9">
        <v>6</v>
      </c>
      <c r="B218" s="9" t="s">
        <v>410</v>
      </c>
      <c r="C218" s="13">
        <v>1781872989960400</v>
      </c>
      <c r="D218" s="9" t="s">
        <v>400</v>
      </c>
      <c r="E218" s="13">
        <v>35959</v>
      </c>
      <c r="F218" s="9" t="s">
        <v>132</v>
      </c>
      <c r="G218" s="9" t="s">
        <v>133</v>
      </c>
      <c r="H218" s="9" t="s">
        <v>309</v>
      </c>
      <c r="I218" s="9" t="s">
        <v>310</v>
      </c>
    </row>
    <row r="219" spans="1:9" x14ac:dyDescent="0.25">
      <c r="A219" s="9">
        <v>6</v>
      </c>
      <c r="B219" s="9" t="s">
        <v>411</v>
      </c>
      <c r="C219" s="13">
        <v>1781873007489940</v>
      </c>
      <c r="D219" s="9" t="s">
        <v>400</v>
      </c>
      <c r="E219" s="13">
        <v>53489</v>
      </c>
      <c r="F219" s="9" t="s">
        <v>93</v>
      </c>
      <c r="G219" s="9" t="s">
        <v>94</v>
      </c>
      <c r="H219" s="9" t="s">
        <v>140</v>
      </c>
      <c r="I219" s="9" t="s">
        <v>140</v>
      </c>
    </row>
    <row r="220" spans="1:9" x14ac:dyDescent="0.25">
      <c r="A220" s="9">
        <v>6</v>
      </c>
      <c r="B220" s="9" t="s">
        <v>412</v>
      </c>
      <c r="C220" s="13">
        <v>1781873007491100</v>
      </c>
      <c r="D220" s="9" t="s">
        <v>400</v>
      </c>
      <c r="E220" s="13">
        <v>53490</v>
      </c>
      <c r="F220" s="9" t="s">
        <v>98</v>
      </c>
      <c r="G220" s="9" t="s">
        <v>99</v>
      </c>
      <c r="H220" s="9" t="s">
        <v>137</v>
      </c>
      <c r="I220" s="9" t="s">
        <v>313</v>
      </c>
    </row>
    <row r="221" spans="1:9" x14ac:dyDescent="0.25">
      <c r="A221" s="9">
        <v>6</v>
      </c>
      <c r="B221" s="9" t="s">
        <v>413</v>
      </c>
      <c r="C221" s="13">
        <v>1781873017147650</v>
      </c>
      <c r="D221" s="9" t="s">
        <v>400</v>
      </c>
      <c r="E221" s="13">
        <v>63146</v>
      </c>
      <c r="F221" s="9" t="s">
        <v>166</v>
      </c>
      <c r="G221" s="9" t="s">
        <v>167</v>
      </c>
      <c r="H221" s="9" t="s">
        <v>213</v>
      </c>
      <c r="I221" s="9"/>
    </row>
    <row r="222" spans="1:9" x14ac:dyDescent="0.25">
      <c r="A222" s="9">
        <v>6</v>
      </c>
      <c r="B222" s="9" t="s">
        <v>414</v>
      </c>
      <c r="C222" s="13">
        <v>1781873025723020</v>
      </c>
      <c r="D222" s="9" t="s">
        <v>400</v>
      </c>
      <c r="E222" s="13">
        <v>71722</v>
      </c>
      <c r="F222" s="9" t="s">
        <v>93</v>
      </c>
      <c r="G222" s="9" t="s">
        <v>94</v>
      </c>
      <c r="H222" s="9" t="s">
        <v>146</v>
      </c>
      <c r="I222" s="9" t="s">
        <v>146</v>
      </c>
    </row>
    <row r="223" spans="1:9" x14ac:dyDescent="0.25">
      <c r="A223" s="9">
        <v>6</v>
      </c>
      <c r="B223" s="9" t="s">
        <v>415</v>
      </c>
      <c r="C223" s="13">
        <v>1781873025726630</v>
      </c>
      <c r="D223" s="9" t="s">
        <v>400</v>
      </c>
      <c r="E223" s="13">
        <v>71725</v>
      </c>
      <c r="F223" s="9" t="s">
        <v>98</v>
      </c>
      <c r="G223" s="9" t="s">
        <v>99</v>
      </c>
      <c r="H223" s="9" t="s">
        <v>120</v>
      </c>
      <c r="I223" s="9" t="s">
        <v>142</v>
      </c>
    </row>
    <row r="224" spans="1:9" x14ac:dyDescent="0.25">
      <c r="A224" s="9">
        <v>6</v>
      </c>
      <c r="B224" s="9" t="s">
        <v>416</v>
      </c>
      <c r="C224" s="13">
        <v>1781873025728100</v>
      </c>
      <c r="D224" s="9" t="s">
        <v>400</v>
      </c>
      <c r="E224" s="13">
        <v>71727</v>
      </c>
      <c r="F224" s="9" t="s">
        <v>123</v>
      </c>
      <c r="G224" s="9" t="s">
        <v>124</v>
      </c>
      <c r="H224" s="9" t="s">
        <v>120</v>
      </c>
      <c r="I224" s="9" t="s">
        <v>144</v>
      </c>
    </row>
    <row r="225" spans="1:9" x14ac:dyDescent="0.25">
      <c r="A225" s="9">
        <v>6</v>
      </c>
      <c r="B225" s="9" t="s">
        <v>417</v>
      </c>
      <c r="C225" s="13">
        <v>1781873035173490</v>
      </c>
      <c r="D225" s="9" t="s">
        <v>400</v>
      </c>
      <c r="E225" s="13">
        <v>81172</v>
      </c>
      <c r="F225" s="9" t="s">
        <v>123</v>
      </c>
      <c r="G225" s="9" t="s">
        <v>124</v>
      </c>
      <c r="H225" s="9" t="s">
        <v>148</v>
      </c>
      <c r="I225" s="9" t="s">
        <v>149</v>
      </c>
    </row>
    <row r="226" spans="1:9" x14ac:dyDescent="0.25">
      <c r="A226" s="9">
        <v>6</v>
      </c>
      <c r="B226" s="9" t="s">
        <v>418</v>
      </c>
      <c r="C226" s="13">
        <v>1781873035176420</v>
      </c>
      <c r="D226" s="9" t="s">
        <v>400</v>
      </c>
      <c r="E226" s="13">
        <v>81175</v>
      </c>
      <c r="F226" s="9" t="s">
        <v>98</v>
      </c>
      <c r="G226" s="9" t="s">
        <v>99</v>
      </c>
      <c r="H226" s="9" t="s">
        <v>148</v>
      </c>
      <c r="I226" s="9" t="s">
        <v>151</v>
      </c>
    </row>
    <row r="227" spans="1:9" x14ac:dyDescent="0.25">
      <c r="A227" s="9">
        <v>6</v>
      </c>
      <c r="B227" s="9" t="s">
        <v>419</v>
      </c>
      <c r="C227" s="13">
        <v>1781873041501600</v>
      </c>
      <c r="D227" s="9" t="s">
        <v>400</v>
      </c>
      <c r="E227" s="13">
        <v>87500</v>
      </c>
      <c r="F227" s="9" t="s">
        <v>93</v>
      </c>
      <c r="G227" s="9" t="s">
        <v>94</v>
      </c>
      <c r="H227" s="9" t="s">
        <v>153</v>
      </c>
      <c r="I227" s="9" t="s">
        <v>153</v>
      </c>
    </row>
    <row r="228" spans="1:9" x14ac:dyDescent="0.25">
      <c r="A228" s="9">
        <v>6</v>
      </c>
      <c r="B228" s="9" t="s">
        <v>420</v>
      </c>
      <c r="C228" s="13">
        <v>1781873041506940</v>
      </c>
      <c r="D228" s="9" t="s">
        <v>400</v>
      </c>
      <c r="E228" s="13">
        <v>87505</v>
      </c>
      <c r="F228" s="9" t="s">
        <v>98</v>
      </c>
      <c r="G228" s="9" t="s">
        <v>99</v>
      </c>
      <c r="H228" s="9" t="s">
        <v>120</v>
      </c>
      <c r="I228" s="9" t="s">
        <v>155</v>
      </c>
    </row>
    <row r="229" spans="1:9" x14ac:dyDescent="0.25">
      <c r="A229" s="9">
        <v>6</v>
      </c>
      <c r="B229" s="9" t="s">
        <v>421</v>
      </c>
      <c r="C229" s="13">
        <v>1781873041509020</v>
      </c>
      <c r="D229" s="9" t="s">
        <v>400</v>
      </c>
      <c r="E229" s="13">
        <v>87508</v>
      </c>
      <c r="F229" s="9" t="s">
        <v>123</v>
      </c>
      <c r="G229" s="9" t="s">
        <v>124</v>
      </c>
      <c r="H229" s="9" t="s">
        <v>120</v>
      </c>
      <c r="I229" s="9" t="s">
        <v>157</v>
      </c>
    </row>
    <row r="230" spans="1:9" x14ac:dyDescent="0.25">
      <c r="A230" s="9">
        <v>6</v>
      </c>
      <c r="B230" s="9" t="s">
        <v>422</v>
      </c>
      <c r="C230" s="13">
        <v>1781873043072530</v>
      </c>
      <c r="D230" s="9" t="s">
        <v>400</v>
      </c>
      <c r="E230" s="13">
        <v>89071</v>
      </c>
      <c r="F230" s="9" t="s">
        <v>123</v>
      </c>
      <c r="G230" s="9" t="s">
        <v>124</v>
      </c>
      <c r="H230" s="9" t="s">
        <v>120</v>
      </c>
      <c r="I230" s="9" t="s">
        <v>159</v>
      </c>
    </row>
    <row r="231" spans="1:9" x14ac:dyDescent="0.25">
      <c r="A231" s="9">
        <v>6</v>
      </c>
      <c r="B231" s="9" t="s">
        <v>423</v>
      </c>
      <c r="C231" s="13">
        <v>1781873053370750</v>
      </c>
      <c r="D231" s="9" t="s">
        <v>400</v>
      </c>
      <c r="E231" s="13">
        <v>99369</v>
      </c>
      <c r="F231" s="9" t="s">
        <v>123</v>
      </c>
      <c r="G231" s="9" t="s">
        <v>124</v>
      </c>
      <c r="H231" s="9" t="s">
        <v>161</v>
      </c>
      <c r="I231" s="9" t="s">
        <v>424</v>
      </c>
    </row>
    <row r="232" spans="1:9" x14ac:dyDescent="0.25">
      <c r="A232" s="9">
        <v>6</v>
      </c>
      <c r="B232" s="9" t="s">
        <v>425</v>
      </c>
      <c r="C232" s="13">
        <v>1781873053372920</v>
      </c>
      <c r="D232" s="9" t="s">
        <v>400</v>
      </c>
      <c r="E232" s="13">
        <v>99371</v>
      </c>
      <c r="F232" s="9" t="s">
        <v>98</v>
      </c>
      <c r="G232" s="9" t="s">
        <v>99</v>
      </c>
      <c r="H232" s="9" t="s">
        <v>161</v>
      </c>
      <c r="I232" s="9" t="s">
        <v>426</v>
      </c>
    </row>
    <row r="233" spans="1:9" x14ac:dyDescent="0.25">
      <c r="A233" s="9">
        <v>6</v>
      </c>
      <c r="B233" s="9" t="s">
        <v>427</v>
      </c>
      <c r="C233" s="13">
        <v>1781873105757210</v>
      </c>
      <c r="D233" s="9" t="s">
        <v>400</v>
      </c>
      <c r="E233" s="13">
        <v>151756</v>
      </c>
      <c r="F233" s="9" t="s">
        <v>166</v>
      </c>
      <c r="G233" s="9" t="s">
        <v>167</v>
      </c>
      <c r="H233" s="9" t="s">
        <v>168</v>
      </c>
      <c r="I233" s="9"/>
    </row>
    <row r="234" spans="1:9" x14ac:dyDescent="0.25">
      <c r="A234" s="9">
        <v>6</v>
      </c>
      <c r="B234" s="9" t="s">
        <v>428</v>
      </c>
      <c r="C234" s="13">
        <v>1781873114205740</v>
      </c>
      <c r="D234" s="9" t="s">
        <v>400</v>
      </c>
      <c r="E234" s="13">
        <v>160204</v>
      </c>
      <c r="F234" s="9" t="s">
        <v>93</v>
      </c>
      <c r="G234" s="9" t="s">
        <v>94</v>
      </c>
      <c r="H234" s="9" t="s">
        <v>170</v>
      </c>
      <c r="I234" s="9" t="s">
        <v>170</v>
      </c>
    </row>
    <row r="235" spans="1:9" x14ac:dyDescent="0.25">
      <c r="A235" s="9">
        <v>6</v>
      </c>
      <c r="B235" s="9" t="s">
        <v>429</v>
      </c>
      <c r="C235" s="13">
        <v>1781873114210070</v>
      </c>
      <c r="D235" s="9" t="s">
        <v>400</v>
      </c>
      <c r="E235" s="13">
        <v>160209</v>
      </c>
      <c r="F235" s="9" t="s">
        <v>98</v>
      </c>
      <c r="G235" s="9" t="s">
        <v>99</v>
      </c>
      <c r="H235" s="9" t="s">
        <v>172</v>
      </c>
      <c r="I235" s="9" t="s">
        <v>331</v>
      </c>
    </row>
    <row r="236" spans="1:9" x14ac:dyDescent="0.25">
      <c r="A236" s="9">
        <v>6</v>
      </c>
      <c r="B236" s="9" t="s">
        <v>430</v>
      </c>
      <c r="C236" s="13">
        <v>1781873131257560</v>
      </c>
      <c r="D236" s="9" t="s">
        <v>400</v>
      </c>
      <c r="E236" s="13">
        <v>177256</v>
      </c>
      <c r="F236" s="9" t="s">
        <v>93</v>
      </c>
      <c r="G236" s="9" t="s">
        <v>94</v>
      </c>
      <c r="H236" s="9" t="s">
        <v>175</v>
      </c>
      <c r="I236" s="9" t="s">
        <v>175</v>
      </c>
    </row>
    <row r="237" spans="1:9" x14ac:dyDescent="0.25">
      <c r="A237" s="9">
        <v>6</v>
      </c>
      <c r="B237" s="9" t="s">
        <v>431</v>
      </c>
      <c r="C237" s="13">
        <v>1781873131259070</v>
      </c>
      <c r="D237" s="9" t="s">
        <v>400</v>
      </c>
      <c r="E237" s="13">
        <v>177258</v>
      </c>
      <c r="F237" s="9" t="s">
        <v>98</v>
      </c>
      <c r="G237" s="9" t="s">
        <v>99</v>
      </c>
      <c r="H237" s="9" t="s">
        <v>120</v>
      </c>
      <c r="I237" s="9" t="s">
        <v>177</v>
      </c>
    </row>
    <row r="238" spans="1:9" x14ac:dyDescent="0.25">
      <c r="A238" s="9">
        <v>6</v>
      </c>
      <c r="B238" s="9" t="s">
        <v>432</v>
      </c>
      <c r="C238" s="13">
        <v>1781873138263290</v>
      </c>
      <c r="D238" s="9" t="s">
        <v>400</v>
      </c>
      <c r="E238" s="13">
        <v>184262</v>
      </c>
      <c r="F238" s="9" t="s">
        <v>98</v>
      </c>
      <c r="G238" s="9" t="s">
        <v>99</v>
      </c>
      <c r="H238" s="9" t="s">
        <v>179</v>
      </c>
      <c r="I238" s="9" t="s">
        <v>335</v>
      </c>
    </row>
    <row r="239" spans="1:9" x14ac:dyDescent="0.25">
      <c r="A239" s="9">
        <v>6</v>
      </c>
      <c r="B239" s="9" t="s">
        <v>433</v>
      </c>
      <c r="C239" s="13">
        <v>1781873138263810</v>
      </c>
      <c r="D239" s="9" t="s">
        <v>400</v>
      </c>
      <c r="E239" s="13">
        <v>184262</v>
      </c>
      <c r="F239" s="9" t="s">
        <v>103</v>
      </c>
      <c r="G239" s="9" t="s">
        <v>89</v>
      </c>
      <c r="H239" s="9" t="s">
        <v>179</v>
      </c>
      <c r="I239" s="9"/>
    </row>
    <row r="240" spans="1:9" x14ac:dyDescent="0.25">
      <c r="A240" s="9">
        <v>6</v>
      </c>
      <c r="B240" s="9" t="s">
        <v>434</v>
      </c>
      <c r="C240" s="13">
        <v>1781873161269430</v>
      </c>
      <c r="D240" s="9" t="s">
        <v>435</v>
      </c>
      <c r="E240" s="9" t="s">
        <v>87</v>
      </c>
      <c r="F240" s="9" t="s">
        <v>88</v>
      </c>
      <c r="G240" s="9" t="s">
        <v>89</v>
      </c>
      <c r="H240" s="9" t="s">
        <v>184</v>
      </c>
      <c r="I240" s="9"/>
    </row>
    <row r="241" spans="1:9" x14ac:dyDescent="0.25">
      <c r="A241" s="9">
        <v>6</v>
      </c>
      <c r="B241" s="9" t="s">
        <v>436</v>
      </c>
      <c r="C241" s="13">
        <v>1781873161271000</v>
      </c>
      <c r="D241" s="9" t="s">
        <v>435</v>
      </c>
      <c r="E241" s="9" t="s">
        <v>92</v>
      </c>
      <c r="F241" s="9" t="s">
        <v>166</v>
      </c>
      <c r="G241" s="9" t="s">
        <v>167</v>
      </c>
      <c r="H241" s="9" t="s">
        <v>437</v>
      </c>
      <c r="I241" s="9"/>
    </row>
    <row r="242" spans="1:9" x14ac:dyDescent="0.25">
      <c r="B242" t="s">
        <v>438</v>
      </c>
      <c r="C242" s="12">
        <v>1781873220351090</v>
      </c>
      <c r="D242" t="s">
        <v>435</v>
      </c>
      <c r="E242" s="12">
        <v>59082</v>
      </c>
      <c r="F242" t="s">
        <v>93</v>
      </c>
      <c r="G242" t="s">
        <v>94</v>
      </c>
      <c r="H242" t="s">
        <v>195</v>
      </c>
      <c r="I242" t="s">
        <v>195</v>
      </c>
    </row>
    <row r="243" spans="1:9" x14ac:dyDescent="0.25">
      <c r="B243" t="s">
        <v>439</v>
      </c>
      <c r="C243" s="12">
        <v>1781873224005010</v>
      </c>
      <c r="D243" t="s">
        <v>435</v>
      </c>
      <c r="E243" s="12">
        <v>62736</v>
      </c>
      <c r="F243" t="s">
        <v>93</v>
      </c>
      <c r="G243" t="s">
        <v>94</v>
      </c>
      <c r="H243" t="s">
        <v>195</v>
      </c>
      <c r="I243" t="s">
        <v>195</v>
      </c>
    </row>
    <row r="244" spans="1:9" x14ac:dyDescent="0.25">
      <c r="B244" t="s">
        <v>440</v>
      </c>
      <c r="C244" s="12">
        <v>1781873239595250</v>
      </c>
      <c r="D244" t="s">
        <v>435</v>
      </c>
      <c r="E244" s="12">
        <v>78326</v>
      </c>
      <c r="F244" t="s">
        <v>103</v>
      </c>
      <c r="G244" t="s">
        <v>89</v>
      </c>
      <c r="H244" t="s">
        <v>104</v>
      </c>
    </row>
    <row r="245" spans="1:9" x14ac:dyDescent="0.25">
      <c r="B245" t="s">
        <v>441</v>
      </c>
      <c r="C245" s="12">
        <v>1781873239597110</v>
      </c>
      <c r="D245" t="s">
        <v>442</v>
      </c>
      <c r="E245" t="s">
        <v>87</v>
      </c>
      <c r="F245" t="s">
        <v>88</v>
      </c>
      <c r="G245" t="s">
        <v>89</v>
      </c>
      <c r="H245" t="s">
        <v>90</v>
      </c>
    </row>
    <row r="246" spans="1:9" x14ac:dyDescent="0.25">
      <c r="A246" s="9">
        <v>7</v>
      </c>
      <c r="B246" s="9" t="s">
        <v>443</v>
      </c>
      <c r="C246" s="13">
        <v>1781873239598280</v>
      </c>
      <c r="D246" s="9" t="s">
        <v>442</v>
      </c>
      <c r="E246" s="9" t="s">
        <v>108</v>
      </c>
      <c r="F246" s="9" t="s">
        <v>93</v>
      </c>
      <c r="G246" s="9" t="s">
        <v>94</v>
      </c>
      <c r="H246" s="9" t="s">
        <v>95</v>
      </c>
      <c r="I246" s="9" t="s">
        <v>95</v>
      </c>
    </row>
    <row r="247" spans="1:9" x14ac:dyDescent="0.25">
      <c r="A247" s="9">
        <v>7</v>
      </c>
      <c r="B247" s="9" t="s">
        <v>444</v>
      </c>
      <c r="C247" s="13">
        <v>1781873239602400</v>
      </c>
      <c r="D247" s="9" t="s">
        <v>442</v>
      </c>
      <c r="E247" s="9" t="s">
        <v>97</v>
      </c>
      <c r="F247" s="9" t="s">
        <v>98</v>
      </c>
      <c r="G247" s="9" t="s">
        <v>99</v>
      </c>
      <c r="H247" s="9" t="s">
        <v>100</v>
      </c>
      <c r="I247" s="9" t="s">
        <v>101</v>
      </c>
    </row>
    <row r="248" spans="1:9" x14ac:dyDescent="0.25">
      <c r="A248" s="9">
        <v>7</v>
      </c>
      <c r="B248" s="9" t="s">
        <v>445</v>
      </c>
      <c r="C248" s="13">
        <v>1781873250720500</v>
      </c>
      <c r="D248" s="9" t="s">
        <v>442</v>
      </c>
      <c r="E248" s="13">
        <v>11124</v>
      </c>
      <c r="F248" s="9" t="s">
        <v>93</v>
      </c>
      <c r="G248" s="9" t="s">
        <v>94</v>
      </c>
      <c r="H248" s="9" t="s">
        <v>195</v>
      </c>
      <c r="I248" s="9" t="s">
        <v>195</v>
      </c>
    </row>
    <row r="249" spans="1:9" x14ac:dyDescent="0.25">
      <c r="A249" s="9">
        <v>7</v>
      </c>
      <c r="B249" s="9" t="s">
        <v>446</v>
      </c>
      <c r="C249" s="13">
        <v>1781873286594450</v>
      </c>
      <c r="D249" s="9" t="s">
        <v>442</v>
      </c>
      <c r="E249" s="13">
        <v>46997</v>
      </c>
      <c r="F249" s="9" t="s">
        <v>103</v>
      </c>
      <c r="G249" s="9" t="s">
        <v>89</v>
      </c>
      <c r="H249" s="9" t="s">
        <v>104</v>
      </c>
      <c r="I249" s="9"/>
    </row>
    <row r="250" spans="1:9" x14ac:dyDescent="0.25">
      <c r="A250" s="9">
        <v>7</v>
      </c>
      <c r="B250" s="9" t="s">
        <v>447</v>
      </c>
      <c r="C250" s="13">
        <v>1781873286596180</v>
      </c>
      <c r="D250" s="9" t="s">
        <v>448</v>
      </c>
      <c r="E250" s="9" t="s">
        <v>87</v>
      </c>
      <c r="F250" s="9" t="s">
        <v>88</v>
      </c>
      <c r="G250" s="9" t="s">
        <v>89</v>
      </c>
      <c r="H250" s="9" t="s">
        <v>90</v>
      </c>
      <c r="I250" s="9"/>
    </row>
    <row r="251" spans="1:9" x14ac:dyDescent="0.25">
      <c r="A251" s="9">
        <v>7</v>
      </c>
      <c r="B251" s="9" t="s">
        <v>449</v>
      </c>
      <c r="C251" s="13">
        <v>1781873286597160</v>
      </c>
      <c r="D251" s="9" t="s">
        <v>448</v>
      </c>
      <c r="E251" s="9" t="s">
        <v>108</v>
      </c>
      <c r="F251" s="9" t="s">
        <v>93</v>
      </c>
      <c r="G251" s="9" t="s">
        <v>94</v>
      </c>
      <c r="H251" s="9" t="s">
        <v>95</v>
      </c>
      <c r="I251" s="9" t="s">
        <v>95</v>
      </c>
    </row>
    <row r="252" spans="1:9" x14ac:dyDescent="0.25">
      <c r="A252" s="9">
        <v>7</v>
      </c>
      <c r="B252" s="9" t="s">
        <v>450</v>
      </c>
      <c r="C252" s="13">
        <v>1781873286598140</v>
      </c>
      <c r="D252" s="9" t="s">
        <v>448</v>
      </c>
      <c r="E252" s="9" t="s">
        <v>92</v>
      </c>
      <c r="F252" s="9" t="s">
        <v>98</v>
      </c>
      <c r="G252" s="9" t="s">
        <v>99</v>
      </c>
      <c r="H252" s="9" t="s">
        <v>100</v>
      </c>
      <c r="I252" s="9" t="s">
        <v>101</v>
      </c>
    </row>
    <row r="253" spans="1:9" x14ac:dyDescent="0.25">
      <c r="A253" s="9">
        <v>7</v>
      </c>
      <c r="B253" s="9" t="s">
        <v>451</v>
      </c>
      <c r="C253" s="13">
        <v>1781873301984160</v>
      </c>
      <c r="D253" s="9" t="s">
        <v>448</v>
      </c>
      <c r="E253" s="13">
        <v>15388</v>
      </c>
      <c r="F253" s="9" t="s">
        <v>93</v>
      </c>
      <c r="G253" s="9" t="s">
        <v>94</v>
      </c>
      <c r="H253" s="9" t="s">
        <v>118</v>
      </c>
      <c r="I253" s="9" t="s">
        <v>118</v>
      </c>
    </row>
    <row r="254" spans="1:9" x14ac:dyDescent="0.25">
      <c r="A254" s="9">
        <v>7</v>
      </c>
      <c r="B254" s="9" t="s">
        <v>452</v>
      </c>
      <c r="C254" s="13">
        <v>1781873301988910</v>
      </c>
      <c r="D254" s="9" t="s">
        <v>448</v>
      </c>
      <c r="E254" s="13">
        <v>15393</v>
      </c>
      <c r="F254" s="9" t="s">
        <v>98</v>
      </c>
      <c r="G254" s="9" t="s">
        <v>99</v>
      </c>
      <c r="H254" s="9" t="s">
        <v>120</v>
      </c>
      <c r="I254" s="9" t="s">
        <v>121</v>
      </c>
    </row>
    <row r="255" spans="1:9" x14ac:dyDescent="0.25">
      <c r="A255" s="9">
        <v>7</v>
      </c>
      <c r="B255" s="9" t="s">
        <v>453</v>
      </c>
      <c r="C255" s="13">
        <v>1781873301990120</v>
      </c>
      <c r="D255" s="9" t="s">
        <v>448</v>
      </c>
      <c r="E255" s="13">
        <v>15394</v>
      </c>
      <c r="F255" s="9" t="s">
        <v>123</v>
      </c>
      <c r="G255" s="9" t="s">
        <v>124</v>
      </c>
      <c r="H255" s="9" t="s">
        <v>120</v>
      </c>
      <c r="I255" s="9" t="s">
        <v>125</v>
      </c>
    </row>
    <row r="256" spans="1:9" x14ac:dyDescent="0.25">
      <c r="A256" s="9">
        <v>7</v>
      </c>
      <c r="B256" s="9" t="s">
        <v>454</v>
      </c>
      <c r="C256" s="13">
        <v>1781873307672450</v>
      </c>
      <c r="D256" s="9" t="s">
        <v>448</v>
      </c>
      <c r="E256" s="13">
        <v>21076</v>
      </c>
      <c r="F256" s="9" t="s">
        <v>123</v>
      </c>
      <c r="G256" s="9" t="s">
        <v>124</v>
      </c>
      <c r="H256" s="9" t="s">
        <v>127</v>
      </c>
      <c r="I256" s="9" t="s">
        <v>455</v>
      </c>
    </row>
    <row r="257" spans="1:9" x14ac:dyDescent="0.25">
      <c r="A257" s="9">
        <v>7</v>
      </c>
      <c r="B257" s="9" t="s">
        <v>456</v>
      </c>
      <c r="C257" s="13">
        <v>1781873307674880</v>
      </c>
      <c r="D257" s="9" t="s">
        <v>448</v>
      </c>
      <c r="E257" s="13">
        <v>21079</v>
      </c>
      <c r="F257" s="9" t="s">
        <v>98</v>
      </c>
      <c r="G257" s="9" t="s">
        <v>99</v>
      </c>
      <c r="H257" s="9" t="s">
        <v>127</v>
      </c>
      <c r="I257" s="9" t="s">
        <v>457</v>
      </c>
    </row>
    <row r="258" spans="1:9" x14ac:dyDescent="0.25">
      <c r="A258" s="9">
        <v>7</v>
      </c>
      <c r="B258" s="9" t="s">
        <v>458</v>
      </c>
      <c r="C258" s="13">
        <v>1781873309699520</v>
      </c>
      <c r="D258" s="9" t="s">
        <v>448</v>
      </c>
      <c r="E258" s="13">
        <v>23103</v>
      </c>
      <c r="F258" s="9" t="s">
        <v>132</v>
      </c>
      <c r="G258" s="9" t="s">
        <v>133</v>
      </c>
      <c r="H258" s="9" t="s">
        <v>309</v>
      </c>
      <c r="I258" s="9" t="s">
        <v>310</v>
      </c>
    </row>
    <row r="259" spans="1:9" x14ac:dyDescent="0.25">
      <c r="A259" s="9">
        <v>7</v>
      </c>
      <c r="B259" s="9" t="s">
        <v>459</v>
      </c>
      <c r="C259" s="13">
        <v>1781873316284140</v>
      </c>
      <c r="D259" s="9" t="s">
        <v>448</v>
      </c>
      <c r="E259" s="13">
        <v>29688</v>
      </c>
      <c r="F259" s="9" t="s">
        <v>93</v>
      </c>
      <c r="G259" s="9" t="s">
        <v>94</v>
      </c>
      <c r="H259" s="9" t="s">
        <v>140</v>
      </c>
      <c r="I259" s="9" t="s">
        <v>140</v>
      </c>
    </row>
    <row r="260" spans="1:9" x14ac:dyDescent="0.25">
      <c r="A260" s="9">
        <v>7</v>
      </c>
      <c r="B260" s="9" t="s">
        <v>460</v>
      </c>
      <c r="C260" s="13">
        <v>1781873316290130</v>
      </c>
      <c r="D260" s="9" t="s">
        <v>448</v>
      </c>
      <c r="E260" s="13">
        <v>29694</v>
      </c>
      <c r="F260" s="9" t="s">
        <v>98</v>
      </c>
      <c r="G260" s="9" t="s">
        <v>99</v>
      </c>
      <c r="H260" s="9" t="s">
        <v>137</v>
      </c>
      <c r="I260" s="9" t="s">
        <v>313</v>
      </c>
    </row>
    <row r="261" spans="1:9" x14ac:dyDescent="0.25">
      <c r="A261" s="9">
        <v>7</v>
      </c>
      <c r="B261" s="9" t="s">
        <v>461</v>
      </c>
      <c r="C261" s="13">
        <v>1781873328420790</v>
      </c>
      <c r="D261" s="9" t="s">
        <v>448</v>
      </c>
      <c r="E261" s="13">
        <v>41825</v>
      </c>
      <c r="F261" s="9" t="s">
        <v>166</v>
      </c>
      <c r="G261" s="9" t="s">
        <v>167</v>
      </c>
      <c r="H261" s="9" t="s">
        <v>213</v>
      </c>
      <c r="I261" s="9"/>
    </row>
    <row r="262" spans="1:9" x14ac:dyDescent="0.25">
      <c r="A262" s="9">
        <v>7</v>
      </c>
      <c r="B262" s="9" t="s">
        <v>462</v>
      </c>
      <c r="C262" s="13">
        <v>1781873337246520</v>
      </c>
      <c r="D262" s="9" t="s">
        <v>448</v>
      </c>
      <c r="E262" s="13">
        <v>50650</v>
      </c>
      <c r="F262" s="9" t="s">
        <v>98</v>
      </c>
      <c r="G262" s="9" t="s">
        <v>99</v>
      </c>
      <c r="H262" s="9" t="s">
        <v>120</v>
      </c>
      <c r="I262" s="9" t="s">
        <v>142</v>
      </c>
    </row>
    <row r="263" spans="1:9" x14ac:dyDescent="0.25">
      <c r="A263" s="9">
        <v>7</v>
      </c>
      <c r="B263" s="9" t="s">
        <v>463</v>
      </c>
      <c r="C263" s="13">
        <v>1781873337255770</v>
      </c>
      <c r="D263" s="9" t="s">
        <v>448</v>
      </c>
      <c r="E263" s="13">
        <v>50660</v>
      </c>
      <c r="F263" s="9" t="s">
        <v>123</v>
      </c>
      <c r="G263" s="9" t="s">
        <v>124</v>
      </c>
      <c r="H263" s="9" t="s">
        <v>120</v>
      </c>
      <c r="I263" s="9" t="s">
        <v>144</v>
      </c>
    </row>
    <row r="264" spans="1:9" x14ac:dyDescent="0.25">
      <c r="A264" s="9">
        <v>7</v>
      </c>
      <c r="B264" s="9" t="s">
        <v>464</v>
      </c>
      <c r="C264" s="13">
        <v>1781873337341730</v>
      </c>
      <c r="D264" s="9" t="s">
        <v>448</v>
      </c>
      <c r="E264" s="13">
        <v>50746</v>
      </c>
      <c r="F264" s="9" t="s">
        <v>93</v>
      </c>
      <c r="G264" s="9" t="s">
        <v>94</v>
      </c>
      <c r="H264" s="9" t="s">
        <v>146</v>
      </c>
      <c r="I264" s="9" t="s">
        <v>146</v>
      </c>
    </row>
    <row r="265" spans="1:9" x14ac:dyDescent="0.25">
      <c r="A265" s="9">
        <v>7</v>
      </c>
      <c r="B265" s="9" t="s">
        <v>465</v>
      </c>
      <c r="C265" s="13">
        <v>1781873346675500</v>
      </c>
      <c r="D265" s="9" t="s">
        <v>448</v>
      </c>
      <c r="E265" s="13">
        <v>60079</v>
      </c>
      <c r="F265" s="9" t="s">
        <v>123</v>
      </c>
      <c r="G265" s="9" t="s">
        <v>124</v>
      </c>
      <c r="H265" s="9" t="s">
        <v>148</v>
      </c>
      <c r="I265" s="9" t="s">
        <v>149</v>
      </c>
    </row>
    <row r="266" spans="1:9" x14ac:dyDescent="0.25">
      <c r="A266" s="9">
        <v>7</v>
      </c>
      <c r="B266" s="9" t="s">
        <v>466</v>
      </c>
      <c r="C266" s="13">
        <v>1781873346676860</v>
      </c>
      <c r="D266" s="9" t="s">
        <v>448</v>
      </c>
      <c r="E266" s="13">
        <v>60081</v>
      </c>
      <c r="F266" s="9" t="s">
        <v>98</v>
      </c>
      <c r="G266" s="9" t="s">
        <v>99</v>
      </c>
      <c r="H266" s="9" t="s">
        <v>148</v>
      </c>
      <c r="I266" s="9" t="s">
        <v>151</v>
      </c>
    </row>
    <row r="267" spans="1:9" x14ac:dyDescent="0.25">
      <c r="A267" s="9">
        <v>7</v>
      </c>
      <c r="B267" s="9" t="s">
        <v>467</v>
      </c>
      <c r="C267" s="13">
        <v>1781873352363730</v>
      </c>
      <c r="D267" s="9" t="s">
        <v>448</v>
      </c>
      <c r="E267" s="13">
        <v>65768</v>
      </c>
      <c r="F267" s="9" t="s">
        <v>93</v>
      </c>
      <c r="G267" s="9" t="s">
        <v>94</v>
      </c>
      <c r="H267" s="9" t="s">
        <v>153</v>
      </c>
      <c r="I267" s="9" t="s">
        <v>153</v>
      </c>
    </row>
    <row r="268" spans="1:9" x14ac:dyDescent="0.25">
      <c r="A268" s="9">
        <v>7</v>
      </c>
      <c r="B268" s="9" t="s">
        <v>468</v>
      </c>
      <c r="C268" s="13">
        <v>1781873352368630</v>
      </c>
      <c r="D268" s="9" t="s">
        <v>448</v>
      </c>
      <c r="E268" s="13">
        <v>65773</v>
      </c>
      <c r="F268" s="9" t="s">
        <v>98</v>
      </c>
      <c r="G268" s="9" t="s">
        <v>99</v>
      </c>
      <c r="H268" s="9" t="s">
        <v>120</v>
      </c>
      <c r="I268" s="9" t="s">
        <v>155</v>
      </c>
    </row>
    <row r="269" spans="1:9" x14ac:dyDescent="0.25">
      <c r="A269" s="9">
        <v>7</v>
      </c>
      <c r="B269" s="9" t="s">
        <v>469</v>
      </c>
      <c r="C269" s="13">
        <v>1781873352370690</v>
      </c>
      <c r="D269" s="9" t="s">
        <v>448</v>
      </c>
      <c r="E269" s="13">
        <v>65775</v>
      </c>
      <c r="F269" s="9" t="s">
        <v>123</v>
      </c>
      <c r="G269" s="9" t="s">
        <v>124</v>
      </c>
      <c r="H269" s="9" t="s">
        <v>120</v>
      </c>
      <c r="I269" s="9" t="s">
        <v>157</v>
      </c>
    </row>
    <row r="270" spans="1:9" x14ac:dyDescent="0.25">
      <c r="A270" s="9">
        <v>7</v>
      </c>
      <c r="B270" s="9" t="s">
        <v>470</v>
      </c>
      <c r="C270" s="13">
        <v>1781873353971280</v>
      </c>
      <c r="D270" s="9" t="s">
        <v>448</v>
      </c>
      <c r="E270" s="13">
        <v>67375</v>
      </c>
      <c r="F270" s="9" t="s">
        <v>123</v>
      </c>
      <c r="G270" s="9" t="s">
        <v>124</v>
      </c>
      <c r="H270" s="9" t="s">
        <v>120</v>
      </c>
      <c r="I270" s="9" t="s">
        <v>159</v>
      </c>
    </row>
    <row r="271" spans="1:9" x14ac:dyDescent="0.25">
      <c r="A271" s="9">
        <v>7</v>
      </c>
      <c r="B271" s="9" t="s">
        <v>471</v>
      </c>
      <c r="C271" s="13">
        <v>1781873363671420</v>
      </c>
      <c r="D271" s="9" t="s">
        <v>448</v>
      </c>
      <c r="E271" s="13">
        <v>77075</v>
      </c>
      <c r="F271" s="9" t="s">
        <v>123</v>
      </c>
      <c r="G271" s="9" t="s">
        <v>124</v>
      </c>
      <c r="H271" s="9" t="s">
        <v>161</v>
      </c>
      <c r="I271" s="9" t="s">
        <v>472</v>
      </c>
    </row>
    <row r="272" spans="1:9" x14ac:dyDescent="0.25">
      <c r="A272" s="9">
        <v>7</v>
      </c>
      <c r="B272" s="9" t="s">
        <v>473</v>
      </c>
      <c r="C272" s="13">
        <v>1781873363674480</v>
      </c>
      <c r="D272" s="9" t="s">
        <v>448</v>
      </c>
      <c r="E272" s="13">
        <v>77078</v>
      </c>
      <c r="F272" s="9" t="s">
        <v>98</v>
      </c>
      <c r="G272" s="9" t="s">
        <v>99</v>
      </c>
      <c r="H272" s="9" t="s">
        <v>161</v>
      </c>
      <c r="I272" s="9" t="s">
        <v>474</v>
      </c>
    </row>
    <row r="273" spans="1:9" x14ac:dyDescent="0.25">
      <c r="A273" s="9">
        <v>7</v>
      </c>
      <c r="B273" s="9" t="s">
        <v>475</v>
      </c>
      <c r="C273" s="13">
        <v>1781873379864900</v>
      </c>
      <c r="D273" s="9" t="s">
        <v>448</v>
      </c>
      <c r="E273" s="13">
        <v>93269</v>
      </c>
      <c r="F273" s="9" t="s">
        <v>98</v>
      </c>
      <c r="G273" s="9" t="s">
        <v>99</v>
      </c>
      <c r="H273" s="9" t="s">
        <v>172</v>
      </c>
      <c r="I273" s="9" t="s">
        <v>331</v>
      </c>
    </row>
    <row r="274" spans="1:9" x14ac:dyDescent="0.25">
      <c r="A274" s="9">
        <v>7</v>
      </c>
      <c r="B274" s="9" t="s">
        <v>476</v>
      </c>
      <c r="C274" s="13">
        <v>1781873379871340</v>
      </c>
      <c r="D274" s="9" t="s">
        <v>448</v>
      </c>
      <c r="E274" s="13">
        <v>93275</v>
      </c>
      <c r="F274" s="9" t="s">
        <v>93</v>
      </c>
      <c r="G274" s="9" t="s">
        <v>94</v>
      </c>
      <c r="H274" s="9" t="s">
        <v>170</v>
      </c>
      <c r="I274" s="9" t="s">
        <v>170</v>
      </c>
    </row>
    <row r="275" spans="1:9" x14ac:dyDescent="0.25">
      <c r="A275" s="9">
        <v>7</v>
      </c>
      <c r="B275" s="9" t="s">
        <v>477</v>
      </c>
      <c r="C275" s="13">
        <v>1781873402109250</v>
      </c>
      <c r="D275" s="9" t="s">
        <v>448</v>
      </c>
      <c r="E275" s="13">
        <v>115513</v>
      </c>
      <c r="F275" s="9" t="s">
        <v>93</v>
      </c>
      <c r="G275" s="9" t="s">
        <v>94</v>
      </c>
      <c r="H275" s="9" t="s">
        <v>175</v>
      </c>
      <c r="I275" s="9" t="s">
        <v>175</v>
      </c>
    </row>
    <row r="276" spans="1:9" x14ac:dyDescent="0.25">
      <c r="A276" s="9">
        <v>7</v>
      </c>
      <c r="B276" s="9" t="s">
        <v>478</v>
      </c>
      <c r="C276" s="13">
        <v>1781873402119080</v>
      </c>
      <c r="D276" s="9" t="s">
        <v>448</v>
      </c>
      <c r="E276" s="13">
        <v>115523</v>
      </c>
      <c r="F276" s="9" t="s">
        <v>98</v>
      </c>
      <c r="G276" s="9" t="s">
        <v>99</v>
      </c>
      <c r="H276" s="9" t="s">
        <v>120</v>
      </c>
      <c r="I276" s="9" t="s">
        <v>177</v>
      </c>
    </row>
    <row r="277" spans="1:9" x14ac:dyDescent="0.25">
      <c r="A277" s="9">
        <v>7</v>
      </c>
      <c r="B277" s="9" t="s">
        <v>479</v>
      </c>
      <c r="C277" s="13">
        <v>1781873409117820</v>
      </c>
      <c r="D277" s="9" t="s">
        <v>448</v>
      </c>
      <c r="E277" s="13">
        <v>122522</v>
      </c>
      <c r="F277" s="9" t="s">
        <v>98</v>
      </c>
      <c r="G277" s="9" t="s">
        <v>99</v>
      </c>
      <c r="H277" s="9" t="s">
        <v>179</v>
      </c>
      <c r="I277" s="9" t="s">
        <v>335</v>
      </c>
    </row>
    <row r="278" spans="1:9" x14ac:dyDescent="0.25">
      <c r="A278" s="9">
        <v>7</v>
      </c>
      <c r="B278" s="9" t="s">
        <v>480</v>
      </c>
      <c r="C278" s="13">
        <v>1781873409118370</v>
      </c>
      <c r="D278" s="9" t="s">
        <v>448</v>
      </c>
      <c r="E278" s="13">
        <v>122522</v>
      </c>
      <c r="F278" s="9" t="s">
        <v>103</v>
      </c>
      <c r="G278" s="9" t="s">
        <v>89</v>
      </c>
      <c r="H278" s="9" t="s">
        <v>179</v>
      </c>
      <c r="I278" s="9"/>
    </row>
    <row r="279" spans="1:9" x14ac:dyDescent="0.25">
      <c r="A279" s="9">
        <v>7</v>
      </c>
      <c r="B279" s="9" t="s">
        <v>481</v>
      </c>
      <c r="C279" s="13">
        <v>1781873413094400</v>
      </c>
      <c r="D279" s="9" t="s">
        <v>482</v>
      </c>
      <c r="E279" s="9" t="s">
        <v>87</v>
      </c>
      <c r="F279" s="9" t="s">
        <v>88</v>
      </c>
      <c r="G279" s="9" t="s">
        <v>89</v>
      </c>
      <c r="H279" s="9" t="s">
        <v>184</v>
      </c>
      <c r="I279" s="9"/>
    </row>
    <row r="280" spans="1:9" x14ac:dyDescent="0.25">
      <c r="A280" s="9">
        <v>7</v>
      </c>
      <c r="B280" s="9" t="s">
        <v>483</v>
      </c>
      <c r="C280" s="13">
        <v>1781873413095970</v>
      </c>
      <c r="D280" s="9" t="s">
        <v>482</v>
      </c>
      <c r="E280" s="9" t="s">
        <v>92</v>
      </c>
      <c r="F280" s="9" t="s">
        <v>166</v>
      </c>
      <c r="G280" s="9" t="s">
        <v>167</v>
      </c>
      <c r="H280" s="9" t="s">
        <v>437</v>
      </c>
      <c r="I280" s="9"/>
    </row>
    <row r="281" spans="1:9" x14ac:dyDescent="0.25">
      <c r="B281" t="s">
        <v>484</v>
      </c>
      <c r="C281" s="12">
        <v>1781873419933500</v>
      </c>
      <c r="D281" t="s">
        <v>482</v>
      </c>
      <c r="E281" s="12">
        <v>6839</v>
      </c>
      <c r="F281" t="s">
        <v>93</v>
      </c>
      <c r="G281" t="s">
        <v>94</v>
      </c>
      <c r="H281" t="s">
        <v>195</v>
      </c>
      <c r="I281" t="s">
        <v>195</v>
      </c>
    </row>
    <row r="282" spans="1:9" x14ac:dyDescent="0.25">
      <c r="B282" t="s">
        <v>485</v>
      </c>
      <c r="C282" s="12">
        <v>1781873584374960</v>
      </c>
      <c r="D282" t="s">
        <v>482</v>
      </c>
      <c r="E282" s="12">
        <v>171281</v>
      </c>
      <c r="F282" t="s">
        <v>98</v>
      </c>
      <c r="G282" t="s">
        <v>99</v>
      </c>
      <c r="H282" t="s">
        <v>100</v>
      </c>
      <c r="I282" t="s">
        <v>101</v>
      </c>
    </row>
    <row r="283" spans="1:9" x14ac:dyDescent="0.25">
      <c r="B283" t="s">
        <v>486</v>
      </c>
      <c r="C283" s="12">
        <v>1781873584568080</v>
      </c>
      <c r="D283" t="s">
        <v>482</v>
      </c>
      <c r="E283" s="12">
        <v>171474</v>
      </c>
      <c r="F283" t="s">
        <v>103</v>
      </c>
      <c r="G283" t="s">
        <v>89</v>
      </c>
      <c r="H283" t="s">
        <v>104</v>
      </c>
    </row>
    <row r="284" spans="1:9" x14ac:dyDescent="0.25">
      <c r="B284" t="s">
        <v>487</v>
      </c>
      <c r="C284" s="12">
        <v>1781873584569980</v>
      </c>
      <c r="D284" t="s">
        <v>488</v>
      </c>
      <c r="E284" t="s">
        <v>87</v>
      </c>
      <c r="F284" t="s">
        <v>88</v>
      </c>
      <c r="G284" t="s">
        <v>89</v>
      </c>
      <c r="H284" t="s">
        <v>90</v>
      </c>
    </row>
    <row r="285" spans="1:9" x14ac:dyDescent="0.25">
      <c r="B285" t="s">
        <v>489</v>
      </c>
      <c r="C285" s="12">
        <v>1781873584570940</v>
      </c>
      <c r="D285" t="s">
        <v>488</v>
      </c>
      <c r="E285" t="s">
        <v>108</v>
      </c>
      <c r="F285" t="s">
        <v>93</v>
      </c>
      <c r="G285" t="s">
        <v>94</v>
      </c>
      <c r="H285" t="s">
        <v>95</v>
      </c>
      <c r="I285" t="s">
        <v>95</v>
      </c>
    </row>
    <row r="286" spans="1:9" x14ac:dyDescent="0.25">
      <c r="B286" t="s">
        <v>490</v>
      </c>
      <c r="C286" s="12">
        <v>1781873600368120</v>
      </c>
      <c r="D286" t="s">
        <v>488</v>
      </c>
      <c r="E286" s="12">
        <v>15798</v>
      </c>
      <c r="F286" t="s">
        <v>93</v>
      </c>
      <c r="G286" t="s">
        <v>94</v>
      </c>
      <c r="H286" t="s">
        <v>195</v>
      </c>
      <c r="I286" t="s">
        <v>195</v>
      </c>
    </row>
    <row r="287" spans="1:9" x14ac:dyDescent="0.25">
      <c r="B287" t="s">
        <v>491</v>
      </c>
      <c r="C287" s="12">
        <v>1781873623390910</v>
      </c>
      <c r="D287" t="s">
        <v>488</v>
      </c>
      <c r="E287" s="12">
        <v>38821</v>
      </c>
      <c r="F287" t="s">
        <v>103</v>
      </c>
      <c r="G287" t="s">
        <v>89</v>
      </c>
      <c r="H287" t="s">
        <v>104</v>
      </c>
    </row>
    <row r="288" spans="1:9" x14ac:dyDescent="0.25">
      <c r="B288" t="s">
        <v>492</v>
      </c>
      <c r="C288" s="12">
        <v>1781873623392670</v>
      </c>
      <c r="D288" t="s">
        <v>493</v>
      </c>
      <c r="E288" t="s">
        <v>87</v>
      </c>
      <c r="F288" t="s">
        <v>88</v>
      </c>
      <c r="G288" t="s">
        <v>89</v>
      </c>
      <c r="H288" t="s">
        <v>90</v>
      </c>
    </row>
    <row r="289" spans="1:9" x14ac:dyDescent="0.25">
      <c r="B289" t="s">
        <v>494</v>
      </c>
      <c r="C289" s="12">
        <v>1781873623393750</v>
      </c>
      <c r="D289" t="s">
        <v>493</v>
      </c>
      <c r="E289" t="s">
        <v>108</v>
      </c>
      <c r="F289" t="s">
        <v>93</v>
      </c>
      <c r="G289" t="s">
        <v>94</v>
      </c>
      <c r="H289" t="s">
        <v>95</v>
      </c>
      <c r="I289" t="s">
        <v>95</v>
      </c>
    </row>
    <row r="290" spans="1:9" x14ac:dyDescent="0.25">
      <c r="B290" t="s">
        <v>495</v>
      </c>
      <c r="C290" s="12">
        <v>1781873623397450</v>
      </c>
      <c r="D290" t="s">
        <v>493</v>
      </c>
      <c r="E290" t="s">
        <v>97</v>
      </c>
      <c r="F290" t="s">
        <v>98</v>
      </c>
      <c r="G290" t="s">
        <v>99</v>
      </c>
      <c r="H290" t="s">
        <v>100</v>
      </c>
      <c r="I290" t="s">
        <v>101</v>
      </c>
    </row>
    <row r="291" spans="1:9" x14ac:dyDescent="0.25">
      <c r="B291" t="s">
        <v>496</v>
      </c>
      <c r="C291" s="12">
        <v>1781873662600290</v>
      </c>
      <c r="D291" t="s">
        <v>493</v>
      </c>
      <c r="E291" s="12">
        <v>39208</v>
      </c>
      <c r="F291" t="s">
        <v>93</v>
      </c>
      <c r="G291" t="s">
        <v>94</v>
      </c>
      <c r="H291" t="s">
        <v>195</v>
      </c>
      <c r="I291" t="s">
        <v>195</v>
      </c>
    </row>
    <row r="292" spans="1:9" x14ac:dyDescent="0.25">
      <c r="B292" t="s">
        <v>497</v>
      </c>
      <c r="C292" s="12">
        <v>1781873670833490</v>
      </c>
      <c r="D292" t="s">
        <v>493</v>
      </c>
      <c r="E292" s="12">
        <v>47441</v>
      </c>
      <c r="F292" t="s">
        <v>103</v>
      </c>
      <c r="G292" t="s">
        <v>89</v>
      </c>
      <c r="H292" t="s">
        <v>104</v>
      </c>
    </row>
    <row r="293" spans="1:9" x14ac:dyDescent="0.25">
      <c r="B293" t="s">
        <v>498</v>
      </c>
      <c r="C293" s="12">
        <v>1781873670835320</v>
      </c>
      <c r="D293" t="s">
        <v>499</v>
      </c>
      <c r="E293" t="s">
        <v>87</v>
      </c>
      <c r="F293" t="s">
        <v>88</v>
      </c>
      <c r="G293" t="s">
        <v>89</v>
      </c>
      <c r="H293" t="s">
        <v>90</v>
      </c>
    </row>
    <row r="294" spans="1:9" x14ac:dyDescent="0.25">
      <c r="B294" t="s">
        <v>500</v>
      </c>
      <c r="C294" s="12">
        <v>1781873670838250</v>
      </c>
      <c r="D294" t="s">
        <v>499</v>
      </c>
      <c r="E294" t="s">
        <v>341</v>
      </c>
      <c r="F294" t="s">
        <v>93</v>
      </c>
      <c r="G294" t="s">
        <v>94</v>
      </c>
      <c r="H294" t="s">
        <v>95</v>
      </c>
      <c r="I294" t="s">
        <v>95</v>
      </c>
    </row>
    <row r="295" spans="1:9" x14ac:dyDescent="0.25">
      <c r="A295" s="6">
        <v>8</v>
      </c>
      <c r="B295" s="6" t="s">
        <v>501</v>
      </c>
      <c r="C295" s="11">
        <v>1781873670840380</v>
      </c>
      <c r="D295" s="6" t="s">
        <v>499</v>
      </c>
      <c r="E295" s="6" t="s">
        <v>97</v>
      </c>
      <c r="F295" s="6" t="s">
        <v>98</v>
      </c>
      <c r="G295" s="6" t="s">
        <v>99</v>
      </c>
      <c r="H295" s="6" t="s">
        <v>100</v>
      </c>
      <c r="I295" s="6" t="s">
        <v>101</v>
      </c>
    </row>
    <row r="296" spans="1:9" x14ac:dyDescent="0.25">
      <c r="A296" s="6">
        <v>8</v>
      </c>
      <c r="B296" s="6" t="s">
        <v>502</v>
      </c>
      <c r="C296" s="11">
        <v>1781873683297150</v>
      </c>
      <c r="D296" s="6" t="s">
        <v>499</v>
      </c>
      <c r="E296" s="11">
        <v>12462</v>
      </c>
      <c r="F296" s="6" t="s">
        <v>98</v>
      </c>
      <c r="G296" s="6" t="s">
        <v>99</v>
      </c>
      <c r="H296" s="6" t="s">
        <v>120</v>
      </c>
      <c r="I296" s="6" t="s">
        <v>121</v>
      </c>
    </row>
    <row r="297" spans="1:9" x14ac:dyDescent="0.25">
      <c r="A297" s="6">
        <v>8</v>
      </c>
      <c r="B297" s="6" t="s">
        <v>503</v>
      </c>
      <c r="C297" s="11">
        <v>1781873683298640</v>
      </c>
      <c r="D297" s="6" t="s">
        <v>499</v>
      </c>
      <c r="E297" s="11">
        <v>12463</v>
      </c>
      <c r="F297" s="6" t="s">
        <v>123</v>
      </c>
      <c r="G297" s="6" t="s">
        <v>124</v>
      </c>
      <c r="H297" s="6" t="s">
        <v>120</v>
      </c>
      <c r="I297" s="6" t="s">
        <v>125</v>
      </c>
    </row>
    <row r="298" spans="1:9" x14ac:dyDescent="0.25">
      <c r="A298" s="6">
        <v>8</v>
      </c>
      <c r="B298" s="6" t="s">
        <v>504</v>
      </c>
      <c r="C298" s="11">
        <v>1781873683303830</v>
      </c>
      <c r="D298" s="6" t="s">
        <v>499</v>
      </c>
      <c r="E298" s="11">
        <v>12469</v>
      </c>
      <c r="F298" s="6" t="s">
        <v>93</v>
      </c>
      <c r="G298" s="6" t="s">
        <v>94</v>
      </c>
      <c r="H298" s="6" t="s">
        <v>118</v>
      </c>
      <c r="I298" s="6" t="s">
        <v>118</v>
      </c>
    </row>
    <row r="299" spans="1:9" x14ac:dyDescent="0.25">
      <c r="A299" s="6">
        <v>8</v>
      </c>
      <c r="B299" s="6" t="s">
        <v>505</v>
      </c>
      <c r="C299" s="11">
        <v>1781873715675180</v>
      </c>
      <c r="D299" s="6" t="s">
        <v>499</v>
      </c>
      <c r="E299" s="11">
        <v>44840</v>
      </c>
      <c r="F299" s="6" t="s">
        <v>123</v>
      </c>
      <c r="G299" s="6" t="s">
        <v>124</v>
      </c>
      <c r="H299" s="6" t="s">
        <v>127</v>
      </c>
      <c r="I299" s="6" t="s">
        <v>506</v>
      </c>
    </row>
    <row r="300" spans="1:9" x14ac:dyDescent="0.25">
      <c r="A300" s="6">
        <v>8</v>
      </c>
      <c r="B300" s="6" t="s">
        <v>507</v>
      </c>
      <c r="C300" s="11">
        <v>1781873715680070</v>
      </c>
      <c r="D300" s="6" t="s">
        <v>499</v>
      </c>
      <c r="E300" s="11">
        <v>44845</v>
      </c>
      <c r="F300" s="6" t="s">
        <v>98</v>
      </c>
      <c r="G300" s="6" t="s">
        <v>99</v>
      </c>
      <c r="H300" s="6" t="s">
        <v>127</v>
      </c>
      <c r="I300" s="6" t="s">
        <v>508</v>
      </c>
    </row>
    <row r="301" spans="1:9" x14ac:dyDescent="0.25">
      <c r="A301" s="6">
        <v>8</v>
      </c>
      <c r="B301" s="6" t="s">
        <v>509</v>
      </c>
      <c r="C301" s="11">
        <v>1781873717432590</v>
      </c>
      <c r="D301" s="6" t="s">
        <v>499</v>
      </c>
      <c r="E301" s="11">
        <v>46597</v>
      </c>
      <c r="F301" s="6" t="s">
        <v>132</v>
      </c>
      <c r="G301" s="6" t="s">
        <v>133</v>
      </c>
      <c r="H301" s="6" t="s">
        <v>134</v>
      </c>
      <c r="I301" s="6" t="s">
        <v>135</v>
      </c>
    </row>
    <row r="302" spans="1:9" x14ac:dyDescent="0.25">
      <c r="A302" s="6">
        <v>8</v>
      </c>
      <c r="B302" s="6" t="s">
        <v>510</v>
      </c>
      <c r="C302" s="11">
        <v>1781873752821720</v>
      </c>
      <c r="D302" s="6" t="s">
        <v>499</v>
      </c>
      <c r="E302" s="11">
        <v>81987</v>
      </c>
      <c r="F302" s="6" t="s">
        <v>166</v>
      </c>
      <c r="G302" s="6" t="s">
        <v>167</v>
      </c>
      <c r="H302" s="6" t="s">
        <v>511</v>
      </c>
      <c r="I302" s="6"/>
    </row>
    <row r="303" spans="1:9" x14ac:dyDescent="0.25">
      <c r="A303" s="6">
        <v>8</v>
      </c>
      <c r="B303" s="6" t="s">
        <v>512</v>
      </c>
      <c r="C303" s="11">
        <v>1781873762032300</v>
      </c>
      <c r="D303" s="6" t="s">
        <v>499</v>
      </c>
      <c r="E303" s="11">
        <v>91197</v>
      </c>
      <c r="F303" s="6" t="s">
        <v>93</v>
      </c>
      <c r="G303" s="6" t="s">
        <v>94</v>
      </c>
      <c r="H303" s="6" t="s">
        <v>140</v>
      </c>
      <c r="I303" s="6" t="s">
        <v>140</v>
      </c>
    </row>
    <row r="304" spans="1:9" x14ac:dyDescent="0.25">
      <c r="A304" s="6">
        <v>8</v>
      </c>
      <c r="B304" s="6" t="s">
        <v>513</v>
      </c>
      <c r="C304" s="11">
        <v>1781873762036790</v>
      </c>
      <c r="D304" s="6" t="s">
        <v>499</v>
      </c>
      <c r="E304" s="11">
        <v>91202</v>
      </c>
      <c r="F304" s="6" t="s">
        <v>98</v>
      </c>
      <c r="G304" s="6" t="s">
        <v>99</v>
      </c>
      <c r="H304" s="6" t="s">
        <v>137</v>
      </c>
      <c r="I304" s="6" t="s">
        <v>138</v>
      </c>
    </row>
    <row r="305" spans="1:9" x14ac:dyDescent="0.25">
      <c r="A305" s="6">
        <v>8</v>
      </c>
      <c r="B305" s="6" t="s">
        <v>514</v>
      </c>
      <c r="C305" s="11">
        <v>1781873780426990</v>
      </c>
      <c r="D305" s="6" t="s">
        <v>499</v>
      </c>
      <c r="E305" s="11">
        <v>109592</v>
      </c>
      <c r="F305" s="6" t="s">
        <v>166</v>
      </c>
      <c r="G305" s="6" t="s">
        <v>167</v>
      </c>
      <c r="H305" s="6" t="s">
        <v>213</v>
      </c>
      <c r="I305" s="6"/>
    </row>
    <row r="306" spans="1:9" x14ac:dyDescent="0.25">
      <c r="A306" s="6">
        <v>8</v>
      </c>
      <c r="B306" s="6" t="s">
        <v>515</v>
      </c>
      <c r="C306" s="11">
        <v>1781873793594080</v>
      </c>
      <c r="D306" s="6" t="s">
        <v>499</v>
      </c>
      <c r="E306" s="11">
        <v>122759</v>
      </c>
      <c r="F306" s="6" t="s">
        <v>93</v>
      </c>
      <c r="G306" s="6" t="s">
        <v>94</v>
      </c>
      <c r="H306" s="6" t="s">
        <v>146</v>
      </c>
      <c r="I306" s="6" t="s">
        <v>146</v>
      </c>
    </row>
    <row r="307" spans="1:9" x14ac:dyDescent="0.25">
      <c r="A307" s="6">
        <v>8</v>
      </c>
      <c r="B307" s="6" t="s">
        <v>516</v>
      </c>
      <c r="C307" s="11">
        <v>1781873793596370</v>
      </c>
      <c r="D307" s="6" t="s">
        <v>499</v>
      </c>
      <c r="E307" s="11">
        <v>122761</v>
      </c>
      <c r="F307" s="6" t="s">
        <v>98</v>
      </c>
      <c r="G307" s="6" t="s">
        <v>99</v>
      </c>
      <c r="H307" s="6" t="s">
        <v>120</v>
      </c>
      <c r="I307" s="6" t="s">
        <v>142</v>
      </c>
    </row>
    <row r="308" spans="1:9" x14ac:dyDescent="0.25">
      <c r="A308" s="6">
        <v>8</v>
      </c>
      <c r="B308" s="6" t="s">
        <v>517</v>
      </c>
      <c r="C308" s="11">
        <v>1781873793602410</v>
      </c>
      <c r="D308" s="6" t="s">
        <v>499</v>
      </c>
      <c r="E308" s="11">
        <v>122767</v>
      </c>
      <c r="F308" s="6" t="s">
        <v>123</v>
      </c>
      <c r="G308" s="6" t="s">
        <v>124</v>
      </c>
      <c r="H308" s="6" t="s">
        <v>120</v>
      </c>
      <c r="I308" s="6" t="s">
        <v>144</v>
      </c>
    </row>
    <row r="309" spans="1:9" x14ac:dyDescent="0.25">
      <c r="A309" s="6">
        <v>8</v>
      </c>
      <c r="B309" s="6" t="s">
        <v>518</v>
      </c>
      <c r="C309" s="11">
        <v>1781873803072500</v>
      </c>
      <c r="D309" s="6" t="s">
        <v>499</v>
      </c>
      <c r="E309" s="11">
        <v>132237</v>
      </c>
      <c r="F309" s="6" t="s">
        <v>123</v>
      </c>
      <c r="G309" s="6" t="s">
        <v>124</v>
      </c>
      <c r="H309" s="6" t="s">
        <v>148</v>
      </c>
      <c r="I309" s="6" t="s">
        <v>149</v>
      </c>
    </row>
    <row r="310" spans="1:9" x14ac:dyDescent="0.25">
      <c r="A310" s="6">
        <v>8</v>
      </c>
      <c r="B310" s="6" t="s">
        <v>519</v>
      </c>
      <c r="C310" s="11">
        <v>1781873803074680</v>
      </c>
      <c r="D310" s="6" t="s">
        <v>499</v>
      </c>
      <c r="E310" s="11">
        <v>132239</v>
      </c>
      <c r="F310" s="6" t="s">
        <v>98</v>
      </c>
      <c r="G310" s="6" t="s">
        <v>99</v>
      </c>
      <c r="H310" s="6" t="s">
        <v>148</v>
      </c>
      <c r="I310" s="6" t="s">
        <v>151</v>
      </c>
    </row>
    <row r="311" spans="1:9" x14ac:dyDescent="0.25">
      <c r="A311" s="6">
        <v>8</v>
      </c>
      <c r="B311" s="6" t="s">
        <v>520</v>
      </c>
      <c r="C311" s="11">
        <v>1781873842134220</v>
      </c>
      <c r="D311" s="6" t="s">
        <v>499</v>
      </c>
      <c r="E311" s="11">
        <v>171299</v>
      </c>
      <c r="F311" s="6" t="s">
        <v>166</v>
      </c>
      <c r="G311" s="6" t="s">
        <v>167</v>
      </c>
      <c r="H311" s="6" t="s">
        <v>521</v>
      </c>
      <c r="I311" s="6"/>
    </row>
    <row r="312" spans="1:9" x14ac:dyDescent="0.25">
      <c r="B312" t="s">
        <v>522</v>
      </c>
      <c r="C312" s="12">
        <v>1781873884426960</v>
      </c>
      <c r="D312" t="s">
        <v>499</v>
      </c>
      <c r="E312" s="12">
        <v>213592</v>
      </c>
      <c r="F312" t="s">
        <v>166</v>
      </c>
      <c r="G312" t="s">
        <v>167</v>
      </c>
      <c r="H312" t="s">
        <v>523</v>
      </c>
    </row>
    <row r="313" spans="1:9" x14ac:dyDescent="0.25">
      <c r="B313" t="s">
        <v>524</v>
      </c>
      <c r="C313" s="12">
        <v>1781873991598630</v>
      </c>
      <c r="D313" t="s">
        <v>499</v>
      </c>
      <c r="E313" s="12">
        <v>320763</v>
      </c>
      <c r="F313" t="s">
        <v>93</v>
      </c>
      <c r="G313" t="s">
        <v>94</v>
      </c>
      <c r="H313" t="s">
        <v>195</v>
      </c>
      <c r="I313" t="s">
        <v>195</v>
      </c>
    </row>
    <row r="314" spans="1:9" x14ac:dyDescent="0.25">
      <c r="B314" t="s">
        <v>525</v>
      </c>
      <c r="C314" s="12">
        <v>1781874000909580</v>
      </c>
      <c r="D314" t="s">
        <v>499</v>
      </c>
      <c r="E314" s="12">
        <v>330074</v>
      </c>
      <c r="F314" t="s">
        <v>103</v>
      </c>
      <c r="G314" t="s">
        <v>89</v>
      </c>
      <c r="H314" t="s">
        <v>104</v>
      </c>
    </row>
    <row r="315" spans="1:9" x14ac:dyDescent="0.25">
      <c r="B315" t="s">
        <v>526</v>
      </c>
      <c r="C315" s="12">
        <v>1781874000911290</v>
      </c>
      <c r="D315" t="s">
        <v>527</v>
      </c>
      <c r="E315" t="s">
        <v>87</v>
      </c>
      <c r="F315" t="s">
        <v>88</v>
      </c>
      <c r="G315" t="s">
        <v>89</v>
      </c>
      <c r="H315" t="s">
        <v>90</v>
      </c>
    </row>
    <row r="316" spans="1:9" x14ac:dyDescent="0.25">
      <c r="B316" t="s">
        <v>528</v>
      </c>
      <c r="C316" s="12">
        <v>1781874000913370</v>
      </c>
      <c r="D316" t="s">
        <v>527</v>
      </c>
      <c r="E316" t="s">
        <v>92</v>
      </c>
      <c r="F316" t="s">
        <v>93</v>
      </c>
      <c r="G316" t="s">
        <v>94</v>
      </c>
      <c r="H316" t="s">
        <v>95</v>
      </c>
      <c r="I316" t="s">
        <v>95</v>
      </c>
    </row>
    <row r="317" spans="1:9" x14ac:dyDescent="0.25">
      <c r="A317" s="9">
        <v>9</v>
      </c>
      <c r="B317" s="9" t="s">
        <v>529</v>
      </c>
      <c r="C317" s="13">
        <v>1781874000924460</v>
      </c>
      <c r="D317" s="9" t="s">
        <v>527</v>
      </c>
      <c r="E317" s="9" t="s">
        <v>530</v>
      </c>
      <c r="F317" s="9" t="s">
        <v>98</v>
      </c>
      <c r="G317" s="9" t="s">
        <v>99</v>
      </c>
      <c r="H317" s="9" t="s">
        <v>100</v>
      </c>
      <c r="I317" s="9" t="s">
        <v>101</v>
      </c>
    </row>
    <row r="318" spans="1:9" x14ac:dyDescent="0.25">
      <c r="A318" s="9">
        <v>9</v>
      </c>
      <c r="B318" s="9" t="s">
        <v>531</v>
      </c>
      <c r="C318" s="13">
        <v>1781874016491050</v>
      </c>
      <c r="D318" s="9" t="s">
        <v>527</v>
      </c>
      <c r="E318" s="13">
        <v>15580</v>
      </c>
      <c r="F318" s="9" t="s">
        <v>98</v>
      </c>
      <c r="G318" s="9" t="s">
        <v>99</v>
      </c>
      <c r="H318" s="9" t="s">
        <v>120</v>
      </c>
      <c r="I318" s="9" t="s">
        <v>121</v>
      </c>
    </row>
    <row r="319" spans="1:9" x14ac:dyDescent="0.25">
      <c r="A319" s="9">
        <v>9</v>
      </c>
      <c r="B319" s="9" t="s">
        <v>532</v>
      </c>
      <c r="C319" s="13">
        <v>1781874016497980</v>
      </c>
      <c r="D319" s="9" t="s">
        <v>527</v>
      </c>
      <c r="E319" s="13">
        <v>15587</v>
      </c>
      <c r="F319" s="9" t="s">
        <v>93</v>
      </c>
      <c r="G319" s="9" t="s">
        <v>94</v>
      </c>
      <c r="H319" s="9" t="s">
        <v>118</v>
      </c>
      <c r="I319" s="9" t="s">
        <v>118</v>
      </c>
    </row>
    <row r="320" spans="1:9" x14ac:dyDescent="0.25">
      <c r="A320" s="9">
        <v>9</v>
      </c>
      <c r="B320" s="9" t="s">
        <v>533</v>
      </c>
      <c r="C320" s="13">
        <v>1781874016501260</v>
      </c>
      <c r="D320" s="9" t="s">
        <v>527</v>
      </c>
      <c r="E320" s="13">
        <v>15590</v>
      </c>
      <c r="F320" s="9" t="s">
        <v>123</v>
      </c>
      <c r="G320" s="9" t="s">
        <v>124</v>
      </c>
      <c r="H320" s="9" t="s">
        <v>120</v>
      </c>
      <c r="I320" s="9" t="s">
        <v>125</v>
      </c>
    </row>
    <row r="321" spans="1:9" x14ac:dyDescent="0.25">
      <c r="A321" s="9">
        <v>9</v>
      </c>
      <c r="B321" s="9" t="s">
        <v>534</v>
      </c>
      <c r="C321" s="13">
        <v>1781874038376720</v>
      </c>
      <c r="D321" s="9" t="s">
        <v>527</v>
      </c>
      <c r="E321" s="13">
        <v>37466</v>
      </c>
      <c r="F321" s="9" t="s">
        <v>123</v>
      </c>
      <c r="G321" s="9" t="s">
        <v>124</v>
      </c>
      <c r="H321" s="9" t="s">
        <v>127</v>
      </c>
      <c r="I321" s="9" t="s">
        <v>535</v>
      </c>
    </row>
    <row r="322" spans="1:9" x14ac:dyDescent="0.25">
      <c r="A322" s="9">
        <v>9</v>
      </c>
      <c r="B322" s="9" t="s">
        <v>536</v>
      </c>
      <c r="C322" s="13">
        <v>1781874038381590</v>
      </c>
      <c r="D322" s="9" t="s">
        <v>527</v>
      </c>
      <c r="E322" s="13">
        <v>37470</v>
      </c>
      <c r="F322" s="9" t="s">
        <v>98</v>
      </c>
      <c r="G322" s="9" t="s">
        <v>99</v>
      </c>
      <c r="H322" s="9" t="s">
        <v>127</v>
      </c>
      <c r="I322" s="9" t="s">
        <v>537</v>
      </c>
    </row>
    <row r="323" spans="1:9" x14ac:dyDescent="0.25">
      <c r="A323" s="9">
        <v>9</v>
      </c>
      <c r="B323" s="9" t="s">
        <v>538</v>
      </c>
      <c r="C323" s="13">
        <v>1781874040290960</v>
      </c>
      <c r="D323" s="9" t="s">
        <v>527</v>
      </c>
      <c r="E323" s="13">
        <v>39380</v>
      </c>
      <c r="F323" s="9" t="s">
        <v>132</v>
      </c>
      <c r="G323" s="9" t="s">
        <v>133</v>
      </c>
      <c r="H323" s="9" t="s">
        <v>134</v>
      </c>
      <c r="I323" s="9" t="s">
        <v>135</v>
      </c>
    </row>
    <row r="324" spans="1:9" x14ac:dyDescent="0.25">
      <c r="A324" s="9">
        <v>9</v>
      </c>
      <c r="B324" s="9" t="s">
        <v>539</v>
      </c>
      <c r="C324" s="13">
        <v>1781874051239610</v>
      </c>
      <c r="D324" s="9" t="s">
        <v>527</v>
      </c>
      <c r="E324" s="13">
        <v>50328</v>
      </c>
      <c r="F324" s="9" t="s">
        <v>93</v>
      </c>
      <c r="G324" s="9" t="s">
        <v>94</v>
      </c>
      <c r="H324" s="9" t="s">
        <v>140</v>
      </c>
      <c r="I324" s="9" t="s">
        <v>140</v>
      </c>
    </row>
    <row r="325" spans="1:9" x14ac:dyDescent="0.25">
      <c r="A325" s="9">
        <v>9</v>
      </c>
      <c r="B325" s="9" t="s">
        <v>540</v>
      </c>
      <c r="C325" s="13">
        <v>1781874051240890</v>
      </c>
      <c r="D325" s="9" t="s">
        <v>527</v>
      </c>
      <c r="E325" s="13">
        <v>50330</v>
      </c>
      <c r="F325" s="9" t="s">
        <v>98</v>
      </c>
      <c r="G325" s="9" t="s">
        <v>99</v>
      </c>
      <c r="H325" s="9" t="s">
        <v>137</v>
      </c>
      <c r="I325" s="9" t="s">
        <v>138</v>
      </c>
    </row>
    <row r="326" spans="1:9" x14ac:dyDescent="0.25">
      <c r="A326" s="9">
        <v>9</v>
      </c>
      <c r="B326" s="9" t="s">
        <v>541</v>
      </c>
      <c r="C326" s="13">
        <v>1781874062677080</v>
      </c>
      <c r="D326" s="9" t="s">
        <v>527</v>
      </c>
      <c r="E326" s="13">
        <v>61766</v>
      </c>
      <c r="F326" s="9" t="s">
        <v>166</v>
      </c>
      <c r="G326" s="9" t="s">
        <v>167</v>
      </c>
      <c r="H326" s="9" t="s">
        <v>213</v>
      </c>
      <c r="I326" s="9"/>
    </row>
    <row r="327" spans="1:9" x14ac:dyDescent="0.25">
      <c r="A327" s="9">
        <v>9</v>
      </c>
      <c r="B327" s="9" t="s">
        <v>542</v>
      </c>
      <c r="C327" s="13">
        <v>1781874070153590</v>
      </c>
      <c r="D327" s="9" t="s">
        <v>527</v>
      </c>
      <c r="E327" s="13">
        <v>69242</v>
      </c>
      <c r="F327" s="9" t="s">
        <v>93</v>
      </c>
      <c r="G327" s="9" t="s">
        <v>94</v>
      </c>
      <c r="H327" s="9" t="s">
        <v>146</v>
      </c>
      <c r="I327" s="9" t="s">
        <v>146</v>
      </c>
    </row>
    <row r="328" spans="1:9" x14ac:dyDescent="0.25">
      <c r="A328" s="9">
        <v>9</v>
      </c>
      <c r="B328" s="9" t="s">
        <v>543</v>
      </c>
      <c r="C328" s="13">
        <v>1781874070155340</v>
      </c>
      <c r="D328" s="9" t="s">
        <v>527</v>
      </c>
      <c r="E328" s="13">
        <v>69244</v>
      </c>
      <c r="F328" s="9" t="s">
        <v>98</v>
      </c>
      <c r="G328" s="9" t="s">
        <v>99</v>
      </c>
      <c r="H328" s="9" t="s">
        <v>120</v>
      </c>
      <c r="I328" s="9" t="s">
        <v>142</v>
      </c>
    </row>
    <row r="329" spans="1:9" x14ac:dyDescent="0.25">
      <c r="A329" s="9">
        <v>9</v>
      </c>
      <c r="B329" s="9" t="s">
        <v>544</v>
      </c>
      <c r="C329" s="13">
        <v>1781874070170110</v>
      </c>
      <c r="D329" s="9" t="s">
        <v>527</v>
      </c>
      <c r="E329" s="13">
        <v>69259</v>
      </c>
      <c r="F329" s="9" t="s">
        <v>123</v>
      </c>
      <c r="G329" s="9" t="s">
        <v>124</v>
      </c>
      <c r="H329" s="9" t="s">
        <v>120</v>
      </c>
      <c r="I329" s="9" t="s">
        <v>144</v>
      </c>
    </row>
    <row r="330" spans="1:9" x14ac:dyDescent="0.25">
      <c r="A330" s="9">
        <v>9</v>
      </c>
      <c r="B330" s="9" t="s">
        <v>545</v>
      </c>
      <c r="C330" s="13">
        <v>1781874079571940</v>
      </c>
      <c r="D330" s="9" t="s">
        <v>527</v>
      </c>
      <c r="E330" s="13">
        <v>78661</v>
      </c>
      <c r="F330" s="9" t="s">
        <v>123</v>
      </c>
      <c r="G330" s="9" t="s">
        <v>124</v>
      </c>
      <c r="H330" s="9" t="s">
        <v>148</v>
      </c>
      <c r="I330" s="9" t="s">
        <v>149</v>
      </c>
    </row>
    <row r="331" spans="1:9" x14ac:dyDescent="0.25">
      <c r="A331" s="9">
        <v>9</v>
      </c>
      <c r="B331" s="9" t="s">
        <v>546</v>
      </c>
      <c r="C331" s="13">
        <v>1781874079574170</v>
      </c>
      <c r="D331" s="9" t="s">
        <v>527</v>
      </c>
      <c r="E331" s="13">
        <v>78663</v>
      </c>
      <c r="F331" s="9" t="s">
        <v>98</v>
      </c>
      <c r="G331" s="9" t="s">
        <v>99</v>
      </c>
      <c r="H331" s="9" t="s">
        <v>148</v>
      </c>
      <c r="I331" s="9" t="s">
        <v>151</v>
      </c>
    </row>
    <row r="332" spans="1:9" x14ac:dyDescent="0.25">
      <c r="A332" s="9">
        <v>9</v>
      </c>
      <c r="B332" s="9" t="s">
        <v>547</v>
      </c>
      <c r="C332" s="13">
        <v>1781874083272250</v>
      </c>
      <c r="D332" s="9" t="s">
        <v>527</v>
      </c>
      <c r="E332" s="13">
        <v>82361</v>
      </c>
      <c r="F332" s="9" t="s">
        <v>93</v>
      </c>
      <c r="G332" s="9" t="s">
        <v>94</v>
      </c>
      <c r="H332" s="9" t="s">
        <v>153</v>
      </c>
      <c r="I332" s="9" t="s">
        <v>153</v>
      </c>
    </row>
    <row r="333" spans="1:9" x14ac:dyDescent="0.25">
      <c r="A333" s="9">
        <v>9</v>
      </c>
      <c r="B333" s="9" t="s">
        <v>548</v>
      </c>
      <c r="C333" s="13">
        <v>1781874083282750</v>
      </c>
      <c r="D333" s="9" t="s">
        <v>527</v>
      </c>
      <c r="E333" s="13">
        <v>82372</v>
      </c>
      <c r="F333" s="9" t="s">
        <v>98</v>
      </c>
      <c r="G333" s="9" t="s">
        <v>99</v>
      </c>
      <c r="H333" s="9" t="s">
        <v>120</v>
      </c>
      <c r="I333" s="9" t="s">
        <v>155</v>
      </c>
    </row>
    <row r="334" spans="1:9" x14ac:dyDescent="0.25">
      <c r="A334" s="9">
        <v>9</v>
      </c>
      <c r="B334" s="9" t="s">
        <v>549</v>
      </c>
      <c r="C334" s="13">
        <v>1781874083284300</v>
      </c>
      <c r="D334" s="9" t="s">
        <v>527</v>
      </c>
      <c r="E334" s="13">
        <v>82373</v>
      </c>
      <c r="F334" s="9" t="s">
        <v>123</v>
      </c>
      <c r="G334" s="9" t="s">
        <v>124</v>
      </c>
      <c r="H334" s="9" t="s">
        <v>120</v>
      </c>
      <c r="I334" s="9" t="s">
        <v>157</v>
      </c>
    </row>
    <row r="335" spans="1:9" x14ac:dyDescent="0.25">
      <c r="A335" s="9">
        <v>9</v>
      </c>
      <c r="B335" s="9" t="s">
        <v>550</v>
      </c>
      <c r="C335" s="13">
        <v>1781874084872510</v>
      </c>
      <c r="D335" s="9" t="s">
        <v>527</v>
      </c>
      <c r="E335" s="13">
        <v>83961</v>
      </c>
      <c r="F335" s="9" t="s">
        <v>123</v>
      </c>
      <c r="G335" s="9" t="s">
        <v>124</v>
      </c>
      <c r="H335" s="9" t="s">
        <v>120</v>
      </c>
      <c r="I335" s="9" t="s">
        <v>159</v>
      </c>
    </row>
    <row r="336" spans="1:9" x14ac:dyDescent="0.25">
      <c r="A336" s="9">
        <v>9</v>
      </c>
      <c r="B336" s="9" t="s">
        <v>551</v>
      </c>
      <c r="C336" s="13">
        <v>1781874089272000</v>
      </c>
      <c r="D336" s="9" t="s">
        <v>527</v>
      </c>
      <c r="E336" s="13">
        <v>88361</v>
      </c>
      <c r="F336" s="9" t="s">
        <v>123</v>
      </c>
      <c r="G336" s="9" t="s">
        <v>124</v>
      </c>
      <c r="H336" s="9" t="s">
        <v>161</v>
      </c>
      <c r="I336" s="9" t="s">
        <v>552</v>
      </c>
    </row>
    <row r="337" spans="1:9" x14ac:dyDescent="0.25">
      <c r="A337" s="9">
        <v>9</v>
      </c>
      <c r="B337" s="9" t="s">
        <v>553</v>
      </c>
      <c r="C337" s="13">
        <v>1781874089282820</v>
      </c>
      <c r="D337" s="9" t="s">
        <v>527</v>
      </c>
      <c r="E337" s="13">
        <v>88372</v>
      </c>
      <c r="F337" s="9" t="s">
        <v>98</v>
      </c>
      <c r="G337" s="9" t="s">
        <v>99</v>
      </c>
      <c r="H337" s="9" t="s">
        <v>161</v>
      </c>
      <c r="I337" s="9" t="s">
        <v>554</v>
      </c>
    </row>
    <row r="338" spans="1:9" x14ac:dyDescent="0.25">
      <c r="A338" s="9">
        <v>9</v>
      </c>
      <c r="B338" s="9" t="s">
        <v>555</v>
      </c>
      <c r="C338" s="13">
        <v>1781874150472110</v>
      </c>
      <c r="D338" s="9" t="s">
        <v>527</v>
      </c>
      <c r="E338" s="13">
        <v>149561</v>
      </c>
      <c r="F338" s="9" t="s">
        <v>166</v>
      </c>
      <c r="G338" s="9" t="s">
        <v>167</v>
      </c>
      <c r="H338" s="9" t="s">
        <v>168</v>
      </c>
      <c r="I338" s="9"/>
    </row>
    <row r="339" spans="1:9" x14ac:dyDescent="0.25">
      <c r="A339" s="9">
        <v>9</v>
      </c>
      <c r="B339" s="9" t="s">
        <v>556</v>
      </c>
      <c r="C339" s="13">
        <v>1781874162886380</v>
      </c>
      <c r="D339" s="9" t="s">
        <v>527</v>
      </c>
      <c r="E339" s="13">
        <v>161975</v>
      </c>
      <c r="F339" s="9" t="s">
        <v>93</v>
      </c>
      <c r="G339" s="9" t="s">
        <v>94</v>
      </c>
      <c r="H339" s="9" t="s">
        <v>170</v>
      </c>
      <c r="I339" s="9" t="s">
        <v>170</v>
      </c>
    </row>
    <row r="340" spans="1:9" x14ac:dyDescent="0.25">
      <c r="A340" s="9">
        <v>9</v>
      </c>
      <c r="B340" s="9" t="s">
        <v>557</v>
      </c>
      <c r="C340" s="13">
        <v>1781874162891710</v>
      </c>
      <c r="D340" s="9" t="s">
        <v>527</v>
      </c>
      <c r="E340" s="13">
        <v>161981</v>
      </c>
      <c r="F340" s="9" t="s">
        <v>98</v>
      </c>
      <c r="G340" s="9" t="s">
        <v>99</v>
      </c>
      <c r="H340" s="9" t="s">
        <v>172</v>
      </c>
      <c r="I340" s="9" t="s">
        <v>173</v>
      </c>
    </row>
    <row r="341" spans="1:9" x14ac:dyDescent="0.25">
      <c r="A341" s="9">
        <v>9</v>
      </c>
      <c r="B341" s="9" t="s">
        <v>558</v>
      </c>
      <c r="C341" s="13">
        <v>1781874188793610</v>
      </c>
      <c r="D341" s="9" t="s">
        <v>527</v>
      </c>
      <c r="E341" s="13">
        <v>187882</v>
      </c>
      <c r="F341" s="9" t="s">
        <v>93</v>
      </c>
      <c r="G341" s="9" t="s">
        <v>94</v>
      </c>
      <c r="H341" s="9" t="s">
        <v>175</v>
      </c>
      <c r="I341" s="9" t="s">
        <v>175</v>
      </c>
    </row>
    <row r="342" spans="1:9" x14ac:dyDescent="0.25">
      <c r="A342" s="9">
        <v>9</v>
      </c>
      <c r="B342" s="9" t="s">
        <v>559</v>
      </c>
      <c r="C342" s="13">
        <v>1781874188794870</v>
      </c>
      <c r="D342" s="9" t="s">
        <v>527</v>
      </c>
      <c r="E342" s="13">
        <v>187884</v>
      </c>
      <c r="F342" s="9" t="s">
        <v>98</v>
      </c>
      <c r="G342" s="9" t="s">
        <v>99</v>
      </c>
      <c r="H342" s="9" t="s">
        <v>120</v>
      </c>
      <c r="I342" s="9" t="s">
        <v>177</v>
      </c>
    </row>
    <row r="343" spans="1:9" x14ac:dyDescent="0.25">
      <c r="A343" s="9">
        <v>9</v>
      </c>
      <c r="B343" s="9" t="s">
        <v>560</v>
      </c>
      <c r="C343" s="13">
        <v>1781874195798510</v>
      </c>
      <c r="D343" s="9" t="s">
        <v>527</v>
      </c>
      <c r="E343" s="13">
        <v>194887</v>
      </c>
      <c r="F343" s="9" t="s">
        <v>98</v>
      </c>
      <c r="G343" s="9" t="s">
        <v>99</v>
      </c>
      <c r="H343" s="9" t="s">
        <v>179</v>
      </c>
      <c r="I343" s="9" t="s">
        <v>180</v>
      </c>
    </row>
    <row r="344" spans="1:9" x14ac:dyDescent="0.25">
      <c r="A344" s="9">
        <v>9</v>
      </c>
      <c r="B344" s="9" t="s">
        <v>561</v>
      </c>
      <c r="C344" s="13">
        <v>1781874195799010</v>
      </c>
      <c r="D344" s="9" t="s">
        <v>527</v>
      </c>
      <c r="E344" s="13">
        <v>194888</v>
      </c>
      <c r="F344" s="9" t="s">
        <v>103</v>
      </c>
      <c r="G344" s="9" t="s">
        <v>89</v>
      </c>
      <c r="H344" s="9" t="s">
        <v>179</v>
      </c>
      <c r="I344" s="9"/>
    </row>
    <row r="345" spans="1:9" x14ac:dyDescent="0.25">
      <c r="B345" t="s">
        <v>562</v>
      </c>
      <c r="C345" s="12">
        <v>1781874311448710</v>
      </c>
      <c r="D345" t="s">
        <v>563</v>
      </c>
      <c r="E345" t="s">
        <v>87</v>
      </c>
      <c r="F345" t="s">
        <v>88</v>
      </c>
      <c r="G345" t="s">
        <v>89</v>
      </c>
      <c r="H345" t="s">
        <v>90</v>
      </c>
    </row>
    <row r="346" spans="1:9" s="65" customFormat="1" x14ac:dyDescent="0.25">
      <c r="A346" s="65">
        <v>10</v>
      </c>
      <c r="B346" s="65" t="s">
        <v>564</v>
      </c>
      <c r="C346" s="66">
        <v>1781874311450150</v>
      </c>
      <c r="D346" s="65" t="s">
        <v>563</v>
      </c>
      <c r="E346" s="65" t="s">
        <v>92</v>
      </c>
      <c r="F346" s="65" t="s">
        <v>93</v>
      </c>
      <c r="G346" s="65" t="s">
        <v>94</v>
      </c>
      <c r="H346" s="65" t="s">
        <v>95</v>
      </c>
      <c r="I346" s="65" t="s">
        <v>95</v>
      </c>
    </row>
    <row r="347" spans="1:9" s="65" customFormat="1" x14ac:dyDescent="0.25">
      <c r="A347" s="65">
        <v>10</v>
      </c>
      <c r="B347" s="65" t="s">
        <v>565</v>
      </c>
      <c r="C347" s="66">
        <v>1781874311454780</v>
      </c>
      <c r="D347" s="65" t="s">
        <v>563</v>
      </c>
      <c r="E347" s="65" t="s">
        <v>116</v>
      </c>
      <c r="F347" s="65" t="s">
        <v>98</v>
      </c>
      <c r="G347" s="65" t="s">
        <v>99</v>
      </c>
      <c r="H347" s="65" t="s">
        <v>100</v>
      </c>
      <c r="I347" s="65" t="s">
        <v>101</v>
      </c>
    </row>
    <row r="348" spans="1:9" s="65" customFormat="1" x14ac:dyDescent="0.25">
      <c r="A348" s="65">
        <v>10</v>
      </c>
      <c r="B348" s="65" t="s">
        <v>566</v>
      </c>
      <c r="C348" s="66">
        <v>1781874322748170</v>
      </c>
      <c r="D348" s="65" t="s">
        <v>563</v>
      </c>
      <c r="E348" s="66">
        <v>11300</v>
      </c>
      <c r="F348" s="65" t="s">
        <v>93</v>
      </c>
      <c r="G348" s="65" t="s">
        <v>94</v>
      </c>
      <c r="H348" s="65" t="s">
        <v>118</v>
      </c>
      <c r="I348" s="65" t="s">
        <v>118</v>
      </c>
    </row>
    <row r="349" spans="1:9" s="65" customFormat="1" x14ac:dyDescent="0.25">
      <c r="A349" s="65">
        <v>10</v>
      </c>
      <c r="B349" s="65" t="s">
        <v>567</v>
      </c>
      <c r="C349" s="66">
        <v>1781874322752280</v>
      </c>
      <c r="D349" s="65" t="s">
        <v>563</v>
      </c>
      <c r="E349" s="66">
        <v>11304</v>
      </c>
      <c r="F349" s="65" t="s">
        <v>98</v>
      </c>
      <c r="G349" s="65" t="s">
        <v>99</v>
      </c>
      <c r="H349" s="65" t="s">
        <v>120</v>
      </c>
      <c r="I349" s="65" t="s">
        <v>121</v>
      </c>
    </row>
    <row r="350" spans="1:9" s="65" customFormat="1" x14ac:dyDescent="0.25">
      <c r="A350" s="65">
        <v>10</v>
      </c>
      <c r="B350" s="65" t="s">
        <v>568</v>
      </c>
      <c r="C350" s="66">
        <v>1781874322753760</v>
      </c>
      <c r="D350" s="65" t="s">
        <v>563</v>
      </c>
      <c r="E350" s="66">
        <v>11305</v>
      </c>
      <c r="F350" s="65" t="s">
        <v>123</v>
      </c>
      <c r="G350" s="65" t="s">
        <v>124</v>
      </c>
      <c r="H350" s="65" t="s">
        <v>120</v>
      </c>
      <c r="I350" s="65" t="s">
        <v>125</v>
      </c>
    </row>
    <row r="351" spans="1:9" s="65" customFormat="1" x14ac:dyDescent="0.25">
      <c r="A351" s="65">
        <v>10</v>
      </c>
      <c r="B351" s="65" t="s">
        <v>569</v>
      </c>
      <c r="C351" s="66">
        <v>1781874333872720</v>
      </c>
      <c r="D351" s="65" t="s">
        <v>563</v>
      </c>
      <c r="E351" s="66">
        <v>22424</v>
      </c>
      <c r="F351" s="65" t="s">
        <v>123</v>
      </c>
      <c r="G351" s="65" t="s">
        <v>124</v>
      </c>
      <c r="H351" s="65" t="s">
        <v>127</v>
      </c>
      <c r="I351" s="65" t="s">
        <v>570</v>
      </c>
    </row>
    <row r="352" spans="1:9" s="65" customFormat="1" x14ac:dyDescent="0.25">
      <c r="A352" s="65">
        <v>10</v>
      </c>
      <c r="B352" s="65" t="s">
        <v>571</v>
      </c>
      <c r="C352" s="66">
        <v>1781874333874930</v>
      </c>
      <c r="D352" s="65" t="s">
        <v>563</v>
      </c>
      <c r="E352" s="66">
        <v>22426</v>
      </c>
      <c r="F352" s="65" t="s">
        <v>98</v>
      </c>
      <c r="G352" s="65" t="s">
        <v>99</v>
      </c>
      <c r="H352" s="65" t="s">
        <v>127</v>
      </c>
      <c r="I352" s="65" t="s">
        <v>572</v>
      </c>
    </row>
    <row r="353" spans="1:9" s="65" customFormat="1" x14ac:dyDescent="0.25">
      <c r="A353" s="65">
        <v>10</v>
      </c>
      <c r="B353" s="65" t="s">
        <v>573</v>
      </c>
      <c r="C353" s="66">
        <v>1781874335678530</v>
      </c>
      <c r="D353" s="65" t="s">
        <v>563</v>
      </c>
      <c r="E353" s="66">
        <v>24230</v>
      </c>
      <c r="F353" s="65" t="s">
        <v>132</v>
      </c>
      <c r="G353" s="65" t="s">
        <v>133</v>
      </c>
      <c r="H353" s="65" t="s">
        <v>134</v>
      </c>
      <c r="I353" s="65" t="s">
        <v>135</v>
      </c>
    </row>
    <row r="354" spans="1:9" s="65" customFormat="1" x14ac:dyDescent="0.25">
      <c r="A354" s="65">
        <v>10</v>
      </c>
      <c r="B354" s="65" t="s">
        <v>574</v>
      </c>
      <c r="C354" s="66">
        <v>1781874338419800</v>
      </c>
      <c r="D354" s="65" t="s">
        <v>563</v>
      </c>
      <c r="E354" s="66">
        <v>26971</v>
      </c>
      <c r="F354" s="65" t="s">
        <v>93</v>
      </c>
      <c r="G354" s="65" t="s">
        <v>94</v>
      </c>
      <c r="H354" s="65" t="s">
        <v>140</v>
      </c>
      <c r="I354" s="65" t="s">
        <v>140</v>
      </c>
    </row>
    <row r="355" spans="1:9" s="65" customFormat="1" x14ac:dyDescent="0.25">
      <c r="A355" s="65">
        <v>10</v>
      </c>
      <c r="B355" s="65" t="s">
        <v>575</v>
      </c>
      <c r="C355" s="66">
        <v>1781874338421020</v>
      </c>
      <c r="D355" s="65" t="s">
        <v>563</v>
      </c>
      <c r="E355" s="66">
        <v>26972</v>
      </c>
      <c r="F355" s="65" t="s">
        <v>98</v>
      </c>
      <c r="G355" s="65" t="s">
        <v>99</v>
      </c>
      <c r="H355" s="65" t="s">
        <v>137</v>
      </c>
      <c r="I355" s="65" t="s">
        <v>138</v>
      </c>
    </row>
    <row r="356" spans="1:9" s="65" customFormat="1" x14ac:dyDescent="0.25">
      <c r="A356" s="65">
        <v>10</v>
      </c>
      <c r="B356" s="65" t="s">
        <v>576</v>
      </c>
      <c r="C356" s="66">
        <v>1781874347944650</v>
      </c>
      <c r="D356" s="65" t="s">
        <v>563</v>
      </c>
      <c r="E356" s="66">
        <v>36496</v>
      </c>
      <c r="F356" s="65" t="s">
        <v>93</v>
      </c>
      <c r="G356" s="65" t="s">
        <v>94</v>
      </c>
      <c r="H356" s="65" t="s">
        <v>146</v>
      </c>
      <c r="I356" s="65" t="s">
        <v>146</v>
      </c>
    </row>
    <row r="357" spans="1:9" s="65" customFormat="1" x14ac:dyDescent="0.25">
      <c r="A357" s="65">
        <v>10</v>
      </c>
      <c r="B357" s="65" t="s">
        <v>577</v>
      </c>
      <c r="C357" s="66">
        <v>1781874347947500</v>
      </c>
      <c r="D357" s="65" t="s">
        <v>563</v>
      </c>
      <c r="E357" s="66">
        <v>36499</v>
      </c>
      <c r="F357" s="65" t="s">
        <v>98</v>
      </c>
      <c r="G357" s="65" t="s">
        <v>99</v>
      </c>
      <c r="H357" s="65" t="s">
        <v>120</v>
      </c>
      <c r="I357" s="65" t="s">
        <v>142</v>
      </c>
    </row>
    <row r="358" spans="1:9" s="65" customFormat="1" x14ac:dyDescent="0.25">
      <c r="A358" s="65">
        <v>10</v>
      </c>
      <c r="B358" s="65" t="s">
        <v>578</v>
      </c>
      <c r="C358" s="66">
        <v>1781874347956680</v>
      </c>
      <c r="D358" s="65" t="s">
        <v>563</v>
      </c>
      <c r="E358" s="66">
        <v>36508</v>
      </c>
      <c r="F358" s="65" t="s">
        <v>123</v>
      </c>
      <c r="G358" s="65" t="s">
        <v>124</v>
      </c>
      <c r="H358" s="65" t="s">
        <v>120</v>
      </c>
      <c r="I358" s="65" t="s">
        <v>144</v>
      </c>
    </row>
    <row r="359" spans="1:9" s="65" customFormat="1" x14ac:dyDescent="0.25">
      <c r="A359" s="65">
        <v>10</v>
      </c>
      <c r="B359" s="65" t="s">
        <v>579</v>
      </c>
      <c r="C359" s="66">
        <v>1781874357472830</v>
      </c>
      <c r="D359" s="65" t="s">
        <v>563</v>
      </c>
      <c r="E359" s="66">
        <v>46024</v>
      </c>
      <c r="F359" s="65" t="s">
        <v>123</v>
      </c>
      <c r="G359" s="65" t="s">
        <v>124</v>
      </c>
      <c r="H359" s="65" t="s">
        <v>148</v>
      </c>
      <c r="I359" s="65" t="s">
        <v>149</v>
      </c>
    </row>
    <row r="360" spans="1:9" s="65" customFormat="1" x14ac:dyDescent="0.25">
      <c r="A360" s="65">
        <v>10</v>
      </c>
      <c r="B360" s="65" t="s">
        <v>580</v>
      </c>
      <c r="C360" s="66">
        <v>1781874357476220</v>
      </c>
      <c r="D360" s="65" t="s">
        <v>563</v>
      </c>
      <c r="E360" s="66">
        <v>46028</v>
      </c>
      <c r="F360" s="65" t="s">
        <v>98</v>
      </c>
      <c r="G360" s="65" t="s">
        <v>99</v>
      </c>
      <c r="H360" s="65" t="s">
        <v>148</v>
      </c>
      <c r="I360" s="65" t="s">
        <v>151</v>
      </c>
    </row>
    <row r="361" spans="1:9" s="65" customFormat="1" x14ac:dyDescent="0.25">
      <c r="A361" s="65">
        <v>10</v>
      </c>
      <c r="B361" s="65" t="s">
        <v>581</v>
      </c>
      <c r="C361" s="66">
        <v>1781874396048030</v>
      </c>
      <c r="D361" s="65" t="s">
        <v>563</v>
      </c>
      <c r="E361" s="66">
        <v>84599</v>
      </c>
      <c r="F361" s="65" t="s">
        <v>166</v>
      </c>
      <c r="G361" s="65" t="s">
        <v>167</v>
      </c>
      <c r="H361" s="65" t="s">
        <v>582</v>
      </c>
    </row>
    <row r="362" spans="1:9" x14ac:dyDescent="0.25">
      <c r="B362" t="s">
        <v>583</v>
      </c>
      <c r="C362" s="12">
        <v>1781874400588210</v>
      </c>
      <c r="D362" t="s">
        <v>563</v>
      </c>
      <c r="E362" s="12">
        <v>89140</v>
      </c>
      <c r="F362" t="s">
        <v>103</v>
      </c>
      <c r="G362" t="s">
        <v>89</v>
      </c>
      <c r="H362" t="s">
        <v>104</v>
      </c>
    </row>
    <row r="363" spans="1:9" x14ac:dyDescent="0.25">
      <c r="B363" t="s">
        <v>584</v>
      </c>
      <c r="C363" s="12">
        <v>1781874400590400</v>
      </c>
      <c r="D363" t="s">
        <v>585</v>
      </c>
      <c r="E363" t="s">
        <v>87</v>
      </c>
      <c r="F363" t="s">
        <v>88</v>
      </c>
      <c r="G363" t="s">
        <v>89</v>
      </c>
      <c r="H363" t="s">
        <v>90</v>
      </c>
    </row>
    <row r="364" spans="1:9" s="65" customFormat="1" x14ac:dyDescent="0.25">
      <c r="A364" s="65">
        <v>11</v>
      </c>
      <c r="B364" s="65" t="s">
        <v>586</v>
      </c>
      <c r="C364" s="66">
        <v>1781874400591710</v>
      </c>
      <c r="D364" s="65" t="s">
        <v>585</v>
      </c>
      <c r="E364" s="65" t="s">
        <v>108</v>
      </c>
      <c r="F364" s="65" t="s">
        <v>93</v>
      </c>
      <c r="G364" s="65" t="s">
        <v>94</v>
      </c>
      <c r="H364" s="65" t="s">
        <v>95</v>
      </c>
      <c r="I364" s="65" t="s">
        <v>95</v>
      </c>
    </row>
    <row r="365" spans="1:9" s="65" customFormat="1" x14ac:dyDescent="0.25">
      <c r="A365" s="65">
        <v>11</v>
      </c>
      <c r="B365" s="65" t="s">
        <v>587</v>
      </c>
      <c r="C365" s="66">
        <v>1781874400598210</v>
      </c>
      <c r="D365" s="65" t="s">
        <v>585</v>
      </c>
      <c r="E365" s="65" t="s">
        <v>588</v>
      </c>
      <c r="F365" s="65" t="s">
        <v>98</v>
      </c>
      <c r="G365" s="65" t="s">
        <v>99</v>
      </c>
      <c r="H365" s="65" t="s">
        <v>100</v>
      </c>
      <c r="I365" s="65" t="s">
        <v>101</v>
      </c>
    </row>
    <row r="366" spans="1:9" s="65" customFormat="1" x14ac:dyDescent="0.25">
      <c r="A366" s="65">
        <v>11</v>
      </c>
      <c r="B366" s="65" t="s">
        <v>589</v>
      </c>
      <c r="C366" s="66">
        <v>1781874420654920</v>
      </c>
      <c r="D366" s="65" t="s">
        <v>585</v>
      </c>
      <c r="E366" s="66">
        <v>20065</v>
      </c>
      <c r="F366" s="65" t="s">
        <v>93</v>
      </c>
      <c r="G366" s="65" t="s">
        <v>94</v>
      </c>
      <c r="H366" s="65" t="s">
        <v>118</v>
      </c>
      <c r="I366" s="65" t="s">
        <v>118</v>
      </c>
    </row>
    <row r="367" spans="1:9" s="65" customFormat="1" x14ac:dyDescent="0.25">
      <c r="A367" s="65">
        <v>11</v>
      </c>
      <c r="B367" s="65" t="s">
        <v>590</v>
      </c>
      <c r="C367" s="66">
        <v>1781874420657720</v>
      </c>
      <c r="D367" s="65" t="s">
        <v>585</v>
      </c>
      <c r="E367" s="66">
        <v>20067</v>
      </c>
      <c r="F367" s="65" t="s">
        <v>98</v>
      </c>
      <c r="G367" s="65" t="s">
        <v>99</v>
      </c>
      <c r="H367" s="65" t="s">
        <v>120</v>
      </c>
      <c r="I367" s="65" t="s">
        <v>121</v>
      </c>
    </row>
    <row r="368" spans="1:9" s="65" customFormat="1" x14ac:dyDescent="0.25">
      <c r="A368" s="65">
        <v>11</v>
      </c>
      <c r="B368" s="65" t="s">
        <v>591</v>
      </c>
      <c r="C368" s="66">
        <v>1781874420658690</v>
      </c>
      <c r="D368" s="65" t="s">
        <v>585</v>
      </c>
      <c r="E368" s="66">
        <v>20068</v>
      </c>
      <c r="F368" s="65" t="s">
        <v>123</v>
      </c>
      <c r="G368" s="65" t="s">
        <v>124</v>
      </c>
      <c r="H368" s="65" t="s">
        <v>120</v>
      </c>
      <c r="I368" s="65" t="s">
        <v>125</v>
      </c>
    </row>
    <row r="369" spans="1:9" s="65" customFormat="1" x14ac:dyDescent="0.25">
      <c r="A369" s="65">
        <v>11</v>
      </c>
      <c r="B369" s="65" t="s">
        <v>592</v>
      </c>
      <c r="C369" s="66">
        <v>1781874484121820</v>
      </c>
      <c r="D369" s="65" t="s">
        <v>585</v>
      </c>
      <c r="E369" s="66">
        <v>83532</v>
      </c>
      <c r="F369" s="65" t="s">
        <v>166</v>
      </c>
      <c r="G369" s="65" t="s">
        <v>167</v>
      </c>
      <c r="H369" s="65" t="s">
        <v>593</v>
      </c>
    </row>
    <row r="370" spans="1:9" s="65" customFormat="1" x14ac:dyDescent="0.25">
      <c r="A370" s="65">
        <v>11</v>
      </c>
      <c r="B370" s="65" t="s">
        <v>594</v>
      </c>
      <c r="C370" s="66">
        <v>1781874536973970</v>
      </c>
      <c r="D370" s="65" t="s">
        <v>585</v>
      </c>
      <c r="E370" s="66">
        <v>136384</v>
      </c>
      <c r="F370" s="65" t="s">
        <v>93</v>
      </c>
      <c r="G370" s="65" t="s">
        <v>94</v>
      </c>
      <c r="H370" s="65" t="s">
        <v>118</v>
      </c>
      <c r="I370" s="65" t="s">
        <v>118</v>
      </c>
    </row>
    <row r="371" spans="1:9" s="65" customFormat="1" x14ac:dyDescent="0.25">
      <c r="A371" s="65">
        <v>11</v>
      </c>
      <c r="B371" s="65" t="s">
        <v>595</v>
      </c>
      <c r="C371" s="66">
        <v>1781874536978930</v>
      </c>
      <c r="D371" s="65" t="s">
        <v>585</v>
      </c>
      <c r="E371" s="66">
        <v>136389</v>
      </c>
      <c r="F371" s="65" t="s">
        <v>98</v>
      </c>
      <c r="G371" s="65" t="s">
        <v>99</v>
      </c>
      <c r="H371" s="65" t="s">
        <v>120</v>
      </c>
      <c r="I371" s="65" t="s">
        <v>596</v>
      </c>
    </row>
    <row r="372" spans="1:9" s="65" customFormat="1" x14ac:dyDescent="0.25">
      <c r="A372" s="65">
        <v>11</v>
      </c>
      <c r="B372" s="65" t="s">
        <v>597</v>
      </c>
      <c r="C372" s="66">
        <v>1781874570068260</v>
      </c>
      <c r="D372" s="65" t="s">
        <v>585</v>
      </c>
      <c r="E372" s="66">
        <v>169478</v>
      </c>
      <c r="F372" s="65" t="s">
        <v>103</v>
      </c>
      <c r="G372" s="65" t="s">
        <v>89</v>
      </c>
      <c r="H372" s="65" t="s">
        <v>104</v>
      </c>
    </row>
    <row r="373" spans="1:9" s="65" customFormat="1" x14ac:dyDescent="0.25">
      <c r="A373" s="65">
        <v>11</v>
      </c>
      <c r="B373" s="65" t="s">
        <v>598</v>
      </c>
      <c r="C373" s="66">
        <v>1781874570069950</v>
      </c>
      <c r="D373" s="65" t="s">
        <v>599</v>
      </c>
      <c r="E373" s="65" t="s">
        <v>87</v>
      </c>
      <c r="F373" s="65" t="s">
        <v>88</v>
      </c>
      <c r="G373" s="65" t="s">
        <v>89</v>
      </c>
      <c r="H373" s="65" t="s">
        <v>90</v>
      </c>
    </row>
    <row r="374" spans="1:9" s="65" customFormat="1" x14ac:dyDescent="0.25">
      <c r="A374" s="65">
        <v>11</v>
      </c>
      <c r="B374" s="65" t="s">
        <v>600</v>
      </c>
      <c r="C374" s="66">
        <v>1781874570070920</v>
      </c>
      <c r="D374" s="65" t="s">
        <v>599</v>
      </c>
      <c r="E374" s="65" t="s">
        <v>108</v>
      </c>
      <c r="F374" s="65" t="s">
        <v>93</v>
      </c>
      <c r="G374" s="65" t="s">
        <v>94</v>
      </c>
      <c r="H374" s="65" t="s">
        <v>95</v>
      </c>
      <c r="I374" s="65" t="s">
        <v>95</v>
      </c>
    </row>
    <row r="375" spans="1:9" s="65" customFormat="1" x14ac:dyDescent="0.25">
      <c r="A375" s="65">
        <v>11</v>
      </c>
      <c r="B375" s="65" t="s">
        <v>601</v>
      </c>
      <c r="C375" s="66">
        <v>1781874570071870</v>
      </c>
      <c r="D375" s="65" t="s">
        <v>599</v>
      </c>
      <c r="E375" s="65" t="s">
        <v>341</v>
      </c>
      <c r="F375" s="65" t="s">
        <v>98</v>
      </c>
      <c r="G375" s="65" t="s">
        <v>99</v>
      </c>
      <c r="H375" s="65" t="s">
        <v>100</v>
      </c>
      <c r="I375" s="65" t="s">
        <v>101</v>
      </c>
    </row>
    <row r="376" spans="1:9" s="65" customFormat="1" x14ac:dyDescent="0.25">
      <c r="A376" s="65">
        <v>11</v>
      </c>
      <c r="B376" s="65" t="s">
        <v>602</v>
      </c>
      <c r="C376" s="66">
        <v>1781874581979820</v>
      </c>
      <c r="D376" s="65" t="s">
        <v>599</v>
      </c>
      <c r="E376" s="66">
        <v>11910</v>
      </c>
      <c r="F376" s="65" t="s">
        <v>93</v>
      </c>
      <c r="G376" s="65" t="s">
        <v>94</v>
      </c>
      <c r="H376" s="65" t="s">
        <v>603</v>
      </c>
      <c r="I376" s="65" t="s">
        <v>603</v>
      </c>
    </row>
    <row r="377" spans="1:9" s="65" customFormat="1" x14ac:dyDescent="0.25">
      <c r="A377" s="65">
        <v>11</v>
      </c>
      <c r="B377" s="65" t="s">
        <v>604</v>
      </c>
      <c r="C377" s="66">
        <v>1781874581996080</v>
      </c>
      <c r="D377" s="65" t="s">
        <v>599</v>
      </c>
      <c r="E377" s="66">
        <v>11926</v>
      </c>
      <c r="F377" s="65" t="s">
        <v>98</v>
      </c>
      <c r="G377" s="65" t="s">
        <v>99</v>
      </c>
      <c r="H377" s="65" t="s">
        <v>120</v>
      </c>
      <c r="I377" s="65" t="s">
        <v>605</v>
      </c>
    </row>
    <row r="378" spans="1:9" s="65" customFormat="1" x14ac:dyDescent="0.25">
      <c r="A378" s="65">
        <v>11</v>
      </c>
      <c r="B378" s="65" t="s">
        <v>606</v>
      </c>
      <c r="C378" s="66">
        <v>1781874581996690</v>
      </c>
      <c r="D378" s="65" t="s">
        <v>599</v>
      </c>
      <c r="E378" s="66">
        <v>11927</v>
      </c>
      <c r="F378" s="65" t="s">
        <v>123</v>
      </c>
      <c r="G378" s="65" t="s">
        <v>124</v>
      </c>
      <c r="H378" s="65" t="s">
        <v>120</v>
      </c>
      <c r="I378" s="65" t="s">
        <v>607</v>
      </c>
    </row>
    <row r="379" spans="1:9" s="65" customFormat="1" x14ac:dyDescent="0.25">
      <c r="A379" s="65">
        <v>11</v>
      </c>
      <c r="B379" s="65" t="s">
        <v>608</v>
      </c>
      <c r="C379" s="66">
        <v>1781874586591350</v>
      </c>
      <c r="D379" s="65" t="s">
        <v>599</v>
      </c>
      <c r="E379" s="66">
        <v>16522</v>
      </c>
      <c r="F379" s="65" t="s">
        <v>103</v>
      </c>
      <c r="G379" s="65" t="s">
        <v>89</v>
      </c>
      <c r="H379" s="65" t="s">
        <v>104</v>
      </c>
    </row>
    <row r="380" spans="1:9" s="65" customFormat="1" x14ac:dyDescent="0.25">
      <c r="A380" s="65">
        <v>11</v>
      </c>
      <c r="B380" s="65" t="s">
        <v>609</v>
      </c>
      <c r="C380" s="66">
        <v>1781874586593090</v>
      </c>
      <c r="D380" s="65" t="s">
        <v>610</v>
      </c>
      <c r="E380" s="65" t="s">
        <v>87</v>
      </c>
      <c r="F380" s="65" t="s">
        <v>88</v>
      </c>
      <c r="G380" s="65" t="s">
        <v>89</v>
      </c>
      <c r="H380" s="65" t="s">
        <v>90</v>
      </c>
    </row>
    <row r="381" spans="1:9" s="65" customFormat="1" x14ac:dyDescent="0.25">
      <c r="A381" s="65">
        <v>11</v>
      </c>
      <c r="B381" s="65" t="s">
        <v>611</v>
      </c>
      <c r="C381" s="66">
        <v>1781874586594050</v>
      </c>
      <c r="D381" s="65" t="s">
        <v>610</v>
      </c>
      <c r="E381" s="65" t="s">
        <v>108</v>
      </c>
      <c r="F381" s="65" t="s">
        <v>93</v>
      </c>
      <c r="G381" s="65" t="s">
        <v>94</v>
      </c>
      <c r="H381" s="65" t="s">
        <v>95</v>
      </c>
      <c r="I381" s="65" t="s">
        <v>95</v>
      </c>
    </row>
    <row r="382" spans="1:9" s="65" customFormat="1" x14ac:dyDescent="0.25">
      <c r="A382" s="65">
        <v>11</v>
      </c>
      <c r="B382" s="65" t="s">
        <v>612</v>
      </c>
      <c r="C382" s="66">
        <v>1781874586595140</v>
      </c>
      <c r="D382" s="65" t="s">
        <v>610</v>
      </c>
      <c r="E382" s="65" t="s">
        <v>92</v>
      </c>
      <c r="F382" s="65" t="s">
        <v>98</v>
      </c>
      <c r="G382" s="65" t="s">
        <v>99</v>
      </c>
      <c r="H382" s="65" t="s">
        <v>100</v>
      </c>
      <c r="I382" s="65" t="s">
        <v>101</v>
      </c>
    </row>
    <row r="383" spans="1:9" s="65" customFormat="1" x14ac:dyDescent="0.25">
      <c r="A383" s="65">
        <v>11</v>
      </c>
      <c r="B383" s="65" t="s">
        <v>613</v>
      </c>
      <c r="C383" s="66">
        <v>1781874598503000</v>
      </c>
      <c r="D383" s="65" t="s">
        <v>610</v>
      </c>
      <c r="E383" s="66">
        <v>11910</v>
      </c>
      <c r="F383" s="65" t="s">
        <v>93</v>
      </c>
      <c r="G383" s="65" t="s">
        <v>94</v>
      </c>
      <c r="H383" s="65" t="s">
        <v>118</v>
      </c>
      <c r="I383" s="65" t="s">
        <v>118</v>
      </c>
    </row>
    <row r="384" spans="1:9" s="65" customFormat="1" x14ac:dyDescent="0.25">
      <c r="A384" s="65">
        <v>11</v>
      </c>
      <c r="B384" s="65" t="s">
        <v>614</v>
      </c>
      <c r="C384" s="66">
        <v>1781874598508840</v>
      </c>
      <c r="D384" s="65" t="s">
        <v>610</v>
      </c>
      <c r="E384" s="66">
        <v>11916</v>
      </c>
      <c r="F384" s="65" t="s">
        <v>98</v>
      </c>
      <c r="G384" s="65" t="s">
        <v>99</v>
      </c>
      <c r="H384" s="65" t="s">
        <v>120</v>
      </c>
      <c r="I384" s="65" t="s">
        <v>121</v>
      </c>
    </row>
    <row r="385" spans="1:9" s="65" customFormat="1" x14ac:dyDescent="0.25">
      <c r="A385" s="65">
        <v>11</v>
      </c>
      <c r="B385" s="65" t="s">
        <v>615</v>
      </c>
      <c r="C385" s="66">
        <v>1781874598509420</v>
      </c>
      <c r="D385" s="65" t="s">
        <v>610</v>
      </c>
      <c r="E385" s="66">
        <v>11916</v>
      </c>
      <c r="F385" s="65" t="s">
        <v>123</v>
      </c>
      <c r="G385" s="65" t="s">
        <v>124</v>
      </c>
      <c r="H385" s="65" t="s">
        <v>120</v>
      </c>
      <c r="I385" s="65" t="s">
        <v>125</v>
      </c>
    </row>
    <row r="386" spans="1:9" s="65" customFormat="1" x14ac:dyDescent="0.25">
      <c r="A386" s="65">
        <v>11</v>
      </c>
      <c r="B386" s="65" t="s">
        <v>616</v>
      </c>
      <c r="C386" s="66">
        <v>1781874646938450</v>
      </c>
      <c r="D386" s="65" t="s">
        <v>610</v>
      </c>
      <c r="E386" s="66">
        <v>60345</v>
      </c>
      <c r="F386" s="65" t="s">
        <v>166</v>
      </c>
      <c r="G386" s="65" t="s">
        <v>167</v>
      </c>
      <c r="H386" s="65" t="s">
        <v>617</v>
      </c>
    </row>
    <row r="387" spans="1:9" s="65" customFormat="1" x14ac:dyDescent="0.25">
      <c r="A387" s="65">
        <v>11</v>
      </c>
      <c r="B387" s="65" t="s">
        <v>618</v>
      </c>
      <c r="C387" s="66">
        <v>1781874659944640</v>
      </c>
      <c r="D387" s="65" t="s">
        <v>610</v>
      </c>
      <c r="E387" s="66">
        <v>73352</v>
      </c>
      <c r="F387" s="65" t="s">
        <v>103</v>
      </c>
      <c r="G387" s="65" t="s">
        <v>89</v>
      </c>
      <c r="H387" s="65" t="s">
        <v>619</v>
      </c>
    </row>
    <row r="389" spans="1:9" x14ac:dyDescent="0.25">
      <c r="B389" t="s">
        <v>620</v>
      </c>
      <c r="C389" s="12">
        <v>1781875531554370</v>
      </c>
      <c r="D389" t="s">
        <v>621</v>
      </c>
      <c r="E389" t="s">
        <v>87</v>
      </c>
      <c r="F389" t="s">
        <v>88</v>
      </c>
      <c r="G389" t="s">
        <v>89</v>
      </c>
      <c r="H389" t="s">
        <v>90</v>
      </c>
    </row>
    <row r="390" spans="1:9" x14ac:dyDescent="0.25">
      <c r="A390" s="16">
        <v>12</v>
      </c>
      <c r="B390" s="16" t="s">
        <v>622</v>
      </c>
      <c r="C390" s="17">
        <v>1781875531555810</v>
      </c>
      <c r="D390" s="16" t="s">
        <v>621</v>
      </c>
      <c r="E390" s="16" t="s">
        <v>92</v>
      </c>
      <c r="F390" s="16" t="s">
        <v>93</v>
      </c>
      <c r="G390" s="16" t="s">
        <v>94</v>
      </c>
      <c r="H390" s="16" t="s">
        <v>95</v>
      </c>
      <c r="I390" s="16" t="s">
        <v>95</v>
      </c>
    </row>
    <row r="391" spans="1:9" x14ac:dyDescent="0.25">
      <c r="A391" s="16">
        <v>12</v>
      </c>
      <c r="B391" s="16" t="s">
        <v>623</v>
      </c>
      <c r="C391" s="17">
        <v>1781875531565360</v>
      </c>
      <c r="D391" s="16" t="s">
        <v>621</v>
      </c>
      <c r="E391" s="16" t="s">
        <v>238</v>
      </c>
      <c r="F391" s="16" t="s">
        <v>98</v>
      </c>
      <c r="G391" s="16" t="s">
        <v>99</v>
      </c>
      <c r="H391" s="16" t="s">
        <v>100</v>
      </c>
      <c r="I391" s="16" t="s">
        <v>101</v>
      </c>
    </row>
    <row r="392" spans="1:9" x14ac:dyDescent="0.25">
      <c r="A392" s="16">
        <v>12</v>
      </c>
      <c r="B392" s="16" t="s">
        <v>624</v>
      </c>
      <c r="C392" s="17">
        <v>1781875549909110</v>
      </c>
      <c r="D392" s="16" t="s">
        <v>621</v>
      </c>
      <c r="E392" s="17">
        <v>18355</v>
      </c>
      <c r="F392" s="16" t="s">
        <v>98</v>
      </c>
      <c r="G392" s="16" t="s">
        <v>99</v>
      </c>
      <c r="H392" s="16" t="s">
        <v>120</v>
      </c>
      <c r="I392" s="16" t="s">
        <v>121</v>
      </c>
    </row>
    <row r="393" spans="1:9" x14ac:dyDescent="0.25">
      <c r="A393" s="16">
        <v>12</v>
      </c>
      <c r="B393" s="16" t="s">
        <v>625</v>
      </c>
      <c r="C393" s="17">
        <v>1781875549911540</v>
      </c>
      <c r="D393" s="16" t="s">
        <v>621</v>
      </c>
      <c r="E393" s="17">
        <v>18357</v>
      </c>
      <c r="F393" s="16" t="s">
        <v>123</v>
      </c>
      <c r="G393" s="16" t="s">
        <v>124</v>
      </c>
      <c r="H393" s="16" t="s">
        <v>120</v>
      </c>
      <c r="I393" s="16" t="s">
        <v>125</v>
      </c>
    </row>
    <row r="394" spans="1:9" x14ac:dyDescent="0.25">
      <c r="A394" s="16">
        <v>12</v>
      </c>
      <c r="B394" s="16" t="s">
        <v>626</v>
      </c>
      <c r="C394" s="17">
        <v>1781875549916480</v>
      </c>
      <c r="D394" s="16" t="s">
        <v>621</v>
      </c>
      <c r="E394" s="17">
        <v>18362</v>
      </c>
      <c r="F394" s="16" t="s">
        <v>93</v>
      </c>
      <c r="G394" s="16" t="s">
        <v>94</v>
      </c>
      <c r="H394" s="16" t="s">
        <v>118</v>
      </c>
      <c r="I394" s="16" t="s">
        <v>118</v>
      </c>
    </row>
    <row r="395" spans="1:9" x14ac:dyDescent="0.25">
      <c r="A395" s="16">
        <v>12</v>
      </c>
      <c r="B395" s="16" t="s">
        <v>627</v>
      </c>
      <c r="C395" s="17">
        <v>1781875571981280</v>
      </c>
      <c r="D395" s="16" t="s">
        <v>621</v>
      </c>
      <c r="E395" s="17">
        <v>40427</v>
      </c>
      <c r="F395" s="16" t="s">
        <v>93</v>
      </c>
      <c r="G395" s="16" t="s">
        <v>94</v>
      </c>
      <c r="H395" s="16" t="s">
        <v>140</v>
      </c>
      <c r="I395" s="16" t="s">
        <v>140</v>
      </c>
    </row>
    <row r="396" spans="1:9" x14ac:dyDescent="0.25">
      <c r="A396" s="16">
        <v>12</v>
      </c>
      <c r="B396" s="16" t="s">
        <v>628</v>
      </c>
      <c r="C396" s="17">
        <v>1781875571982530</v>
      </c>
      <c r="D396" s="16" t="s">
        <v>621</v>
      </c>
      <c r="E396" s="17">
        <v>40428</v>
      </c>
      <c r="F396" s="16" t="s">
        <v>98</v>
      </c>
      <c r="G396" s="16" t="s">
        <v>99</v>
      </c>
      <c r="H396" s="16" t="s">
        <v>120</v>
      </c>
      <c r="I396" s="16" t="s">
        <v>629</v>
      </c>
    </row>
    <row r="397" spans="1:9" x14ac:dyDescent="0.25">
      <c r="A397" s="16">
        <v>12</v>
      </c>
      <c r="B397" s="16" t="s">
        <v>630</v>
      </c>
      <c r="C397" s="17">
        <v>1781875594965180</v>
      </c>
      <c r="D397" s="16" t="s">
        <v>621</v>
      </c>
      <c r="E397" s="17">
        <v>63412</v>
      </c>
      <c r="F397" s="16" t="s">
        <v>123</v>
      </c>
      <c r="G397" s="16" t="s">
        <v>124</v>
      </c>
      <c r="H397" s="16" t="s">
        <v>120</v>
      </c>
      <c r="I397" s="16" t="s">
        <v>631</v>
      </c>
    </row>
    <row r="398" spans="1:9" x14ac:dyDescent="0.25">
      <c r="A398" s="16">
        <v>12</v>
      </c>
      <c r="B398" s="16" t="s">
        <v>632</v>
      </c>
      <c r="C398" s="17">
        <v>1781875594969620</v>
      </c>
      <c r="D398" s="16" t="s">
        <v>621</v>
      </c>
      <c r="E398" s="17">
        <v>63416</v>
      </c>
      <c r="F398" s="16" t="s">
        <v>98</v>
      </c>
      <c r="G398" s="16" t="s">
        <v>99</v>
      </c>
      <c r="H398" s="16" t="s">
        <v>120</v>
      </c>
      <c r="I398" s="16" t="s">
        <v>633</v>
      </c>
    </row>
    <row r="399" spans="1:9" x14ac:dyDescent="0.25">
      <c r="A399" s="16">
        <v>12</v>
      </c>
      <c r="B399" s="16" t="s">
        <v>634</v>
      </c>
      <c r="C399" s="17">
        <v>1781875613627840</v>
      </c>
      <c r="D399" s="16" t="s">
        <v>621</v>
      </c>
      <c r="E399" s="17">
        <v>82074</v>
      </c>
      <c r="F399" s="16" t="s">
        <v>98</v>
      </c>
      <c r="G399" s="16" t="s">
        <v>99</v>
      </c>
      <c r="H399" s="16" t="s">
        <v>120</v>
      </c>
      <c r="I399" s="16" t="s">
        <v>121</v>
      </c>
    </row>
    <row r="400" spans="1:9" x14ac:dyDescent="0.25">
      <c r="A400" s="16">
        <v>12</v>
      </c>
      <c r="B400" s="16" t="s">
        <v>635</v>
      </c>
      <c r="C400" s="17">
        <v>1781875613633520</v>
      </c>
      <c r="D400" s="16" t="s">
        <v>621</v>
      </c>
      <c r="E400" s="17">
        <v>82079</v>
      </c>
      <c r="F400" s="16" t="s">
        <v>123</v>
      </c>
      <c r="G400" s="16" t="s">
        <v>124</v>
      </c>
      <c r="H400" s="16" t="s">
        <v>120</v>
      </c>
      <c r="I400" s="16" t="s">
        <v>125</v>
      </c>
    </row>
    <row r="401" spans="1:9" x14ac:dyDescent="0.25">
      <c r="A401" s="16">
        <v>12</v>
      </c>
      <c r="B401" s="16" t="s">
        <v>636</v>
      </c>
      <c r="C401" s="17">
        <v>1781875613725300</v>
      </c>
      <c r="D401" s="16" t="s">
        <v>621</v>
      </c>
      <c r="E401" s="17">
        <v>82171</v>
      </c>
      <c r="F401" s="16" t="s">
        <v>93</v>
      </c>
      <c r="G401" s="16" t="s">
        <v>94</v>
      </c>
      <c r="H401" s="16" t="s">
        <v>118</v>
      </c>
      <c r="I401" s="16" t="s">
        <v>118</v>
      </c>
    </row>
    <row r="402" spans="1:9" x14ac:dyDescent="0.25">
      <c r="A402" s="16">
        <v>12</v>
      </c>
      <c r="B402" s="16" t="s">
        <v>637</v>
      </c>
      <c r="C402" s="17">
        <v>1781875616164160</v>
      </c>
      <c r="D402" s="16" t="s">
        <v>621</v>
      </c>
      <c r="E402" s="17">
        <v>84610</v>
      </c>
      <c r="F402" s="16" t="s">
        <v>123</v>
      </c>
      <c r="G402" s="16" t="s">
        <v>124</v>
      </c>
      <c r="H402" s="16" t="s">
        <v>127</v>
      </c>
      <c r="I402" s="16" t="s">
        <v>638</v>
      </c>
    </row>
    <row r="403" spans="1:9" x14ac:dyDescent="0.25">
      <c r="A403" s="16">
        <v>12</v>
      </c>
      <c r="B403" s="16" t="s">
        <v>639</v>
      </c>
      <c r="C403" s="17">
        <v>1781875616172010</v>
      </c>
      <c r="D403" s="16" t="s">
        <v>621</v>
      </c>
      <c r="E403" s="17">
        <v>84618</v>
      </c>
      <c r="F403" s="16" t="s">
        <v>98</v>
      </c>
      <c r="G403" s="16" t="s">
        <v>99</v>
      </c>
      <c r="H403" s="16" t="s">
        <v>127</v>
      </c>
      <c r="I403" s="16" t="s">
        <v>640</v>
      </c>
    </row>
    <row r="404" spans="1:9" x14ac:dyDescent="0.25">
      <c r="A404" s="16">
        <v>12</v>
      </c>
      <c r="B404" s="16" t="s">
        <v>641</v>
      </c>
      <c r="C404" s="17">
        <v>1781875618404600</v>
      </c>
      <c r="D404" s="16" t="s">
        <v>621</v>
      </c>
      <c r="E404" s="17">
        <v>86850</v>
      </c>
      <c r="F404" s="16" t="s">
        <v>132</v>
      </c>
      <c r="G404" s="16" t="s">
        <v>133</v>
      </c>
      <c r="H404" s="16" t="s">
        <v>134</v>
      </c>
      <c r="I404" s="16" t="s">
        <v>135</v>
      </c>
    </row>
    <row r="405" spans="1:9" x14ac:dyDescent="0.25">
      <c r="A405" s="16">
        <v>12</v>
      </c>
      <c r="B405" s="16" t="s">
        <v>642</v>
      </c>
      <c r="C405" s="17">
        <v>1781875626241370</v>
      </c>
      <c r="D405" s="16" t="s">
        <v>621</v>
      </c>
      <c r="E405" s="17">
        <v>94687</v>
      </c>
      <c r="F405" s="16" t="s">
        <v>93</v>
      </c>
      <c r="G405" s="16" t="s">
        <v>94</v>
      </c>
      <c r="H405" s="16" t="s">
        <v>140</v>
      </c>
      <c r="I405" s="16" t="s">
        <v>140</v>
      </c>
    </row>
    <row r="406" spans="1:9" x14ac:dyDescent="0.25">
      <c r="A406" s="16">
        <v>12</v>
      </c>
      <c r="B406" s="16" t="s">
        <v>643</v>
      </c>
      <c r="C406" s="17">
        <v>1781875626243810</v>
      </c>
      <c r="D406" s="16" t="s">
        <v>621</v>
      </c>
      <c r="E406" s="17">
        <v>94690</v>
      </c>
      <c r="F406" s="16" t="s">
        <v>98</v>
      </c>
      <c r="G406" s="16" t="s">
        <v>99</v>
      </c>
      <c r="H406" s="16" t="s">
        <v>137</v>
      </c>
      <c r="I406" s="16" t="s">
        <v>138</v>
      </c>
    </row>
    <row r="407" spans="1:9" x14ac:dyDescent="0.25">
      <c r="A407" s="16">
        <v>12</v>
      </c>
      <c r="B407" s="16" t="s">
        <v>644</v>
      </c>
      <c r="C407" s="17">
        <v>1781875641280130</v>
      </c>
      <c r="D407" s="16" t="s">
        <v>621</v>
      </c>
      <c r="E407" s="17">
        <v>109726</v>
      </c>
      <c r="F407" s="16" t="s">
        <v>166</v>
      </c>
      <c r="G407" s="16" t="s">
        <v>167</v>
      </c>
      <c r="H407" s="16" t="s">
        <v>213</v>
      </c>
      <c r="I407" s="16"/>
    </row>
    <row r="408" spans="1:9" x14ac:dyDescent="0.25">
      <c r="A408" s="16">
        <v>12</v>
      </c>
      <c r="B408" s="16" t="s">
        <v>645</v>
      </c>
      <c r="C408" s="17">
        <v>1781875649165460</v>
      </c>
      <c r="D408" s="16" t="s">
        <v>621</v>
      </c>
      <c r="E408" s="17">
        <v>117611</v>
      </c>
      <c r="F408" s="16" t="s">
        <v>93</v>
      </c>
      <c r="G408" s="16" t="s">
        <v>94</v>
      </c>
      <c r="H408" s="16" t="s">
        <v>146</v>
      </c>
      <c r="I408" s="16" t="s">
        <v>146</v>
      </c>
    </row>
    <row r="409" spans="1:9" x14ac:dyDescent="0.25">
      <c r="A409" s="16">
        <v>12</v>
      </c>
      <c r="B409" s="16" t="s">
        <v>646</v>
      </c>
      <c r="C409" s="17">
        <v>1781875649168040</v>
      </c>
      <c r="D409" s="16" t="s">
        <v>621</v>
      </c>
      <c r="E409" s="17">
        <v>117614</v>
      </c>
      <c r="F409" s="16" t="s">
        <v>98</v>
      </c>
      <c r="G409" s="16" t="s">
        <v>99</v>
      </c>
      <c r="H409" s="16" t="s">
        <v>120</v>
      </c>
      <c r="I409" s="16" t="s">
        <v>142</v>
      </c>
    </row>
    <row r="410" spans="1:9" x14ac:dyDescent="0.25">
      <c r="A410" s="16">
        <v>12</v>
      </c>
      <c r="B410" s="16" t="s">
        <v>647</v>
      </c>
      <c r="C410" s="17">
        <v>1781875649182100</v>
      </c>
      <c r="D410" s="16" t="s">
        <v>621</v>
      </c>
      <c r="E410" s="17">
        <v>117628</v>
      </c>
      <c r="F410" s="16" t="s">
        <v>123</v>
      </c>
      <c r="G410" s="16" t="s">
        <v>124</v>
      </c>
      <c r="H410" s="16" t="s">
        <v>120</v>
      </c>
      <c r="I410" s="16" t="s">
        <v>144</v>
      </c>
    </row>
    <row r="411" spans="1:9" x14ac:dyDescent="0.25">
      <c r="A411" s="16">
        <v>12</v>
      </c>
      <c r="B411" s="16" t="s">
        <v>648</v>
      </c>
      <c r="C411" s="17">
        <v>1781875658666310</v>
      </c>
      <c r="D411" s="16" t="s">
        <v>621</v>
      </c>
      <c r="E411" s="17">
        <v>127112</v>
      </c>
      <c r="F411" s="16" t="s">
        <v>123</v>
      </c>
      <c r="G411" s="16" t="s">
        <v>124</v>
      </c>
      <c r="H411" s="16" t="s">
        <v>148</v>
      </c>
      <c r="I411" s="16" t="s">
        <v>149</v>
      </c>
    </row>
    <row r="412" spans="1:9" x14ac:dyDescent="0.25">
      <c r="A412" s="16">
        <v>12</v>
      </c>
      <c r="B412" s="16" t="s">
        <v>649</v>
      </c>
      <c r="C412" s="17">
        <v>1781875658668050</v>
      </c>
      <c r="D412" s="16" t="s">
        <v>621</v>
      </c>
      <c r="E412" s="17">
        <v>127114</v>
      </c>
      <c r="F412" s="16" t="s">
        <v>98</v>
      </c>
      <c r="G412" s="16" t="s">
        <v>99</v>
      </c>
      <c r="H412" s="16" t="s">
        <v>148</v>
      </c>
      <c r="I412" s="16" t="s">
        <v>151</v>
      </c>
    </row>
    <row r="413" spans="1:9" x14ac:dyDescent="0.25">
      <c r="A413" s="16">
        <v>12</v>
      </c>
      <c r="B413" s="16" t="s">
        <v>650</v>
      </c>
      <c r="C413" s="17">
        <v>1781875661925070</v>
      </c>
      <c r="D413" s="16" t="s">
        <v>621</v>
      </c>
      <c r="E413" s="17">
        <v>130371</v>
      </c>
      <c r="F413" s="16" t="s">
        <v>93</v>
      </c>
      <c r="G413" s="16" t="s">
        <v>94</v>
      </c>
      <c r="H413" s="16" t="s">
        <v>153</v>
      </c>
      <c r="I413" s="16" t="s">
        <v>153</v>
      </c>
    </row>
    <row r="414" spans="1:9" x14ac:dyDescent="0.25">
      <c r="A414" s="16">
        <v>12</v>
      </c>
      <c r="B414" s="16" t="s">
        <v>651</v>
      </c>
      <c r="C414" s="17">
        <v>1781875661937740</v>
      </c>
      <c r="D414" s="16" t="s">
        <v>621</v>
      </c>
      <c r="E414" s="17">
        <v>130384</v>
      </c>
      <c r="F414" s="16" t="s">
        <v>98</v>
      </c>
      <c r="G414" s="16" t="s">
        <v>99</v>
      </c>
      <c r="H414" s="16" t="s">
        <v>120</v>
      </c>
      <c r="I414" s="16" t="s">
        <v>155</v>
      </c>
    </row>
    <row r="415" spans="1:9" x14ac:dyDescent="0.25">
      <c r="A415" s="16">
        <v>12</v>
      </c>
      <c r="B415" s="16" t="s">
        <v>652</v>
      </c>
      <c r="C415" s="17">
        <v>1781875661938450</v>
      </c>
      <c r="D415" s="16" t="s">
        <v>621</v>
      </c>
      <c r="E415" s="17">
        <v>130384</v>
      </c>
      <c r="F415" s="16" t="s">
        <v>123</v>
      </c>
      <c r="G415" s="16" t="s">
        <v>124</v>
      </c>
      <c r="H415" s="16" t="s">
        <v>120</v>
      </c>
      <c r="I415" s="16" t="s">
        <v>157</v>
      </c>
    </row>
    <row r="416" spans="1:9" x14ac:dyDescent="0.25">
      <c r="A416" s="16">
        <v>12</v>
      </c>
      <c r="B416" s="16" t="s">
        <v>653</v>
      </c>
      <c r="C416" s="17">
        <v>1781875663465510</v>
      </c>
      <c r="D416" s="16" t="s">
        <v>621</v>
      </c>
      <c r="E416" s="17">
        <v>131911</v>
      </c>
      <c r="F416" s="16" t="s">
        <v>123</v>
      </c>
      <c r="G416" s="16" t="s">
        <v>124</v>
      </c>
      <c r="H416" s="16" t="s">
        <v>120</v>
      </c>
      <c r="I416" s="16" t="s">
        <v>159</v>
      </c>
    </row>
    <row r="417" spans="1:9" x14ac:dyDescent="0.25">
      <c r="A417" s="16">
        <v>12</v>
      </c>
      <c r="B417" s="16" t="s">
        <v>654</v>
      </c>
      <c r="C417" s="17">
        <v>1781875666763180</v>
      </c>
      <c r="D417" s="16" t="s">
        <v>621</v>
      </c>
      <c r="E417" s="17">
        <v>135209</v>
      </c>
      <c r="F417" s="16" t="s">
        <v>123</v>
      </c>
      <c r="G417" s="16" t="s">
        <v>124</v>
      </c>
      <c r="H417" s="16" t="s">
        <v>161</v>
      </c>
      <c r="I417" s="16" t="s">
        <v>655</v>
      </c>
    </row>
    <row r="418" spans="1:9" x14ac:dyDescent="0.25">
      <c r="A418" s="16">
        <v>12</v>
      </c>
      <c r="B418" s="16" t="s">
        <v>656</v>
      </c>
      <c r="C418" s="17">
        <v>1781875666768720</v>
      </c>
      <c r="D418" s="16" t="s">
        <v>621</v>
      </c>
      <c r="E418" s="17">
        <v>135215</v>
      </c>
      <c r="F418" s="16" t="s">
        <v>98</v>
      </c>
      <c r="G418" s="16" t="s">
        <v>99</v>
      </c>
      <c r="H418" s="16" t="s">
        <v>161</v>
      </c>
      <c r="I418" s="16" t="s">
        <v>657</v>
      </c>
    </row>
    <row r="419" spans="1:9" x14ac:dyDescent="0.25">
      <c r="A419" s="16">
        <v>12</v>
      </c>
      <c r="B419" s="16" t="s">
        <v>658</v>
      </c>
      <c r="C419" s="17">
        <v>1781875704581050</v>
      </c>
      <c r="D419" s="16" t="s">
        <v>621</v>
      </c>
      <c r="E419" s="17">
        <v>173027</v>
      </c>
      <c r="F419" s="16" t="s">
        <v>166</v>
      </c>
      <c r="G419" s="16" t="s">
        <v>167</v>
      </c>
      <c r="H419" s="16" t="s">
        <v>168</v>
      </c>
      <c r="I419" s="16"/>
    </row>
    <row r="420" spans="1:9" x14ac:dyDescent="0.25">
      <c r="A420" s="16">
        <v>12</v>
      </c>
      <c r="B420" s="16" t="s">
        <v>659</v>
      </c>
      <c r="C420" s="17">
        <v>1781875712719080</v>
      </c>
      <c r="D420" s="16" t="s">
        <v>621</v>
      </c>
      <c r="E420" s="17">
        <v>181165</v>
      </c>
      <c r="F420" s="16" t="s">
        <v>93</v>
      </c>
      <c r="G420" s="16" t="s">
        <v>94</v>
      </c>
      <c r="H420" s="16" t="s">
        <v>170</v>
      </c>
      <c r="I420" s="16" t="s">
        <v>170</v>
      </c>
    </row>
    <row r="421" spans="1:9" x14ac:dyDescent="0.25">
      <c r="A421" s="16">
        <v>12</v>
      </c>
      <c r="B421" s="16" t="s">
        <v>660</v>
      </c>
      <c r="C421" s="17">
        <v>1781875712725070</v>
      </c>
      <c r="D421" s="16" t="s">
        <v>621</v>
      </c>
      <c r="E421" s="17">
        <v>181171</v>
      </c>
      <c r="F421" s="16" t="s">
        <v>98</v>
      </c>
      <c r="G421" s="16" t="s">
        <v>99</v>
      </c>
      <c r="H421" s="16" t="s">
        <v>172</v>
      </c>
      <c r="I421" s="16" t="s">
        <v>173</v>
      </c>
    </row>
    <row r="422" spans="1:9" x14ac:dyDescent="0.25">
      <c r="A422" s="16">
        <v>12</v>
      </c>
      <c r="B422" s="16" t="s">
        <v>661</v>
      </c>
      <c r="C422" s="17">
        <v>1781875731619220</v>
      </c>
      <c r="D422" s="16" t="s">
        <v>621</v>
      </c>
      <c r="E422" s="17">
        <v>200065</v>
      </c>
      <c r="F422" s="16" t="s">
        <v>93</v>
      </c>
      <c r="G422" s="16" t="s">
        <v>94</v>
      </c>
      <c r="H422" s="16" t="s">
        <v>175</v>
      </c>
      <c r="I422" s="16" t="s">
        <v>175</v>
      </c>
    </row>
    <row r="423" spans="1:9" x14ac:dyDescent="0.25">
      <c r="A423" s="16">
        <v>12</v>
      </c>
      <c r="B423" s="16" t="s">
        <v>662</v>
      </c>
      <c r="C423" s="17">
        <v>1781875731620580</v>
      </c>
      <c r="D423" s="16" t="s">
        <v>621</v>
      </c>
      <c r="E423" s="17">
        <v>200066</v>
      </c>
      <c r="F423" s="16" t="s">
        <v>98</v>
      </c>
      <c r="G423" s="16" t="s">
        <v>99</v>
      </c>
      <c r="H423" s="16" t="s">
        <v>120</v>
      </c>
      <c r="I423" s="16" t="s">
        <v>177</v>
      </c>
    </row>
    <row r="424" spans="1:9" x14ac:dyDescent="0.25">
      <c r="A424" s="16">
        <v>12</v>
      </c>
      <c r="B424" s="16" t="s">
        <v>663</v>
      </c>
      <c r="C424" s="17">
        <v>1781875738621680</v>
      </c>
      <c r="D424" s="16" t="s">
        <v>621</v>
      </c>
      <c r="E424" s="17">
        <v>207067</v>
      </c>
      <c r="F424" s="16" t="s">
        <v>98</v>
      </c>
      <c r="G424" s="16" t="s">
        <v>99</v>
      </c>
      <c r="H424" s="16" t="s">
        <v>179</v>
      </c>
      <c r="I424" s="16" t="s">
        <v>180</v>
      </c>
    </row>
    <row r="425" spans="1:9" x14ac:dyDescent="0.25">
      <c r="A425" s="16">
        <v>12</v>
      </c>
      <c r="B425" s="16" t="s">
        <v>664</v>
      </c>
      <c r="C425" s="17">
        <v>1781875738622180</v>
      </c>
      <c r="D425" s="16" t="s">
        <v>621</v>
      </c>
      <c r="E425" s="17">
        <v>207068</v>
      </c>
      <c r="F425" s="16" t="s">
        <v>103</v>
      </c>
      <c r="G425" s="16" t="s">
        <v>89</v>
      </c>
      <c r="H425" s="16" t="s">
        <v>179</v>
      </c>
      <c r="I425" s="16"/>
    </row>
    <row r="426" spans="1:9" x14ac:dyDescent="0.25">
      <c r="B426" t="s">
        <v>665</v>
      </c>
      <c r="C426" s="12">
        <v>1781875875283650</v>
      </c>
      <c r="D426" t="s">
        <v>666</v>
      </c>
      <c r="E426" t="s">
        <v>87</v>
      </c>
      <c r="F426" t="s">
        <v>88</v>
      </c>
      <c r="G426" t="s">
        <v>89</v>
      </c>
      <c r="H426" t="s">
        <v>90</v>
      </c>
    </row>
    <row r="427" spans="1:9" x14ac:dyDescent="0.25">
      <c r="A427" s="9">
        <v>13</v>
      </c>
      <c r="B427" s="9" t="s">
        <v>667</v>
      </c>
      <c r="C427" s="13">
        <v>1781875875285140</v>
      </c>
      <c r="D427" s="9" t="s">
        <v>666</v>
      </c>
      <c r="E427" s="9" t="s">
        <v>92</v>
      </c>
      <c r="F427" s="9" t="s">
        <v>93</v>
      </c>
      <c r="G427" s="9" t="s">
        <v>94</v>
      </c>
      <c r="H427" s="9" t="s">
        <v>95</v>
      </c>
      <c r="I427" s="9" t="s">
        <v>95</v>
      </c>
    </row>
    <row r="428" spans="1:9" x14ac:dyDescent="0.25">
      <c r="A428" s="9">
        <v>13</v>
      </c>
      <c r="B428" s="9" t="s">
        <v>668</v>
      </c>
      <c r="C428" s="13">
        <v>1781875875288050</v>
      </c>
      <c r="D428" s="9" t="s">
        <v>666</v>
      </c>
      <c r="E428" s="9" t="s">
        <v>97</v>
      </c>
      <c r="F428" s="9" t="s">
        <v>98</v>
      </c>
      <c r="G428" s="9" t="s">
        <v>99</v>
      </c>
      <c r="H428" s="9" t="s">
        <v>100</v>
      </c>
      <c r="I428" s="9" t="s">
        <v>101</v>
      </c>
    </row>
    <row r="429" spans="1:9" x14ac:dyDescent="0.25">
      <c r="A429" s="9">
        <v>13</v>
      </c>
      <c r="B429" s="9" t="s">
        <v>669</v>
      </c>
      <c r="C429" s="13">
        <v>1781875893566970</v>
      </c>
      <c r="D429" s="9" t="s">
        <v>666</v>
      </c>
      <c r="E429" s="13">
        <v>18283</v>
      </c>
      <c r="F429" s="9" t="s">
        <v>93</v>
      </c>
      <c r="G429" s="9" t="s">
        <v>94</v>
      </c>
      <c r="H429" s="9" t="s">
        <v>118</v>
      </c>
      <c r="I429" s="9" t="s">
        <v>118</v>
      </c>
    </row>
    <row r="430" spans="1:9" x14ac:dyDescent="0.25">
      <c r="A430" s="9">
        <v>13</v>
      </c>
      <c r="B430" s="9" t="s">
        <v>670</v>
      </c>
      <c r="C430" s="13">
        <v>1781875893568990</v>
      </c>
      <c r="D430" s="9" t="s">
        <v>666</v>
      </c>
      <c r="E430" s="13">
        <v>18285</v>
      </c>
      <c r="F430" s="9" t="s">
        <v>98</v>
      </c>
      <c r="G430" s="9" t="s">
        <v>99</v>
      </c>
      <c r="H430" s="9" t="s">
        <v>120</v>
      </c>
      <c r="I430" s="9" t="s">
        <v>121</v>
      </c>
    </row>
    <row r="431" spans="1:9" x14ac:dyDescent="0.25">
      <c r="A431" s="9">
        <v>13</v>
      </c>
      <c r="B431" s="9" t="s">
        <v>671</v>
      </c>
      <c r="C431" s="13">
        <v>1781875893571020</v>
      </c>
      <c r="D431" s="9" t="s">
        <v>666</v>
      </c>
      <c r="E431" s="13">
        <v>18288</v>
      </c>
      <c r="F431" s="9" t="s">
        <v>123</v>
      </c>
      <c r="G431" s="9" t="s">
        <v>124</v>
      </c>
      <c r="H431" s="9" t="s">
        <v>120</v>
      </c>
      <c r="I431" s="9" t="s">
        <v>125</v>
      </c>
    </row>
    <row r="432" spans="1:9" x14ac:dyDescent="0.25">
      <c r="A432" s="9">
        <v>13</v>
      </c>
      <c r="B432" s="9" t="s">
        <v>672</v>
      </c>
      <c r="C432" s="13">
        <v>1781875912065140</v>
      </c>
      <c r="D432" s="9" t="s">
        <v>666</v>
      </c>
      <c r="E432" s="13">
        <v>36782</v>
      </c>
      <c r="F432" s="9" t="s">
        <v>123</v>
      </c>
      <c r="G432" s="9" t="s">
        <v>124</v>
      </c>
      <c r="H432" s="9" t="s">
        <v>127</v>
      </c>
      <c r="I432" s="9" t="s">
        <v>673</v>
      </c>
    </row>
    <row r="433" spans="1:9" x14ac:dyDescent="0.25">
      <c r="A433" s="9">
        <v>13</v>
      </c>
      <c r="B433" s="9" t="s">
        <v>674</v>
      </c>
      <c r="C433" s="13">
        <v>1781875912072440</v>
      </c>
      <c r="D433" s="9" t="s">
        <v>666</v>
      </c>
      <c r="E433" s="13">
        <v>36789</v>
      </c>
      <c r="F433" s="9" t="s">
        <v>98</v>
      </c>
      <c r="G433" s="9" t="s">
        <v>99</v>
      </c>
      <c r="H433" s="9" t="s">
        <v>127</v>
      </c>
      <c r="I433" s="9" t="s">
        <v>675</v>
      </c>
    </row>
    <row r="434" spans="1:9" x14ac:dyDescent="0.25">
      <c r="A434" s="9">
        <v>13</v>
      </c>
      <c r="B434" s="9" t="s">
        <v>676</v>
      </c>
      <c r="C434" s="13">
        <v>1781875914000040</v>
      </c>
      <c r="D434" s="9" t="s">
        <v>666</v>
      </c>
      <c r="E434" s="13">
        <v>38717</v>
      </c>
      <c r="F434" s="9" t="s">
        <v>132</v>
      </c>
      <c r="G434" s="9" t="s">
        <v>133</v>
      </c>
      <c r="H434" s="9" t="s">
        <v>134</v>
      </c>
      <c r="I434" s="9" t="s">
        <v>135</v>
      </c>
    </row>
    <row r="435" spans="1:9" x14ac:dyDescent="0.25">
      <c r="A435" s="9">
        <v>13</v>
      </c>
      <c r="B435" s="9" t="s">
        <v>677</v>
      </c>
      <c r="C435" s="13">
        <v>1781875922018010</v>
      </c>
      <c r="D435" s="9" t="s">
        <v>666</v>
      </c>
      <c r="E435" s="13">
        <v>46735</v>
      </c>
      <c r="F435" s="9" t="s">
        <v>93</v>
      </c>
      <c r="G435" s="9" t="s">
        <v>94</v>
      </c>
      <c r="H435" s="9" t="s">
        <v>140</v>
      </c>
      <c r="I435" s="9" t="s">
        <v>140</v>
      </c>
    </row>
    <row r="436" spans="1:9" x14ac:dyDescent="0.25">
      <c r="A436" s="9">
        <v>13</v>
      </c>
      <c r="B436" s="9" t="s">
        <v>678</v>
      </c>
      <c r="C436" s="13">
        <v>1781875922019330</v>
      </c>
      <c r="D436" s="9" t="s">
        <v>666</v>
      </c>
      <c r="E436" s="13">
        <v>46736</v>
      </c>
      <c r="F436" s="9" t="s">
        <v>98</v>
      </c>
      <c r="G436" s="9" t="s">
        <v>99</v>
      </c>
      <c r="H436" s="9" t="s">
        <v>137</v>
      </c>
      <c r="I436" s="9" t="s">
        <v>138</v>
      </c>
    </row>
    <row r="437" spans="1:9" x14ac:dyDescent="0.25">
      <c r="A437" s="9">
        <v>13</v>
      </c>
      <c r="B437" s="9" t="s">
        <v>679</v>
      </c>
      <c r="C437" s="13">
        <v>1781875937273620</v>
      </c>
      <c r="D437" s="9" t="s">
        <v>666</v>
      </c>
      <c r="E437" s="13">
        <v>61990</v>
      </c>
      <c r="F437" s="9" t="s">
        <v>166</v>
      </c>
      <c r="G437" s="9" t="s">
        <v>167</v>
      </c>
      <c r="H437" s="9" t="s">
        <v>213</v>
      </c>
      <c r="I437" s="9"/>
    </row>
    <row r="438" spans="1:9" x14ac:dyDescent="0.25">
      <c r="A438" s="9">
        <v>13</v>
      </c>
      <c r="B438" s="9" t="s">
        <v>680</v>
      </c>
      <c r="C438" s="13">
        <v>1781875942732150</v>
      </c>
      <c r="D438" s="9" t="s">
        <v>666</v>
      </c>
      <c r="E438" s="13">
        <v>67449</v>
      </c>
      <c r="F438" s="9" t="s">
        <v>93</v>
      </c>
      <c r="G438" s="9" t="s">
        <v>94</v>
      </c>
      <c r="H438" s="9" t="s">
        <v>146</v>
      </c>
      <c r="I438" s="9" t="s">
        <v>146</v>
      </c>
    </row>
    <row r="439" spans="1:9" x14ac:dyDescent="0.25">
      <c r="A439" s="9">
        <v>13</v>
      </c>
      <c r="B439" s="9" t="s">
        <v>681</v>
      </c>
      <c r="C439" s="13">
        <v>1781875942736600</v>
      </c>
      <c r="D439" s="9" t="s">
        <v>666</v>
      </c>
      <c r="E439" s="13">
        <v>67453</v>
      </c>
      <c r="F439" s="9" t="s">
        <v>98</v>
      </c>
      <c r="G439" s="9" t="s">
        <v>99</v>
      </c>
      <c r="H439" s="9" t="s">
        <v>120</v>
      </c>
      <c r="I439" s="9" t="s">
        <v>142</v>
      </c>
    </row>
    <row r="440" spans="1:9" x14ac:dyDescent="0.25">
      <c r="A440" s="9">
        <v>13</v>
      </c>
      <c r="B440" s="9" t="s">
        <v>682</v>
      </c>
      <c r="C440" s="13">
        <v>1781875942744540</v>
      </c>
      <c r="D440" s="9" t="s">
        <v>666</v>
      </c>
      <c r="E440" s="13">
        <v>67461</v>
      </c>
      <c r="F440" s="9" t="s">
        <v>123</v>
      </c>
      <c r="G440" s="9" t="s">
        <v>124</v>
      </c>
      <c r="H440" s="9" t="s">
        <v>120</v>
      </c>
      <c r="I440" s="9" t="s">
        <v>144</v>
      </c>
    </row>
    <row r="441" spans="1:9" x14ac:dyDescent="0.25">
      <c r="A441" s="9">
        <v>13</v>
      </c>
      <c r="B441" s="9" t="s">
        <v>683</v>
      </c>
      <c r="C441" s="13">
        <v>1781875952164470</v>
      </c>
      <c r="D441" s="9" t="s">
        <v>666</v>
      </c>
      <c r="E441" s="13">
        <v>76881</v>
      </c>
      <c r="F441" s="9" t="s">
        <v>123</v>
      </c>
      <c r="G441" s="9" t="s">
        <v>124</v>
      </c>
      <c r="H441" s="9" t="s">
        <v>148</v>
      </c>
      <c r="I441" s="9" t="s">
        <v>149</v>
      </c>
    </row>
    <row r="442" spans="1:9" x14ac:dyDescent="0.25">
      <c r="A442" s="9">
        <v>13</v>
      </c>
      <c r="B442" s="9" t="s">
        <v>684</v>
      </c>
      <c r="C442" s="13">
        <v>1781875952167160</v>
      </c>
      <c r="D442" s="9" t="s">
        <v>666</v>
      </c>
      <c r="E442" s="13">
        <v>76884</v>
      </c>
      <c r="F442" s="9" t="s">
        <v>98</v>
      </c>
      <c r="G442" s="9" t="s">
        <v>99</v>
      </c>
      <c r="H442" s="9" t="s">
        <v>148</v>
      </c>
      <c r="I442" s="9" t="s">
        <v>151</v>
      </c>
    </row>
    <row r="443" spans="1:9" x14ac:dyDescent="0.25">
      <c r="A443" s="9">
        <v>13</v>
      </c>
      <c r="B443" s="9" t="s">
        <v>685</v>
      </c>
      <c r="C443" s="13">
        <v>1781875958134900</v>
      </c>
      <c r="D443" s="9" t="s">
        <v>666</v>
      </c>
      <c r="E443" s="13">
        <v>82851</v>
      </c>
      <c r="F443" s="9" t="s">
        <v>93</v>
      </c>
      <c r="G443" s="9" t="s">
        <v>94</v>
      </c>
      <c r="H443" s="9" t="s">
        <v>153</v>
      </c>
      <c r="I443" s="9" t="s">
        <v>153</v>
      </c>
    </row>
    <row r="444" spans="1:9" x14ac:dyDescent="0.25">
      <c r="A444" s="9">
        <v>13</v>
      </c>
      <c r="B444" s="9" t="s">
        <v>686</v>
      </c>
      <c r="C444" s="13">
        <v>1781875958327730</v>
      </c>
      <c r="D444" s="9" t="s">
        <v>666</v>
      </c>
      <c r="E444" s="13">
        <v>83044</v>
      </c>
      <c r="F444" s="9" t="s">
        <v>98</v>
      </c>
      <c r="G444" s="9" t="s">
        <v>99</v>
      </c>
      <c r="H444" s="9" t="s">
        <v>120</v>
      </c>
      <c r="I444" s="9" t="s">
        <v>155</v>
      </c>
    </row>
    <row r="445" spans="1:9" x14ac:dyDescent="0.25">
      <c r="A445" s="9">
        <v>13</v>
      </c>
      <c r="B445" s="9" t="s">
        <v>687</v>
      </c>
      <c r="C445" s="13">
        <v>1781875958331160</v>
      </c>
      <c r="D445" s="9" t="s">
        <v>666</v>
      </c>
      <c r="E445" s="13">
        <v>83048</v>
      </c>
      <c r="F445" s="9" t="s">
        <v>123</v>
      </c>
      <c r="G445" s="9" t="s">
        <v>124</v>
      </c>
      <c r="H445" s="9" t="s">
        <v>120</v>
      </c>
      <c r="I445" s="9" t="s">
        <v>157</v>
      </c>
    </row>
    <row r="446" spans="1:9" x14ac:dyDescent="0.25">
      <c r="A446" s="9">
        <v>13</v>
      </c>
      <c r="B446" s="9" t="s">
        <v>688</v>
      </c>
      <c r="C446" s="13">
        <v>1781875959865890</v>
      </c>
      <c r="D446" s="9" t="s">
        <v>666</v>
      </c>
      <c r="E446" s="13">
        <v>84582</v>
      </c>
      <c r="F446" s="9" t="s">
        <v>123</v>
      </c>
      <c r="G446" s="9" t="s">
        <v>124</v>
      </c>
      <c r="H446" s="9" t="s">
        <v>120</v>
      </c>
      <c r="I446" s="9" t="s">
        <v>159</v>
      </c>
    </row>
    <row r="447" spans="1:9" x14ac:dyDescent="0.25">
      <c r="A447" s="9">
        <v>13</v>
      </c>
      <c r="B447" s="9" t="s">
        <v>689</v>
      </c>
      <c r="C447" s="13">
        <v>1781876004962600</v>
      </c>
      <c r="D447" s="9" t="s">
        <v>666</v>
      </c>
      <c r="E447" s="13">
        <v>129679</v>
      </c>
      <c r="F447" s="9" t="s">
        <v>123</v>
      </c>
      <c r="G447" s="9" t="s">
        <v>124</v>
      </c>
      <c r="H447" s="9" t="s">
        <v>120</v>
      </c>
      <c r="I447" s="9" t="s">
        <v>260</v>
      </c>
    </row>
    <row r="448" spans="1:9" x14ac:dyDescent="0.25">
      <c r="A448" s="9">
        <v>13</v>
      </c>
      <c r="B448" s="9" t="s">
        <v>690</v>
      </c>
      <c r="C448" s="13">
        <v>1781876004966220</v>
      </c>
      <c r="D448" s="9" t="s">
        <v>666</v>
      </c>
      <c r="E448" s="13">
        <v>129683</v>
      </c>
      <c r="F448" s="9" t="s">
        <v>98</v>
      </c>
      <c r="G448" s="9" t="s">
        <v>99</v>
      </c>
      <c r="H448" s="9" t="s">
        <v>120</v>
      </c>
      <c r="I448" s="9" t="s">
        <v>262</v>
      </c>
    </row>
    <row r="449" spans="1:9" x14ac:dyDescent="0.25">
      <c r="A449" s="9">
        <v>13</v>
      </c>
      <c r="B449" s="9" t="s">
        <v>691</v>
      </c>
      <c r="C449" s="13">
        <v>1781876020863700</v>
      </c>
      <c r="D449" s="9" t="s">
        <v>666</v>
      </c>
      <c r="E449" s="13">
        <v>145580</v>
      </c>
      <c r="F449" s="9" t="s">
        <v>166</v>
      </c>
      <c r="G449" s="9" t="s">
        <v>167</v>
      </c>
      <c r="H449" s="9" t="s">
        <v>692</v>
      </c>
      <c r="I449" s="9"/>
    </row>
    <row r="450" spans="1:9" x14ac:dyDescent="0.25">
      <c r="A450" s="9">
        <v>13</v>
      </c>
      <c r="B450" s="9" t="s">
        <v>693</v>
      </c>
      <c r="C450" s="13">
        <v>1781876043530920</v>
      </c>
      <c r="D450" s="9" t="s">
        <v>666</v>
      </c>
      <c r="E450" s="13">
        <v>168247</v>
      </c>
      <c r="F450" s="9" t="s">
        <v>93</v>
      </c>
      <c r="G450" s="9" t="s">
        <v>94</v>
      </c>
      <c r="H450" s="9" t="s">
        <v>153</v>
      </c>
      <c r="I450" s="9" t="s">
        <v>153</v>
      </c>
    </row>
    <row r="451" spans="1:9" x14ac:dyDescent="0.25">
      <c r="A451" s="9">
        <v>13</v>
      </c>
      <c r="B451" s="9" t="s">
        <v>694</v>
      </c>
      <c r="C451" s="13">
        <v>1781876043534520</v>
      </c>
      <c r="D451" s="9" t="s">
        <v>666</v>
      </c>
      <c r="E451" s="13">
        <v>168251</v>
      </c>
      <c r="F451" s="9" t="s">
        <v>98</v>
      </c>
      <c r="G451" s="9" t="s">
        <v>99</v>
      </c>
      <c r="H451" s="9" t="s">
        <v>120</v>
      </c>
      <c r="I451" s="9" t="s">
        <v>155</v>
      </c>
    </row>
    <row r="452" spans="1:9" x14ac:dyDescent="0.25">
      <c r="A452" s="9">
        <v>13</v>
      </c>
      <c r="B452" s="9" t="s">
        <v>695</v>
      </c>
      <c r="C452" s="13">
        <v>1781876043543360</v>
      </c>
      <c r="D452" s="9" t="s">
        <v>666</v>
      </c>
      <c r="E452" s="13">
        <v>168260</v>
      </c>
      <c r="F452" s="9" t="s">
        <v>123</v>
      </c>
      <c r="G452" s="9" t="s">
        <v>124</v>
      </c>
      <c r="H452" s="9" t="s">
        <v>120</v>
      </c>
      <c r="I452" s="9" t="s">
        <v>157</v>
      </c>
    </row>
    <row r="453" spans="1:9" x14ac:dyDescent="0.25">
      <c r="A453" s="9">
        <v>13</v>
      </c>
      <c r="B453" s="9" t="s">
        <v>696</v>
      </c>
      <c r="C453" s="13">
        <v>1781876045064500</v>
      </c>
      <c r="D453" s="9" t="s">
        <v>666</v>
      </c>
      <c r="E453" s="13">
        <v>169781</v>
      </c>
      <c r="F453" s="9" t="s">
        <v>123</v>
      </c>
      <c r="G453" s="9" t="s">
        <v>124</v>
      </c>
      <c r="H453" s="9" t="s">
        <v>120</v>
      </c>
      <c r="I453" s="9" t="s">
        <v>159</v>
      </c>
    </row>
    <row r="454" spans="1:9" x14ac:dyDescent="0.25">
      <c r="A454" s="9">
        <v>13</v>
      </c>
      <c r="B454" s="9" t="s">
        <v>697</v>
      </c>
      <c r="C454" s="13">
        <v>1781876072464680</v>
      </c>
      <c r="D454" s="9" t="s">
        <v>666</v>
      </c>
      <c r="E454" s="13">
        <v>197181</v>
      </c>
      <c r="F454" s="9" t="s">
        <v>123</v>
      </c>
      <c r="G454" s="9" t="s">
        <v>124</v>
      </c>
      <c r="H454" s="9" t="s">
        <v>161</v>
      </c>
      <c r="I454" s="9" t="s">
        <v>698</v>
      </c>
    </row>
    <row r="455" spans="1:9" x14ac:dyDescent="0.25">
      <c r="A455" s="9">
        <v>13</v>
      </c>
      <c r="B455" s="9" t="s">
        <v>699</v>
      </c>
      <c r="C455" s="13">
        <v>1781876072468280</v>
      </c>
      <c r="D455" s="9" t="s">
        <v>666</v>
      </c>
      <c r="E455" s="13">
        <v>197185</v>
      </c>
      <c r="F455" s="9" t="s">
        <v>98</v>
      </c>
      <c r="G455" s="9" t="s">
        <v>99</v>
      </c>
      <c r="H455" s="9" t="s">
        <v>161</v>
      </c>
      <c r="I455" s="9" t="s">
        <v>700</v>
      </c>
    </row>
    <row r="456" spans="1:9" x14ac:dyDescent="0.25">
      <c r="A456" s="9">
        <v>13</v>
      </c>
      <c r="B456" s="9" t="s">
        <v>701</v>
      </c>
      <c r="C456" s="13">
        <v>1781876102605880</v>
      </c>
      <c r="D456" s="9" t="s">
        <v>666</v>
      </c>
      <c r="E456" s="13">
        <v>227322</v>
      </c>
      <c r="F456" s="9" t="s">
        <v>166</v>
      </c>
      <c r="G456" s="9" t="s">
        <v>167</v>
      </c>
      <c r="H456" s="9" t="s">
        <v>168</v>
      </c>
      <c r="I456" s="9"/>
    </row>
    <row r="457" spans="1:9" x14ac:dyDescent="0.25">
      <c r="A457" s="9">
        <v>13</v>
      </c>
      <c r="B457" s="9" t="s">
        <v>702</v>
      </c>
      <c r="C457" s="13">
        <v>1781876114349100</v>
      </c>
      <c r="D457" s="9" t="s">
        <v>666</v>
      </c>
      <c r="E457" s="13">
        <v>239066</v>
      </c>
      <c r="F457" s="9" t="s">
        <v>93</v>
      </c>
      <c r="G457" s="9" t="s">
        <v>94</v>
      </c>
      <c r="H457" s="9" t="s">
        <v>170</v>
      </c>
      <c r="I457" s="9" t="s">
        <v>170</v>
      </c>
    </row>
    <row r="458" spans="1:9" x14ac:dyDescent="0.25">
      <c r="A458" s="9">
        <v>13</v>
      </c>
      <c r="B458" s="9" t="s">
        <v>703</v>
      </c>
      <c r="C458" s="13">
        <v>1781876114357400</v>
      </c>
      <c r="D458" s="9" t="s">
        <v>666</v>
      </c>
      <c r="E458" s="13">
        <v>239074</v>
      </c>
      <c r="F458" s="9" t="s">
        <v>98</v>
      </c>
      <c r="G458" s="9" t="s">
        <v>99</v>
      </c>
      <c r="H458" s="9" t="s">
        <v>172</v>
      </c>
      <c r="I458" s="9" t="s">
        <v>173</v>
      </c>
    </row>
    <row r="459" spans="1:9" x14ac:dyDescent="0.25">
      <c r="A459" s="9">
        <v>13</v>
      </c>
      <c r="B459" s="9" t="s">
        <v>704</v>
      </c>
      <c r="C459" s="13">
        <v>1781876134503860</v>
      </c>
      <c r="D459" s="9" t="s">
        <v>666</v>
      </c>
      <c r="E459" s="13">
        <v>259220</v>
      </c>
      <c r="F459" s="9" t="s">
        <v>93</v>
      </c>
      <c r="G459" s="9" t="s">
        <v>94</v>
      </c>
      <c r="H459" s="9" t="s">
        <v>175</v>
      </c>
      <c r="I459" s="9" t="s">
        <v>175</v>
      </c>
    </row>
    <row r="460" spans="1:9" x14ac:dyDescent="0.25">
      <c r="A460" s="9">
        <v>13</v>
      </c>
      <c r="B460" s="9" t="s">
        <v>705</v>
      </c>
      <c r="C460" s="13">
        <v>1781876134512010</v>
      </c>
      <c r="D460" s="9" t="s">
        <v>666</v>
      </c>
      <c r="E460" s="13">
        <v>259229</v>
      </c>
      <c r="F460" s="9" t="s">
        <v>98</v>
      </c>
      <c r="G460" s="9" t="s">
        <v>99</v>
      </c>
      <c r="H460" s="9" t="s">
        <v>120</v>
      </c>
      <c r="I460" s="9" t="s">
        <v>177</v>
      </c>
    </row>
    <row r="461" spans="1:9" x14ac:dyDescent="0.25">
      <c r="A461" s="9">
        <v>13</v>
      </c>
      <c r="B461" s="9" t="s">
        <v>706</v>
      </c>
      <c r="C461" s="13">
        <v>1781876141507110</v>
      </c>
      <c r="D461" s="9" t="s">
        <v>666</v>
      </c>
      <c r="E461" s="13">
        <v>266224</v>
      </c>
      <c r="F461" s="9" t="s">
        <v>98</v>
      </c>
      <c r="G461" s="9" t="s">
        <v>99</v>
      </c>
      <c r="H461" s="9" t="s">
        <v>179</v>
      </c>
      <c r="I461" s="9" t="s">
        <v>180</v>
      </c>
    </row>
    <row r="462" spans="1:9" x14ac:dyDescent="0.25">
      <c r="A462" s="9">
        <v>13</v>
      </c>
      <c r="B462" s="9" t="s">
        <v>707</v>
      </c>
      <c r="C462" s="13">
        <v>1781876141507590</v>
      </c>
      <c r="D462" s="9" t="s">
        <v>666</v>
      </c>
      <c r="E462" s="13">
        <v>266224</v>
      </c>
      <c r="F462" s="9" t="s">
        <v>103</v>
      </c>
      <c r="G462" s="9" t="s">
        <v>89</v>
      </c>
      <c r="H462" s="9" t="s">
        <v>179</v>
      </c>
      <c r="I462" s="9"/>
    </row>
    <row r="463" spans="1:9" x14ac:dyDescent="0.25">
      <c r="B463" t="s">
        <v>708</v>
      </c>
      <c r="C463" s="12">
        <v>1781876357380600</v>
      </c>
      <c r="D463" t="s">
        <v>709</v>
      </c>
      <c r="E463" t="s">
        <v>87</v>
      </c>
      <c r="F463" t="s">
        <v>88</v>
      </c>
      <c r="G463" t="s">
        <v>89</v>
      </c>
      <c r="H463" t="s">
        <v>184</v>
      </c>
    </row>
    <row r="464" spans="1:9" x14ac:dyDescent="0.25">
      <c r="B464" t="s">
        <v>710</v>
      </c>
      <c r="C464" s="12">
        <v>1781876357382230</v>
      </c>
      <c r="D464" t="s">
        <v>709</v>
      </c>
      <c r="E464" t="s">
        <v>92</v>
      </c>
      <c r="F464" t="s">
        <v>166</v>
      </c>
      <c r="G464" t="s">
        <v>167</v>
      </c>
      <c r="H464" t="s">
        <v>711</v>
      </c>
    </row>
    <row r="465" spans="1:9" x14ac:dyDescent="0.25">
      <c r="B465" t="s">
        <v>712</v>
      </c>
      <c r="C465" s="12">
        <v>1781876384293770</v>
      </c>
      <c r="D465" t="s">
        <v>709</v>
      </c>
      <c r="E465" s="12">
        <v>26913</v>
      </c>
      <c r="F465" t="s">
        <v>93</v>
      </c>
      <c r="G465" t="s">
        <v>94</v>
      </c>
      <c r="H465" t="s">
        <v>195</v>
      </c>
      <c r="I465" t="s">
        <v>195</v>
      </c>
    </row>
    <row r="466" spans="1:9" x14ac:dyDescent="0.25">
      <c r="B466" t="s">
        <v>713</v>
      </c>
      <c r="C466" s="12">
        <v>1781876393809410</v>
      </c>
      <c r="D466" t="s">
        <v>709</v>
      </c>
      <c r="E466" s="12">
        <v>36429</v>
      </c>
      <c r="F466" t="s">
        <v>103</v>
      </c>
      <c r="G466" t="s">
        <v>89</v>
      </c>
      <c r="H466" t="s">
        <v>104</v>
      </c>
    </row>
    <row r="467" spans="1:9" x14ac:dyDescent="0.25">
      <c r="B467" t="s">
        <v>714</v>
      </c>
      <c r="C467" s="12">
        <v>1781876393811370</v>
      </c>
      <c r="D467" t="s">
        <v>715</v>
      </c>
      <c r="E467" t="s">
        <v>87</v>
      </c>
      <c r="F467" t="s">
        <v>88</v>
      </c>
      <c r="G467" t="s">
        <v>89</v>
      </c>
      <c r="H467" t="s">
        <v>90</v>
      </c>
    </row>
    <row r="468" spans="1:9" x14ac:dyDescent="0.25">
      <c r="A468" s="6">
        <v>14</v>
      </c>
      <c r="B468" s="6" t="s">
        <v>716</v>
      </c>
      <c r="C468" s="11">
        <v>1781876393812500</v>
      </c>
      <c r="D468" s="6" t="s">
        <v>715</v>
      </c>
      <c r="E468" s="6" t="s">
        <v>108</v>
      </c>
      <c r="F468" s="6" t="s">
        <v>93</v>
      </c>
      <c r="G468" s="6" t="s">
        <v>94</v>
      </c>
      <c r="H468" s="6" t="s">
        <v>95</v>
      </c>
      <c r="I468" s="6" t="s">
        <v>95</v>
      </c>
    </row>
    <row r="469" spans="1:9" x14ac:dyDescent="0.25">
      <c r="A469" s="6">
        <v>14</v>
      </c>
      <c r="B469" s="6" t="s">
        <v>717</v>
      </c>
      <c r="C469" s="11">
        <v>1781876393817030</v>
      </c>
      <c r="D469" s="6" t="s">
        <v>715</v>
      </c>
      <c r="E469" s="6" t="s">
        <v>116</v>
      </c>
      <c r="F469" s="6" t="s">
        <v>98</v>
      </c>
      <c r="G469" s="6" t="s">
        <v>99</v>
      </c>
      <c r="H469" s="6" t="s">
        <v>100</v>
      </c>
      <c r="I469" s="6" t="s">
        <v>101</v>
      </c>
    </row>
    <row r="470" spans="1:9" x14ac:dyDescent="0.25">
      <c r="A470" s="6">
        <v>14</v>
      </c>
      <c r="B470" s="6" t="s">
        <v>718</v>
      </c>
      <c r="C470" s="11">
        <v>1781876409666750</v>
      </c>
      <c r="D470" s="6" t="s">
        <v>715</v>
      </c>
      <c r="E470" s="11">
        <v>15856</v>
      </c>
      <c r="F470" s="6" t="s">
        <v>93</v>
      </c>
      <c r="G470" s="6" t="s">
        <v>94</v>
      </c>
      <c r="H470" s="6" t="s">
        <v>118</v>
      </c>
      <c r="I470" s="6" t="s">
        <v>118</v>
      </c>
    </row>
    <row r="471" spans="1:9" x14ac:dyDescent="0.25">
      <c r="A471" s="6">
        <v>14</v>
      </c>
      <c r="B471" s="6" t="s">
        <v>719</v>
      </c>
      <c r="C471" s="11">
        <v>1781876409670510</v>
      </c>
      <c r="D471" s="6" t="s">
        <v>715</v>
      </c>
      <c r="E471" s="11">
        <v>15859</v>
      </c>
      <c r="F471" s="6" t="s">
        <v>98</v>
      </c>
      <c r="G471" s="6" t="s">
        <v>99</v>
      </c>
      <c r="H471" s="6" t="s">
        <v>120</v>
      </c>
      <c r="I471" s="6" t="s">
        <v>121</v>
      </c>
    </row>
    <row r="472" spans="1:9" x14ac:dyDescent="0.25">
      <c r="A472" s="6">
        <v>14</v>
      </c>
      <c r="B472" s="6" t="s">
        <v>720</v>
      </c>
      <c r="C472" s="11">
        <v>1781876409671440</v>
      </c>
      <c r="D472" s="6" t="s">
        <v>715</v>
      </c>
      <c r="E472" s="11">
        <v>15860</v>
      </c>
      <c r="F472" s="6" t="s">
        <v>123</v>
      </c>
      <c r="G472" s="6" t="s">
        <v>124</v>
      </c>
      <c r="H472" s="6" t="s">
        <v>120</v>
      </c>
      <c r="I472" s="6" t="s">
        <v>125</v>
      </c>
    </row>
    <row r="473" spans="1:9" x14ac:dyDescent="0.25">
      <c r="A473" s="6">
        <v>14</v>
      </c>
      <c r="B473" s="6" t="s">
        <v>721</v>
      </c>
      <c r="C473" s="11">
        <v>1781876439566890</v>
      </c>
      <c r="D473" s="6" t="s">
        <v>715</v>
      </c>
      <c r="E473" s="11">
        <v>45756</v>
      </c>
      <c r="F473" s="6" t="s">
        <v>123</v>
      </c>
      <c r="G473" s="6" t="s">
        <v>124</v>
      </c>
      <c r="H473" s="6" t="s">
        <v>127</v>
      </c>
      <c r="I473" s="6" t="s">
        <v>722</v>
      </c>
    </row>
    <row r="474" spans="1:9" x14ac:dyDescent="0.25">
      <c r="A474" s="6">
        <v>14</v>
      </c>
      <c r="B474" s="6" t="s">
        <v>723</v>
      </c>
      <c r="C474" s="11">
        <v>1781876439576420</v>
      </c>
      <c r="D474" s="6" t="s">
        <v>715</v>
      </c>
      <c r="E474" s="11">
        <v>45765</v>
      </c>
      <c r="F474" s="6" t="s">
        <v>98</v>
      </c>
      <c r="G474" s="6" t="s">
        <v>99</v>
      </c>
      <c r="H474" s="6" t="s">
        <v>127</v>
      </c>
      <c r="I474" s="6" t="s">
        <v>724</v>
      </c>
    </row>
    <row r="475" spans="1:9" x14ac:dyDescent="0.25">
      <c r="A475" s="6">
        <v>14</v>
      </c>
      <c r="B475" s="6" t="s">
        <v>725</v>
      </c>
      <c r="C475" s="11">
        <v>1781876441535660</v>
      </c>
      <c r="D475" s="6" t="s">
        <v>715</v>
      </c>
      <c r="E475" s="11">
        <v>47724</v>
      </c>
      <c r="F475" s="6" t="s">
        <v>132</v>
      </c>
      <c r="G475" s="6" t="s">
        <v>133</v>
      </c>
      <c r="H475" s="6" t="s">
        <v>134</v>
      </c>
      <c r="I475" s="6" t="s">
        <v>135</v>
      </c>
    </row>
    <row r="476" spans="1:9" x14ac:dyDescent="0.25">
      <c r="A476" s="6">
        <v>14</v>
      </c>
      <c r="B476" s="6" t="s">
        <v>726</v>
      </c>
      <c r="C476" s="11">
        <v>1781876459905320</v>
      </c>
      <c r="D476" s="6" t="s">
        <v>715</v>
      </c>
      <c r="E476" s="11">
        <v>66094</v>
      </c>
      <c r="F476" s="6" t="s">
        <v>93</v>
      </c>
      <c r="G476" s="6" t="s">
        <v>94</v>
      </c>
      <c r="H476" s="6" t="s">
        <v>140</v>
      </c>
      <c r="I476" s="6" t="s">
        <v>140</v>
      </c>
    </row>
    <row r="477" spans="1:9" x14ac:dyDescent="0.25">
      <c r="A477" s="6">
        <v>14</v>
      </c>
      <c r="B477" s="6" t="s">
        <v>727</v>
      </c>
      <c r="C477" s="11">
        <v>1781876459906920</v>
      </c>
      <c r="D477" s="6" t="s">
        <v>715</v>
      </c>
      <c r="E477" s="11">
        <v>66096</v>
      </c>
      <c r="F477" s="6" t="s">
        <v>98</v>
      </c>
      <c r="G477" s="6" t="s">
        <v>99</v>
      </c>
      <c r="H477" s="6" t="s">
        <v>137</v>
      </c>
      <c r="I477" s="6" t="s">
        <v>138</v>
      </c>
    </row>
    <row r="478" spans="1:9" x14ac:dyDescent="0.25">
      <c r="A478" s="6">
        <v>14</v>
      </c>
      <c r="B478" s="6" t="s">
        <v>728</v>
      </c>
      <c r="C478" s="11">
        <v>1781876469653260</v>
      </c>
      <c r="D478" s="6" t="s">
        <v>715</v>
      </c>
      <c r="E478" s="11">
        <v>75842</v>
      </c>
      <c r="F478" s="6" t="s">
        <v>166</v>
      </c>
      <c r="G478" s="6" t="s">
        <v>167</v>
      </c>
      <c r="H478" s="6" t="s">
        <v>213</v>
      </c>
      <c r="I478" s="6"/>
    </row>
    <row r="479" spans="1:9" x14ac:dyDescent="0.25">
      <c r="A479" s="6">
        <v>14</v>
      </c>
      <c r="B479" s="6" t="s">
        <v>729</v>
      </c>
      <c r="C479" s="11">
        <v>1781876475703840</v>
      </c>
      <c r="D479" s="6" t="s">
        <v>715</v>
      </c>
      <c r="E479" s="11">
        <v>81893</v>
      </c>
      <c r="F479" s="6" t="s">
        <v>93</v>
      </c>
      <c r="G479" s="6" t="s">
        <v>94</v>
      </c>
      <c r="H479" s="6" t="s">
        <v>146</v>
      </c>
      <c r="I479" s="6" t="s">
        <v>146</v>
      </c>
    </row>
    <row r="480" spans="1:9" x14ac:dyDescent="0.25">
      <c r="A480" s="6">
        <v>14</v>
      </c>
      <c r="B480" s="6" t="s">
        <v>730</v>
      </c>
      <c r="C480" s="11">
        <v>1781876475709740</v>
      </c>
      <c r="D480" s="6" t="s">
        <v>715</v>
      </c>
      <c r="E480" s="11">
        <v>81899</v>
      </c>
      <c r="F480" s="6" t="s">
        <v>98</v>
      </c>
      <c r="G480" s="6" t="s">
        <v>99</v>
      </c>
      <c r="H480" s="6" t="s">
        <v>120</v>
      </c>
      <c r="I480" s="6" t="s">
        <v>142</v>
      </c>
    </row>
    <row r="481" spans="1:9" x14ac:dyDescent="0.25">
      <c r="A481" s="6">
        <v>14</v>
      </c>
      <c r="B481" s="6" t="s">
        <v>731</v>
      </c>
      <c r="C481" s="11">
        <v>1781876475716270</v>
      </c>
      <c r="D481" s="6" t="s">
        <v>715</v>
      </c>
      <c r="E481" s="11">
        <v>81905</v>
      </c>
      <c r="F481" s="6" t="s">
        <v>123</v>
      </c>
      <c r="G481" s="6" t="s">
        <v>124</v>
      </c>
      <c r="H481" s="6" t="s">
        <v>120</v>
      </c>
      <c r="I481" s="6" t="s">
        <v>144</v>
      </c>
    </row>
    <row r="482" spans="1:9" x14ac:dyDescent="0.25">
      <c r="A482" s="6">
        <v>14</v>
      </c>
      <c r="B482" s="6" t="s">
        <v>732</v>
      </c>
      <c r="C482" s="11">
        <v>1781876485166090</v>
      </c>
      <c r="D482" s="6" t="s">
        <v>715</v>
      </c>
      <c r="E482" s="11">
        <v>91355</v>
      </c>
      <c r="F482" s="6" t="s">
        <v>123</v>
      </c>
      <c r="G482" s="6" t="s">
        <v>124</v>
      </c>
      <c r="H482" s="6" t="s">
        <v>148</v>
      </c>
      <c r="I482" s="6" t="s">
        <v>149</v>
      </c>
    </row>
    <row r="483" spans="1:9" x14ac:dyDescent="0.25">
      <c r="A483" s="6">
        <v>14</v>
      </c>
      <c r="B483" s="6" t="s">
        <v>733</v>
      </c>
      <c r="C483" s="11">
        <v>1781876485170780</v>
      </c>
      <c r="D483" s="6" t="s">
        <v>715</v>
      </c>
      <c r="E483" s="11">
        <v>91360</v>
      </c>
      <c r="F483" s="6" t="s">
        <v>98</v>
      </c>
      <c r="G483" s="6" t="s">
        <v>99</v>
      </c>
      <c r="H483" s="6" t="s">
        <v>148</v>
      </c>
      <c r="I483" s="6" t="s">
        <v>151</v>
      </c>
    </row>
    <row r="484" spans="1:9" x14ac:dyDescent="0.25">
      <c r="A484" s="6">
        <v>14</v>
      </c>
      <c r="B484" s="6" t="s">
        <v>734</v>
      </c>
      <c r="C484" s="11">
        <v>1781876527392760</v>
      </c>
      <c r="D484" s="6" t="s">
        <v>715</v>
      </c>
      <c r="E484" s="11">
        <v>133582</v>
      </c>
      <c r="F484" s="6" t="s">
        <v>166</v>
      </c>
      <c r="G484" s="6" t="s">
        <v>167</v>
      </c>
      <c r="H484" s="6" t="s">
        <v>582</v>
      </c>
      <c r="I484" s="6"/>
    </row>
    <row r="485" spans="1:9" x14ac:dyDescent="0.25">
      <c r="A485" s="6">
        <v>14</v>
      </c>
      <c r="B485" s="6" t="s">
        <v>735</v>
      </c>
      <c r="C485" s="11">
        <v>1781876567592120</v>
      </c>
      <c r="D485" s="6" t="s">
        <v>715</v>
      </c>
      <c r="E485" s="11">
        <v>173781</v>
      </c>
      <c r="F485" s="6" t="s">
        <v>103</v>
      </c>
      <c r="G485" s="6" t="s">
        <v>89</v>
      </c>
      <c r="H485" s="6" t="s">
        <v>104</v>
      </c>
      <c r="I485" s="6"/>
    </row>
    <row r="486" spans="1:9" x14ac:dyDescent="0.25">
      <c r="B486" t="s">
        <v>736</v>
      </c>
      <c r="C486" s="12">
        <v>1781876567593940</v>
      </c>
      <c r="D486" t="s">
        <v>737</v>
      </c>
      <c r="E486" t="s">
        <v>87</v>
      </c>
      <c r="F486" t="s">
        <v>88</v>
      </c>
      <c r="G486" t="s">
        <v>89</v>
      </c>
      <c r="H486" t="s">
        <v>90</v>
      </c>
    </row>
    <row r="487" spans="1:9" x14ac:dyDescent="0.25">
      <c r="A487" s="9">
        <v>15</v>
      </c>
      <c r="B487" s="9" t="s">
        <v>738</v>
      </c>
      <c r="C487" s="13">
        <v>1781876567595040</v>
      </c>
      <c r="D487" s="9" t="s">
        <v>737</v>
      </c>
      <c r="E487" s="9" t="s">
        <v>108</v>
      </c>
      <c r="F487" s="9" t="s">
        <v>93</v>
      </c>
      <c r="G487" s="9" t="s">
        <v>94</v>
      </c>
      <c r="H487" s="9" t="s">
        <v>95</v>
      </c>
      <c r="I487" s="9" t="s">
        <v>95</v>
      </c>
    </row>
    <row r="488" spans="1:9" x14ac:dyDescent="0.25">
      <c r="A488" s="9">
        <v>15</v>
      </c>
      <c r="B488" s="9" t="s">
        <v>739</v>
      </c>
      <c r="C488" s="13">
        <v>1781876567600690</v>
      </c>
      <c r="D488" s="9" t="s">
        <v>737</v>
      </c>
      <c r="E488" s="9" t="s">
        <v>740</v>
      </c>
      <c r="F488" s="9" t="s">
        <v>98</v>
      </c>
      <c r="G488" s="9" t="s">
        <v>99</v>
      </c>
      <c r="H488" s="9" t="s">
        <v>100</v>
      </c>
      <c r="I488" s="9" t="s">
        <v>101</v>
      </c>
    </row>
    <row r="489" spans="1:9" x14ac:dyDescent="0.25">
      <c r="A489" s="9">
        <v>15</v>
      </c>
      <c r="B489" s="9" t="s">
        <v>741</v>
      </c>
      <c r="C489" s="13">
        <v>1781876580846330</v>
      </c>
      <c r="D489" s="9" t="s">
        <v>737</v>
      </c>
      <c r="E489" s="13">
        <v>13253</v>
      </c>
      <c r="F489" s="9" t="s">
        <v>93</v>
      </c>
      <c r="G489" s="9" t="s">
        <v>94</v>
      </c>
      <c r="H489" s="9" t="s">
        <v>118</v>
      </c>
      <c r="I489" s="9" t="s">
        <v>118</v>
      </c>
    </row>
    <row r="490" spans="1:9" x14ac:dyDescent="0.25">
      <c r="A490" s="9">
        <v>15</v>
      </c>
      <c r="B490" s="9" t="s">
        <v>742</v>
      </c>
      <c r="C490" s="13">
        <v>1781876580846950</v>
      </c>
      <c r="D490" s="9" t="s">
        <v>737</v>
      </c>
      <c r="E490" s="13">
        <v>13253</v>
      </c>
      <c r="F490" s="9" t="s">
        <v>98</v>
      </c>
      <c r="G490" s="9" t="s">
        <v>99</v>
      </c>
      <c r="H490" s="9" t="s">
        <v>120</v>
      </c>
      <c r="I490" s="9" t="s">
        <v>121</v>
      </c>
    </row>
    <row r="491" spans="1:9" x14ac:dyDescent="0.25">
      <c r="A491" s="9">
        <v>15</v>
      </c>
      <c r="B491" s="9" t="s">
        <v>743</v>
      </c>
      <c r="C491" s="13">
        <v>1781876580847300</v>
      </c>
      <c r="D491" s="9" t="s">
        <v>737</v>
      </c>
      <c r="E491" s="13">
        <v>13253</v>
      </c>
      <c r="F491" s="9" t="s">
        <v>123</v>
      </c>
      <c r="G491" s="9" t="s">
        <v>124</v>
      </c>
      <c r="H491" s="9" t="s">
        <v>120</v>
      </c>
      <c r="I491" s="9" t="s">
        <v>125</v>
      </c>
    </row>
    <row r="492" spans="1:9" x14ac:dyDescent="0.25">
      <c r="A492" s="9">
        <v>15</v>
      </c>
      <c r="B492" s="9" t="s">
        <v>744</v>
      </c>
      <c r="C492" s="13">
        <v>1781876599364660</v>
      </c>
      <c r="D492" s="9" t="s">
        <v>737</v>
      </c>
      <c r="E492" s="13">
        <v>31771</v>
      </c>
      <c r="F492" s="9" t="s">
        <v>123</v>
      </c>
      <c r="G492" s="9" t="s">
        <v>124</v>
      </c>
      <c r="H492" s="9" t="s">
        <v>127</v>
      </c>
      <c r="I492" s="9" t="s">
        <v>745</v>
      </c>
    </row>
    <row r="493" spans="1:9" x14ac:dyDescent="0.25">
      <c r="A493" s="9">
        <v>15</v>
      </c>
      <c r="B493" s="9" t="s">
        <v>746</v>
      </c>
      <c r="C493" s="13">
        <v>1781876599367910</v>
      </c>
      <c r="D493" s="9" t="s">
        <v>737</v>
      </c>
      <c r="E493" s="13">
        <v>31774</v>
      </c>
      <c r="F493" s="9" t="s">
        <v>98</v>
      </c>
      <c r="G493" s="9" t="s">
        <v>99</v>
      </c>
      <c r="H493" s="9" t="s">
        <v>127</v>
      </c>
      <c r="I493" s="9" t="s">
        <v>747</v>
      </c>
    </row>
    <row r="494" spans="1:9" x14ac:dyDescent="0.25">
      <c r="A494" s="9">
        <v>15</v>
      </c>
      <c r="B494" s="9" t="s">
        <v>748</v>
      </c>
      <c r="C494" s="13">
        <v>1781876601356960</v>
      </c>
      <c r="D494" s="9" t="s">
        <v>737</v>
      </c>
      <c r="E494" s="13">
        <v>33763</v>
      </c>
      <c r="F494" s="9" t="s">
        <v>132</v>
      </c>
      <c r="G494" s="9" t="s">
        <v>133</v>
      </c>
      <c r="H494" s="9" t="s">
        <v>134</v>
      </c>
      <c r="I494" s="9" t="s">
        <v>135</v>
      </c>
    </row>
    <row r="495" spans="1:9" x14ac:dyDescent="0.25">
      <c r="A495" s="9">
        <v>15</v>
      </c>
      <c r="B495" s="9" t="s">
        <v>749</v>
      </c>
      <c r="C495" s="13">
        <v>1781876618934210</v>
      </c>
      <c r="D495" s="9" t="s">
        <v>737</v>
      </c>
      <c r="E495" s="13">
        <v>51340</v>
      </c>
      <c r="F495" s="9" t="s">
        <v>93</v>
      </c>
      <c r="G495" s="9" t="s">
        <v>94</v>
      </c>
      <c r="H495" s="9" t="s">
        <v>140</v>
      </c>
      <c r="I495" s="9" t="s">
        <v>140</v>
      </c>
    </row>
    <row r="496" spans="1:9" x14ac:dyDescent="0.25">
      <c r="A496" s="9">
        <v>15</v>
      </c>
      <c r="B496" s="9" t="s">
        <v>750</v>
      </c>
      <c r="C496" s="13">
        <v>1781876618935370</v>
      </c>
      <c r="D496" s="9" t="s">
        <v>737</v>
      </c>
      <c r="E496" s="13">
        <v>51342</v>
      </c>
      <c r="F496" s="9" t="s">
        <v>98</v>
      </c>
      <c r="G496" s="9" t="s">
        <v>99</v>
      </c>
      <c r="H496" s="9" t="s">
        <v>137</v>
      </c>
      <c r="I496" s="9" t="s">
        <v>138</v>
      </c>
    </row>
    <row r="497" spans="1:9" x14ac:dyDescent="0.25">
      <c r="A497" s="9">
        <v>15</v>
      </c>
      <c r="B497" s="9" t="s">
        <v>751</v>
      </c>
      <c r="C497" s="13">
        <v>1781876647640440</v>
      </c>
      <c r="D497" s="9" t="s">
        <v>737</v>
      </c>
      <c r="E497" s="13">
        <v>80047</v>
      </c>
      <c r="F497" s="9" t="s">
        <v>166</v>
      </c>
      <c r="G497" s="9" t="s">
        <v>167</v>
      </c>
      <c r="H497" s="9" t="s">
        <v>213</v>
      </c>
      <c r="I497" s="9"/>
    </row>
    <row r="498" spans="1:9" x14ac:dyDescent="0.25">
      <c r="A498" s="9">
        <v>15</v>
      </c>
      <c r="B498" s="9" t="s">
        <v>752</v>
      </c>
      <c r="C498" s="13">
        <v>1781876656350740</v>
      </c>
      <c r="D498" s="9" t="s">
        <v>737</v>
      </c>
      <c r="E498" s="13">
        <v>88757</v>
      </c>
      <c r="F498" s="9" t="s">
        <v>93</v>
      </c>
      <c r="G498" s="9" t="s">
        <v>94</v>
      </c>
      <c r="H498" s="9" t="s">
        <v>146</v>
      </c>
      <c r="I498" s="9" t="s">
        <v>146</v>
      </c>
    </row>
    <row r="499" spans="1:9" x14ac:dyDescent="0.25">
      <c r="A499" s="9">
        <v>15</v>
      </c>
      <c r="B499" s="9" t="s">
        <v>753</v>
      </c>
      <c r="C499" s="13">
        <v>1781876656352270</v>
      </c>
      <c r="D499" s="9" t="s">
        <v>737</v>
      </c>
      <c r="E499" s="13">
        <v>88758</v>
      </c>
      <c r="F499" s="9" t="s">
        <v>98</v>
      </c>
      <c r="G499" s="9" t="s">
        <v>99</v>
      </c>
      <c r="H499" s="9" t="s">
        <v>120</v>
      </c>
      <c r="I499" s="9" t="s">
        <v>142</v>
      </c>
    </row>
    <row r="500" spans="1:9" x14ac:dyDescent="0.25">
      <c r="A500" s="9">
        <v>15</v>
      </c>
      <c r="B500" s="9" t="s">
        <v>754</v>
      </c>
      <c r="C500" s="13">
        <v>1781876656360160</v>
      </c>
      <c r="D500" s="9" t="s">
        <v>737</v>
      </c>
      <c r="E500" s="13">
        <v>88767</v>
      </c>
      <c r="F500" s="9" t="s">
        <v>123</v>
      </c>
      <c r="G500" s="9" t="s">
        <v>124</v>
      </c>
      <c r="H500" s="9" t="s">
        <v>120</v>
      </c>
      <c r="I500" s="9" t="s">
        <v>144</v>
      </c>
    </row>
    <row r="501" spans="1:9" x14ac:dyDescent="0.25">
      <c r="A501" s="9">
        <v>15</v>
      </c>
      <c r="B501" s="9" t="s">
        <v>755</v>
      </c>
      <c r="C501" s="13">
        <v>1781876665765950</v>
      </c>
      <c r="D501" s="9" t="s">
        <v>737</v>
      </c>
      <c r="E501" s="13">
        <v>98172</v>
      </c>
      <c r="F501" s="9" t="s">
        <v>123</v>
      </c>
      <c r="G501" s="9" t="s">
        <v>124</v>
      </c>
      <c r="H501" s="9" t="s">
        <v>148</v>
      </c>
      <c r="I501" s="9" t="s">
        <v>149</v>
      </c>
    </row>
    <row r="502" spans="1:9" x14ac:dyDescent="0.25">
      <c r="A502" s="9">
        <v>15</v>
      </c>
      <c r="B502" s="9" t="s">
        <v>756</v>
      </c>
      <c r="C502" s="13">
        <v>1781876665774670</v>
      </c>
      <c r="D502" s="9" t="s">
        <v>737</v>
      </c>
      <c r="E502" s="13">
        <v>98181</v>
      </c>
      <c r="F502" s="9" t="s">
        <v>98</v>
      </c>
      <c r="G502" s="9" t="s">
        <v>99</v>
      </c>
      <c r="H502" s="9" t="s">
        <v>148</v>
      </c>
      <c r="I502" s="9" t="s">
        <v>151</v>
      </c>
    </row>
    <row r="503" spans="1:9" x14ac:dyDescent="0.25">
      <c r="A503" s="9">
        <v>15</v>
      </c>
      <c r="B503" s="9" t="s">
        <v>757</v>
      </c>
      <c r="C503" s="13">
        <v>1781876674515180</v>
      </c>
      <c r="D503" s="9" t="s">
        <v>737</v>
      </c>
      <c r="E503" s="13">
        <v>106921</v>
      </c>
      <c r="F503" s="9" t="s">
        <v>93</v>
      </c>
      <c r="G503" s="9" t="s">
        <v>94</v>
      </c>
      <c r="H503" s="9" t="s">
        <v>153</v>
      </c>
      <c r="I503" s="9" t="s">
        <v>153</v>
      </c>
    </row>
    <row r="504" spans="1:9" x14ac:dyDescent="0.25">
      <c r="A504" s="9">
        <v>15</v>
      </c>
      <c r="B504" s="9" t="s">
        <v>758</v>
      </c>
      <c r="C504" s="13">
        <v>1781876674522380</v>
      </c>
      <c r="D504" s="9" t="s">
        <v>737</v>
      </c>
      <c r="E504" s="13">
        <v>106929</v>
      </c>
      <c r="F504" s="9" t="s">
        <v>98</v>
      </c>
      <c r="G504" s="9" t="s">
        <v>99</v>
      </c>
      <c r="H504" s="9" t="s">
        <v>120</v>
      </c>
      <c r="I504" s="9" t="s">
        <v>155</v>
      </c>
    </row>
    <row r="505" spans="1:9" x14ac:dyDescent="0.25">
      <c r="A505" s="9">
        <v>15</v>
      </c>
      <c r="B505" s="9" t="s">
        <v>759</v>
      </c>
      <c r="C505" s="13">
        <v>1781876674523040</v>
      </c>
      <c r="D505" s="9" t="s">
        <v>737</v>
      </c>
      <c r="E505" s="13">
        <v>106929</v>
      </c>
      <c r="F505" s="9" t="s">
        <v>123</v>
      </c>
      <c r="G505" s="9" t="s">
        <v>124</v>
      </c>
      <c r="H505" s="9" t="s">
        <v>120</v>
      </c>
      <c r="I505" s="9" t="s">
        <v>157</v>
      </c>
    </row>
    <row r="506" spans="1:9" x14ac:dyDescent="0.25">
      <c r="A506" s="9">
        <v>15</v>
      </c>
      <c r="B506" s="9" t="s">
        <v>760</v>
      </c>
      <c r="C506" s="13">
        <v>1781876676065270</v>
      </c>
      <c r="D506" s="9" t="s">
        <v>737</v>
      </c>
      <c r="E506" s="13">
        <v>108471</v>
      </c>
      <c r="F506" s="9" t="s">
        <v>123</v>
      </c>
      <c r="G506" s="9" t="s">
        <v>124</v>
      </c>
      <c r="H506" s="9" t="s">
        <v>120</v>
      </c>
      <c r="I506" s="9" t="s">
        <v>159</v>
      </c>
    </row>
    <row r="507" spans="1:9" x14ac:dyDescent="0.25">
      <c r="A507" s="9">
        <v>15</v>
      </c>
      <c r="B507" s="9" t="s">
        <v>761</v>
      </c>
      <c r="C507" s="13">
        <v>1781876688963840</v>
      </c>
      <c r="D507" s="9" t="s">
        <v>737</v>
      </c>
      <c r="E507" s="13">
        <v>121370</v>
      </c>
      <c r="F507" s="9" t="s">
        <v>123</v>
      </c>
      <c r="G507" s="9" t="s">
        <v>124</v>
      </c>
      <c r="H507" s="9" t="s">
        <v>161</v>
      </c>
      <c r="I507" s="9" t="s">
        <v>762</v>
      </c>
    </row>
    <row r="508" spans="1:9" x14ac:dyDescent="0.25">
      <c r="A508" s="9">
        <v>15</v>
      </c>
      <c r="B508" s="9" t="s">
        <v>763</v>
      </c>
      <c r="C508" s="13">
        <v>1781876688969140</v>
      </c>
      <c r="D508" s="9" t="s">
        <v>737</v>
      </c>
      <c r="E508" s="13">
        <v>121375</v>
      </c>
      <c r="F508" s="9" t="s">
        <v>98</v>
      </c>
      <c r="G508" s="9" t="s">
        <v>99</v>
      </c>
      <c r="H508" s="9" t="s">
        <v>161</v>
      </c>
      <c r="I508" s="9" t="s">
        <v>764</v>
      </c>
    </row>
    <row r="509" spans="1:9" x14ac:dyDescent="0.25">
      <c r="A509" s="9">
        <v>15</v>
      </c>
      <c r="B509" s="9" t="s">
        <v>765</v>
      </c>
      <c r="C509" s="13">
        <v>1781876748042490</v>
      </c>
      <c r="D509" s="9" t="s">
        <v>737</v>
      </c>
      <c r="E509" s="13">
        <v>180449</v>
      </c>
      <c r="F509" s="9" t="s">
        <v>93</v>
      </c>
      <c r="G509" s="9" t="s">
        <v>94</v>
      </c>
      <c r="H509" s="9" t="s">
        <v>170</v>
      </c>
      <c r="I509" s="9" t="s">
        <v>170</v>
      </c>
    </row>
    <row r="510" spans="1:9" x14ac:dyDescent="0.25">
      <c r="A510" s="9">
        <v>15</v>
      </c>
      <c r="B510" s="9" t="s">
        <v>766</v>
      </c>
      <c r="C510" s="13">
        <v>1781876748063730</v>
      </c>
      <c r="D510" s="9" t="s">
        <v>737</v>
      </c>
      <c r="E510" s="13">
        <v>180470</v>
      </c>
      <c r="F510" s="9" t="s">
        <v>98</v>
      </c>
      <c r="G510" s="9" t="s">
        <v>99</v>
      </c>
      <c r="H510" s="9" t="s">
        <v>172</v>
      </c>
      <c r="I510" s="9" t="s">
        <v>173</v>
      </c>
    </row>
    <row r="511" spans="1:9" x14ac:dyDescent="0.25">
      <c r="A511" s="9">
        <v>15</v>
      </c>
      <c r="B511" s="9" t="s">
        <v>767</v>
      </c>
      <c r="C511" s="13">
        <v>1781876773292600</v>
      </c>
      <c r="D511" s="9" t="s">
        <v>737</v>
      </c>
      <c r="E511" s="13">
        <v>205699</v>
      </c>
      <c r="F511" s="9" t="s">
        <v>93</v>
      </c>
      <c r="G511" s="9" t="s">
        <v>94</v>
      </c>
      <c r="H511" s="9" t="s">
        <v>175</v>
      </c>
      <c r="I511" s="9" t="s">
        <v>175</v>
      </c>
    </row>
    <row r="512" spans="1:9" x14ac:dyDescent="0.25">
      <c r="A512" s="9">
        <v>15</v>
      </c>
      <c r="B512" s="9" t="s">
        <v>768</v>
      </c>
      <c r="C512" s="13">
        <v>1781876773293820</v>
      </c>
      <c r="D512" s="9" t="s">
        <v>737</v>
      </c>
      <c r="E512" s="13">
        <v>205700</v>
      </c>
      <c r="F512" s="9" t="s">
        <v>98</v>
      </c>
      <c r="G512" s="9" t="s">
        <v>99</v>
      </c>
      <c r="H512" s="9" t="s">
        <v>120</v>
      </c>
      <c r="I512" s="9" t="s">
        <v>177</v>
      </c>
    </row>
    <row r="513" spans="1:9" x14ac:dyDescent="0.25">
      <c r="A513" s="9">
        <v>15</v>
      </c>
      <c r="B513" s="9" t="s">
        <v>769</v>
      </c>
      <c r="C513" s="13">
        <v>1781876780301860</v>
      </c>
      <c r="D513" s="9" t="s">
        <v>737</v>
      </c>
      <c r="E513" s="13">
        <v>212708</v>
      </c>
      <c r="F513" s="9" t="s">
        <v>98</v>
      </c>
      <c r="G513" s="9" t="s">
        <v>99</v>
      </c>
      <c r="H513" s="9" t="s">
        <v>179</v>
      </c>
      <c r="I513" s="9" t="s">
        <v>180</v>
      </c>
    </row>
    <row r="514" spans="1:9" x14ac:dyDescent="0.25">
      <c r="A514" s="9">
        <v>15</v>
      </c>
      <c r="B514" s="9" t="s">
        <v>770</v>
      </c>
      <c r="C514" s="13">
        <v>1781876780302550</v>
      </c>
      <c r="D514" s="9" t="s">
        <v>737</v>
      </c>
      <c r="E514" s="13">
        <v>212709</v>
      </c>
      <c r="F514" s="9" t="s">
        <v>103</v>
      </c>
      <c r="G514" s="9" t="s">
        <v>89</v>
      </c>
      <c r="H514" s="9" t="s">
        <v>179</v>
      </c>
      <c r="I514" s="9"/>
    </row>
    <row r="515" spans="1:9" x14ac:dyDescent="0.25">
      <c r="B515" t="s">
        <v>771</v>
      </c>
      <c r="C515" s="12">
        <v>1781876955354190</v>
      </c>
      <c r="D515" t="s">
        <v>772</v>
      </c>
      <c r="E515" t="s">
        <v>87</v>
      </c>
      <c r="F515" t="s">
        <v>88</v>
      </c>
      <c r="G515" t="s">
        <v>89</v>
      </c>
      <c r="H515" t="s">
        <v>184</v>
      </c>
    </row>
    <row r="516" spans="1:9" x14ac:dyDescent="0.25">
      <c r="B516" t="s">
        <v>773</v>
      </c>
      <c r="C516" s="12">
        <v>1781876955355840</v>
      </c>
      <c r="D516" t="s">
        <v>772</v>
      </c>
      <c r="E516" t="s">
        <v>92</v>
      </c>
      <c r="F516" t="s">
        <v>166</v>
      </c>
      <c r="G516" t="s">
        <v>167</v>
      </c>
      <c r="H516" t="s">
        <v>711</v>
      </c>
    </row>
    <row r="517" spans="1:9" x14ac:dyDescent="0.25">
      <c r="B517" t="s">
        <v>774</v>
      </c>
      <c r="C517" s="12">
        <v>1781876977933860</v>
      </c>
      <c r="D517" t="s">
        <v>772</v>
      </c>
      <c r="E517" s="12">
        <v>22580</v>
      </c>
      <c r="F517" t="s">
        <v>103</v>
      </c>
      <c r="G517" t="s">
        <v>89</v>
      </c>
      <c r="H517" t="s">
        <v>104</v>
      </c>
    </row>
    <row r="518" spans="1:9" x14ac:dyDescent="0.25">
      <c r="B518" t="s">
        <v>775</v>
      </c>
      <c r="C518" s="12">
        <v>1781876977935520</v>
      </c>
      <c r="D518" t="s">
        <v>776</v>
      </c>
      <c r="E518" t="s">
        <v>87</v>
      </c>
      <c r="F518" t="s">
        <v>88</v>
      </c>
      <c r="G518" t="s">
        <v>89</v>
      </c>
      <c r="H518" t="s">
        <v>90</v>
      </c>
    </row>
    <row r="519" spans="1:9" x14ac:dyDescent="0.25">
      <c r="B519" t="s">
        <v>777</v>
      </c>
      <c r="C519" s="12">
        <v>1781876977936510</v>
      </c>
      <c r="D519" t="s">
        <v>776</v>
      </c>
      <c r="E519" t="s">
        <v>108</v>
      </c>
      <c r="F519" t="s">
        <v>93</v>
      </c>
      <c r="G519" t="s">
        <v>94</v>
      </c>
      <c r="H519" t="s">
        <v>95</v>
      </c>
      <c r="I519" t="s">
        <v>95</v>
      </c>
    </row>
    <row r="520" spans="1:9" x14ac:dyDescent="0.25">
      <c r="B520" t="s">
        <v>778</v>
      </c>
      <c r="C520" s="12">
        <v>1781876977943430</v>
      </c>
      <c r="D520" t="s">
        <v>776</v>
      </c>
      <c r="E520" t="s">
        <v>588</v>
      </c>
      <c r="F520" t="s">
        <v>98</v>
      </c>
      <c r="G520" t="s">
        <v>99</v>
      </c>
      <c r="H520" t="s">
        <v>100</v>
      </c>
      <c r="I520" t="s">
        <v>101</v>
      </c>
    </row>
    <row r="521" spans="1:9" x14ac:dyDescent="0.25">
      <c r="B521" t="s">
        <v>779</v>
      </c>
      <c r="C521" s="12">
        <v>1781876996856410</v>
      </c>
      <c r="D521" t="s">
        <v>776</v>
      </c>
      <c r="E521" s="12">
        <v>18921</v>
      </c>
      <c r="F521" t="s">
        <v>93</v>
      </c>
      <c r="G521" t="s">
        <v>94</v>
      </c>
      <c r="H521" t="s">
        <v>118</v>
      </c>
      <c r="I521" t="s">
        <v>118</v>
      </c>
    </row>
    <row r="522" spans="1:9" x14ac:dyDescent="0.25">
      <c r="B522" t="s">
        <v>780</v>
      </c>
      <c r="C522" s="12">
        <v>1781876996860580</v>
      </c>
      <c r="D522" t="s">
        <v>776</v>
      </c>
      <c r="E522" s="12">
        <v>18925</v>
      </c>
      <c r="F522" t="s">
        <v>98</v>
      </c>
      <c r="G522" t="s">
        <v>99</v>
      </c>
      <c r="H522" t="s">
        <v>120</v>
      </c>
      <c r="I522" t="s">
        <v>121</v>
      </c>
    </row>
    <row r="523" spans="1:9" x14ac:dyDescent="0.25">
      <c r="B523" t="s">
        <v>781</v>
      </c>
      <c r="C523" s="12">
        <v>1781876996861870</v>
      </c>
      <c r="D523" t="s">
        <v>776</v>
      </c>
      <c r="E523" s="12">
        <v>18926</v>
      </c>
      <c r="F523" t="s">
        <v>123</v>
      </c>
      <c r="G523" t="s">
        <v>124</v>
      </c>
      <c r="H523" t="s">
        <v>120</v>
      </c>
      <c r="I523" t="s">
        <v>125</v>
      </c>
    </row>
    <row r="524" spans="1:9" x14ac:dyDescent="0.25">
      <c r="B524" t="s">
        <v>782</v>
      </c>
      <c r="C524" s="12">
        <v>1781877041864140</v>
      </c>
      <c r="D524" t="s">
        <v>776</v>
      </c>
      <c r="E524" s="12">
        <v>63929</v>
      </c>
      <c r="F524" t="s">
        <v>123</v>
      </c>
      <c r="G524" t="s">
        <v>124</v>
      </c>
      <c r="H524" t="s">
        <v>120</v>
      </c>
      <c r="I524" t="s">
        <v>631</v>
      </c>
    </row>
    <row r="525" spans="1:9" x14ac:dyDescent="0.25">
      <c r="B525" t="s">
        <v>783</v>
      </c>
      <c r="C525" s="12">
        <v>1781877041866000</v>
      </c>
      <c r="D525" t="s">
        <v>776</v>
      </c>
      <c r="E525" s="12">
        <v>63931</v>
      </c>
      <c r="F525" t="s">
        <v>98</v>
      </c>
      <c r="G525" t="s">
        <v>99</v>
      </c>
      <c r="H525" t="s">
        <v>120</v>
      </c>
      <c r="I525" t="s">
        <v>633</v>
      </c>
    </row>
    <row r="526" spans="1:9" x14ac:dyDescent="0.25">
      <c r="B526" t="s">
        <v>784</v>
      </c>
      <c r="C526" s="12">
        <v>1781877065934870</v>
      </c>
      <c r="D526" t="s">
        <v>776</v>
      </c>
      <c r="E526" s="12">
        <v>87999</v>
      </c>
      <c r="F526" t="s">
        <v>93</v>
      </c>
      <c r="G526" t="s">
        <v>94</v>
      </c>
      <c r="H526" t="s">
        <v>195</v>
      </c>
      <c r="I526" t="s">
        <v>195</v>
      </c>
    </row>
    <row r="527" spans="1:9" x14ac:dyDescent="0.25">
      <c r="B527" t="s">
        <v>785</v>
      </c>
      <c r="C527" s="12">
        <v>1781877124299870</v>
      </c>
      <c r="D527" t="s">
        <v>776</v>
      </c>
      <c r="E527" s="12">
        <v>146365</v>
      </c>
      <c r="F527" t="s">
        <v>93</v>
      </c>
      <c r="G527" t="s">
        <v>94</v>
      </c>
      <c r="H527" t="s">
        <v>195</v>
      </c>
      <c r="I527" t="s">
        <v>195</v>
      </c>
    </row>
    <row r="528" spans="1:9" x14ac:dyDescent="0.25">
      <c r="B528" t="s">
        <v>786</v>
      </c>
      <c r="C528" s="12">
        <v>1781877135855100</v>
      </c>
      <c r="D528" t="s">
        <v>776</v>
      </c>
      <c r="E528" s="12">
        <v>157920</v>
      </c>
      <c r="F528" t="s">
        <v>103</v>
      </c>
      <c r="G528" t="s">
        <v>89</v>
      </c>
      <c r="H528" t="s">
        <v>104</v>
      </c>
    </row>
    <row r="529" spans="1:9" x14ac:dyDescent="0.25">
      <c r="B529" t="s">
        <v>787</v>
      </c>
      <c r="C529" s="12">
        <v>1781877135856900</v>
      </c>
      <c r="D529" t="s">
        <v>788</v>
      </c>
      <c r="E529" t="s">
        <v>87</v>
      </c>
      <c r="F529" t="s">
        <v>88</v>
      </c>
      <c r="G529" t="s">
        <v>89</v>
      </c>
      <c r="H529" t="s">
        <v>90</v>
      </c>
    </row>
    <row r="530" spans="1:9" x14ac:dyDescent="0.25">
      <c r="A530" s="6">
        <v>16</v>
      </c>
      <c r="B530" s="6" t="s">
        <v>789</v>
      </c>
      <c r="C530" s="11">
        <v>1781877135863720</v>
      </c>
      <c r="D530" s="6" t="s">
        <v>788</v>
      </c>
      <c r="E530" s="6" t="s">
        <v>740</v>
      </c>
      <c r="F530" s="6" t="s">
        <v>93</v>
      </c>
      <c r="G530" s="6" t="s">
        <v>94</v>
      </c>
      <c r="H530" s="6" t="s">
        <v>95</v>
      </c>
      <c r="I530" s="6" t="s">
        <v>95</v>
      </c>
    </row>
    <row r="531" spans="1:9" x14ac:dyDescent="0.25">
      <c r="A531" s="6">
        <v>16</v>
      </c>
      <c r="B531" s="6" t="s">
        <v>790</v>
      </c>
      <c r="C531" s="11">
        <v>1781877135871710</v>
      </c>
      <c r="D531" s="6" t="s">
        <v>788</v>
      </c>
      <c r="E531" s="6" t="s">
        <v>791</v>
      </c>
      <c r="F531" s="6" t="s">
        <v>98</v>
      </c>
      <c r="G531" s="6" t="s">
        <v>99</v>
      </c>
      <c r="H531" s="6" t="s">
        <v>100</v>
      </c>
      <c r="I531" s="6" t="s">
        <v>101</v>
      </c>
    </row>
    <row r="532" spans="1:9" x14ac:dyDescent="0.25">
      <c r="A532" s="6">
        <v>16</v>
      </c>
      <c r="B532" s="6" t="s">
        <v>792</v>
      </c>
      <c r="C532" s="11">
        <v>1781877148698630</v>
      </c>
      <c r="D532" s="6" t="s">
        <v>788</v>
      </c>
      <c r="E532" s="11">
        <v>12842</v>
      </c>
      <c r="F532" s="6" t="s">
        <v>93</v>
      </c>
      <c r="G532" s="6" t="s">
        <v>94</v>
      </c>
      <c r="H532" s="6" t="s">
        <v>118</v>
      </c>
      <c r="I532" s="6" t="s">
        <v>118</v>
      </c>
    </row>
    <row r="533" spans="1:9" x14ac:dyDescent="0.25">
      <c r="A533" s="6">
        <v>16</v>
      </c>
      <c r="B533" s="6" t="s">
        <v>793</v>
      </c>
      <c r="C533" s="11">
        <v>1781877148702090</v>
      </c>
      <c r="D533" s="6" t="s">
        <v>788</v>
      </c>
      <c r="E533" s="11">
        <v>12845</v>
      </c>
      <c r="F533" s="6" t="s">
        <v>98</v>
      </c>
      <c r="G533" s="6" t="s">
        <v>99</v>
      </c>
      <c r="H533" s="6" t="s">
        <v>120</v>
      </c>
      <c r="I533" s="6" t="s">
        <v>121</v>
      </c>
    </row>
    <row r="534" spans="1:9" x14ac:dyDescent="0.25">
      <c r="A534" s="6">
        <v>16</v>
      </c>
      <c r="B534" s="6" t="s">
        <v>794</v>
      </c>
      <c r="C534" s="11">
        <v>1781877148704880</v>
      </c>
      <c r="D534" s="6" t="s">
        <v>788</v>
      </c>
      <c r="E534" s="11">
        <v>12848</v>
      </c>
      <c r="F534" s="6" t="s">
        <v>123</v>
      </c>
      <c r="G534" s="6" t="s">
        <v>124</v>
      </c>
      <c r="H534" s="6" t="s">
        <v>120</v>
      </c>
      <c r="I534" s="6" t="s">
        <v>125</v>
      </c>
    </row>
    <row r="535" spans="1:9" x14ac:dyDescent="0.25">
      <c r="A535" s="6">
        <v>16</v>
      </c>
      <c r="B535" s="6" t="s">
        <v>795</v>
      </c>
      <c r="C535" s="11">
        <v>1781877162063420</v>
      </c>
      <c r="D535" s="6" t="s">
        <v>788</v>
      </c>
      <c r="E535" s="11">
        <v>26207</v>
      </c>
      <c r="F535" s="6" t="s">
        <v>123</v>
      </c>
      <c r="G535" s="6" t="s">
        <v>124</v>
      </c>
      <c r="H535" s="6" t="s">
        <v>127</v>
      </c>
      <c r="I535" s="6" t="s">
        <v>796</v>
      </c>
    </row>
    <row r="536" spans="1:9" x14ac:dyDescent="0.25">
      <c r="A536" s="6">
        <v>16</v>
      </c>
      <c r="B536" s="6" t="s">
        <v>797</v>
      </c>
      <c r="C536" s="11">
        <v>1781877162068110</v>
      </c>
      <c r="D536" s="6" t="s">
        <v>788</v>
      </c>
      <c r="E536" s="11">
        <v>26211</v>
      </c>
      <c r="F536" s="6" t="s">
        <v>98</v>
      </c>
      <c r="G536" s="6" t="s">
        <v>99</v>
      </c>
      <c r="H536" s="6" t="s">
        <v>127</v>
      </c>
      <c r="I536" s="6" t="s">
        <v>798</v>
      </c>
    </row>
    <row r="537" spans="1:9" x14ac:dyDescent="0.25">
      <c r="A537" s="6">
        <v>16</v>
      </c>
      <c r="B537" s="6" t="s">
        <v>799</v>
      </c>
      <c r="C537" s="11">
        <v>1781877163992050</v>
      </c>
      <c r="D537" s="6" t="s">
        <v>788</v>
      </c>
      <c r="E537" s="11">
        <v>28135</v>
      </c>
      <c r="F537" s="6" t="s">
        <v>132</v>
      </c>
      <c r="G537" s="6" t="s">
        <v>133</v>
      </c>
      <c r="H537" s="6" t="s">
        <v>309</v>
      </c>
      <c r="I537" s="6" t="s">
        <v>800</v>
      </c>
    </row>
    <row r="538" spans="1:9" x14ac:dyDescent="0.25">
      <c r="A538" s="6">
        <v>16</v>
      </c>
      <c r="B538" s="6" t="s">
        <v>801</v>
      </c>
      <c r="C538" s="11">
        <v>1781877166897730</v>
      </c>
      <c r="D538" s="6" t="s">
        <v>788</v>
      </c>
      <c r="E538" s="11">
        <v>31041</v>
      </c>
      <c r="F538" s="6" t="s">
        <v>93</v>
      </c>
      <c r="G538" s="6" t="s">
        <v>94</v>
      </c>
      <c r="H538" s="6" t="s">
        <v>140</v>
      </c>
      <c r="I538" s="6" t="s">
        <v>140</v>
      </c>
    </row>
    <row r="539" spans="1:9" x14ac:dyDescent="0.25">
      <c r="A539" s="6">
        <v>16</v>
      </c>
      <c r="B539" s="6" t="s">
        <v>802</v>
      </c>
      <c r="C539" s="11">
        <v>1781877166898930</v>
      </c>
      <c r="D539" s="6" t="s">
        <v>788</v>
      </c>
      <c r="E539" s="11">
        <v>31042</v>
      </c>
      <c r="F539" s="6" t="s">
        <v>98</v>
      </c>
      <c r="G539" s="6" t="s">
        <v>99</v>
      </c>
      <c r="H539" s="6" t="s">
        <v>137</v>
      </c>
      <c r="I539" s="6" t="s">
        <v>313</v>
      </c>
    </row>
    <row r="540" spans="1:9" x14ac:dyDescent="0.25">
      <c r="A540" s="6">
        <v>16</v>
      </c>
      <c r="B540" s="6" t="s">
        <v>803</v>
      </c>
      <c r="C540" s="11">
        <v>1781877174984080</v>
      </c>
      <c r="D540" s="6" t="s">
        <v>788</v>
      </c>
      <c r="E540" s="11">
        <v>39127</v>
      </c>
      <c r="F540" s="6" t="s">
        <v>166</v>
      </c>
      <c r="G540" s="6" t="s">
        <v>167</v>
      </c>
      <c r="H540" s="6" t="s">
        <v>213</v>
      </c>
      <c r="I540" s="6"/>
    </row>
    <row r="541" spans="1:9" x14ac:dyDescent="0.25">
      <c r="A541" s="6">
        <v>16</v>
      </c>
      <c r="B541" s="6" t="s">
        <v>804</v>
      </c>
      <c r="C541" s="11">
        <v>1781877181595110</v>
      </c>
      <c r="D541" s="6" t="s">
        <v>788</v>
      </c>
      <c r="E541" s="11">
        <v>45738</v>
      </c>
      <c r="F541" s="6" t="s">
        <v>93</v>
      </c>
      <c r="G541" s="6" t="s">
        <v>94</v>
      </c>
      <c r="H541" s="6" t="s">
        <v>146</v>
      </c>
      <c r="I541" s="6" t="s">
        <v>146</v>
      </c>
    </row>
    <row r="542" spans="1:9" x14ac:dyDescent="0.25">
      <c r="A542" s="6">
        <v>16</v>
      </c>
      <c r="B542" s="6" t="s">
        <v>805</v>
      </c>
      <c r="C542" s="11">
        <v>1781877181606960</v>
      </c>
      <c r="D542" s="6" t="s">
        <v>788</v>
      </c>
      <c r="E542" s="11">
        <v>45750</v>
      </c>
      <c r="F542" s="6" t="s">
        <v>98</v>
      </c>
      <c r="G542" s="6" t="s">
        <v>99</v>
      </c>
      <c r="H542" s="6" t="s">
        <v>120</v>
      </c>
      <c r="I542" s="6" t="s">
        <v>142</v>
      </c>
    </row>
    <row r="543" spans="1:9" x14ac:dyDescent="0.25">
      <c r="A543" s="6">
        <v>16</v>
      </c>
      <c r="B543" s="6" t="s">
        <v>806</v>
      </c>
      <c r="C543" s="11">
        <v>1781877181612500</v>
      </c>
      <c r="D543" s="6" t="s">
        <v>788</v>
      </c>
      <c r="E543" s="11">
        <v>45756</v>
      </c>
      <c r="F543" s="6" t="s">
        <v>123</v>
      </c>
      <c r="G543" s="6" t="s">
        <v>124</v>
      </c>
      <c r="H543" s="6" t="s">
        <v>120</v>
      </c>
      <c r="I543" s="6" t="s">
        <v>144</v>
      </c>
    </row>
    <row r="544" spans="1:9" x14ac:dyDescent="0.25">
      <c r="A544" s="6">
        <v>16</v>
      </c>
      <c r="B544" s="6" t="s">
        <v>807</v>
      </c>
      <c r="C544" s="11">
        <v>1781877191065460</v>
      </c>
      <c r="D544" s="6" t="s">
        <v>788</v>
      </c>
      <c r="E544" s="11">
        <v>55209</v>
      </c>
      <c r="F544" s="6" t="s">
        <v>123</v>
      </c>
      <c r="G544" s="6" t="s">
        <v>124</v>
      </c>
      <c r="H544" s="6" t="s">
        <v>148</v>
      </c>
      <c r="I544" s="6" t="s">
        <v>149</v>
      </c>
    </row>
    <row r="545" spans="1:9" x14ac:dyDescent="0.25">
      <c r="A545" s="6">
        <v>16</v>
      </c>
      <c r="B545" s="6" t="s">
        <v>808</v>
      </c>
      <c r="C545" s="11">
        <v>1781877191066600</v>
      </c>
      <c r="D545" s="6" t="s">
        <v>788</v>
      </c>
      <c r="E545" s="11">
        <v>55210</v>
      </c>
      <c r="F545" s="6" t="s">
        <v>98</v>
      </c>
      <c r="G545" s="6" t="s">
        <v>99</v>
      </c>
      <c r="H545" s="6" t="s">
        <v>148</v>
      </c>
      <c r="I545" s="6" t="s">
        <v>151</v>
      </c>
    </row>
    <row r="546" spans="1:9" x14ac:dyDescent="0.25">
      <c r="A546" s="6">
        <v>16</v>
      </c>
      <c r="B546" s="6" t="s">
        <v>809</v>
      </c>
      <c r="C546" s="11">
        <v>1781877194680300</v>
      </c>
      <c r="D546" s="6" t="s">
        <v>788</v>
      </c>
      <c r="E546" s="11">
        <v>58824</v>
      </c>
      <c r="F546" s="6" t="s">
        <v>93</v>
      </c>
      <c r="G546" s="6" t="s">
        <v>94</v>
      </c>
      <c r="H546" s="6" t="s">
        <v>153</v>
      </c>
      <c r="I546" s="6" t="s">
        <v>153</v>
      </c>
    </row>
    <row r="547" spans="1:9" x14ac:dyDescent="0.25">
      <c r="A547" s="6">
        <v>16</v>
      </c>
      <c r="B547" s="6" t="s">
        <v>810</v>
      </c>
      <c r="C547" s="11">
        <v>1781877194685810</v>
      </c>
      <c r="D547" s="6" t="s">
        <v>788</v>
      </c>
      <c r="E547" s="11">
        <v>58829</v>
      </c>
      <c r="F547" s="6" t="s">
        <v>98</v>
      </c>
      <c r="G547" s="6" t="s">
        <v>99</v>
      </c>
      <c r="H547" s="6" t="s">
        <v>120</v>
      </c>
      <c r="I547" s="6" t="s">
        <v>155</v>
      </c>
    </row>
    <row r="548" spans="1:9" x14ac:dyDescent="0.25">
      <c r="A548" s="6">
        <v>16</v>
      </c>
      <c r="B548" s="6" t="s">
        <v>811</v>
      </c>
      <c r="C548" s="11">
        <v>1781877194689200</v>
      </c>
      <c r="D548" s="6" t="s">
        <v>788</v>
      </c>
      <c r="E548" s="11">
        <v>58832</v>
      </c>
      <c r="F548" s="6" t="s">
        <v>123</v>
      </c>
      <c r="G548" s="6" t="s">
        <v>124</v>
      </c>
      <c r="H548" s="6" t="s">
        <v>120</v>
      </c>
      <c r="I548" s="6" t="s">
        <v>157</v>
      </c>
    </row>
    <row r="549" spans="1:9" x14ac:dyDescent="0.25">
      <c r="A549" s="6">
        <v>16</v>
      </c>
      <c r="B549" s="6" t="s">
        <v>812</v>
      </c>
      <c r="C549" s="11">
        <v>1781877196264200</v>
      </c>
      <c r="D549" s="6" t="s">
        <v>788</v>
      </c>
      <c r="E549" s="11">
        <v>60407</v>
      </c>
      <c r="F549" s="6" t="s">
        <v>123</v>
      </c>
      <c r="G549" s="6" t="s">
        <v>124</v>
      </c>
      <c r="H549" s="6" t="s">
        <v>120</v>
      </c>
      <c r="I549" s="6" t="s">
        <v>159</v>
      </c>
    </row>
    <row r="550" spans="1:9" x14ac:dyDescent="0.25">
      <c r="A550" s="6">
        <v>16</v>
      </c>
      <c r="B550" s="6" t="s">
        <v>813</v>
      </c>
      <c r="C550" s="11">
        <v>1781877241363090</v>
      </c>
      <c r="D550" s="6" t="s">
        <v>788</v>
      </c>
      <c r="E550" s="11">
        <v>105506</v>
      </c>
      <c r="F550" s="6" t="s">
        <v>123</v>
      </c>
      <c r="G550" s="6" t="s">
        <v>124</v>
      </c>
      <c r="H550" s="6" t="s">
        <v>120</v>
      </c>
      <c r="I550" s="6" t="s">
        <v>260</v>
      </c>
    </row>
    <row r="551" spans="1:9" x14ac:dyDescent="0.25">
      <c r="A551" s="6">
        <v>16</v>
      </c>
      <c r="B551" s="6" t="s">
        <v>814</v>
      </c>
      <c r="C551" s="11">
        <v>1781877241364270</v>
      </c>
      <c r="D551" s="6" t="s">
        <v>788</v>
      </c>
      <c r="E551" s="11">
        <v>105508</v>
      </c>
      <c r="F551" s="6" t="s">
        <v>98</v>
      </c>
      <c r="G551" s="6" t="s">
        <v>99</v>
      </c>
      <c r="H551" s="6" t="s">
        <v>120</v>
      </c>
      <c r="I551" s="6" t="s">
        <v>262</v>
      </c>
    </row>
    <row r="552" spans="1:9" x14ac:dyDescent="0.25">
      <c r="A552" s="6">
        <v>16</v>
      </c>
      <c r="B552" s="6" t="s">
        <v>815</v>
      </c>
      <c r="C552" s="11">
        <v>1781877246341010</v>
      </c>
      <c r="D552" s="6" t="s">
        <v>788</v>
      </c>
      <c r="E552" s="11">
        <v>110484</v>
      </c>
      <c r="F552" s="6" t="s">
        <v>166</v>
      </c>
      <c r="G552" s="6" t="s">
        <v>167</v>
      </c>
      <c r="H552" s="6" t="s">
        <v>692</v>
      </c>
      <c r="I552" s="6"/>
    </row>
    <row r="553" spans="1:9" x14ac:dyDescent="0.25">
      <c r="A553" s="6">
        <v>16</v>
      </c>
      <c r="B553" s="6" t="s">
        <v>816</v>
      </c>
      <c r="C553" s="11">
        <v>1781877284555890</v>
      </c>
      <c r="D553" s="6" t="s">
        <v>788</v>
      </c>
      <c r="E553" s="11">
        <v>148699</v>
      </c>
      <c r="F553" s="6" t="s">
        <v>93</v>
      </c>
      <c r="G553" s="6" t="s">
        <v>94</v>
      </c>
      <c r="H553" s="6" t="s">
        <v>153</v>
      </c>
      <c r="I553" s="6" t="s">
        <v>153</v>
      </c>
    </row>
    <row r="554" spans="1:9" x14ac:dyDescent="0.25">
      <c r="A554" s="6">
        <v>16</v>
      </c>
      <c r="B554" s="6" t="s">
        <v>817</v>
      </c>
      <c r="C554" s="11">
        <v>1781877284560630</v>
      </c>
      <c r="D554" s="6" t="s">
        <v>788</v>
      </c>
      <c r="E554" s="11">
        <v>148704</v>
      </c>
      <c r="F554" s="6" t="s">
        <v>98</v>
      </c>
      <c r="G554" s="6" t="s">
        <v>99</v>
      </c>
      <c r="H554" s="6" t="s">
        <v>120</v>
      </c>
      <c r="I554" s="6" t="s">
        <v>155</v>
      </c>
    </row>
    <row r="555" spans="1:9" x14ac:dyDescent="0.25">
      <c r="A555" s="6">
        <v>16</v>
      </c>
      <c r="B555" s="6" t="s">
        <v>818</v>
      </c>
      <c r="C555" s="11">
        <v>1781877284561200</v>
      </c>
      <c r="D555" s="6" t="s">
        <v>788</v>
      </c>
      <c r="E555" s="11">
        <v>148704</v>
      </c>
      <c r="F555" s="6" t="s">
        <v>123</v>
      </c>
      <c r="G555" s="6" t="s">
        <v>124</v>
      </c>
      <c r="H555" s="6" t="s">
        <v>120</v>
      </c>
      <c r="I555" s="6" t="s">
        <v>157</v>
      </c>
    </row>
    <row r="556" spans="1:9" x14ac:dyDescent="0.25">
      <c r="A556" s="6">
        <v>16</v>
      </c>
      <c r="B556" s="6" t="s">
        <v>819</v>
      </c>
      <c r="C556" s="11">
        <v>1781877286064800</v>
      </c>
      <c r="D556" s="6" t="s">
        <v>788</v>
      </c>
      <c r="E556" s="11">
        <v>150208</v>
      </c>
      <c r="F556" s="6" t="s">
        <v>123</v>
      </c>
      <c r="G556" s="6" t="s">
        <v>124</v>
      </c>
      <c r="H556" s="6" t="s">
        <v>120</v>
      </c>
      <c r="I556" s="6" t="s">
        <v>159</v>
      </c>
    </row>
    <row r="557" spans="1:9" x14ac:dyDescent="0.25">
      <c r="A557" s="6">
        <v>16</v>
      </c>
      <c r="B557" s="6" t="s">
        <v>820</v>
      </c>
      <c r="C557" s="11">
        <v>1781877331162480</v>
      </c>
      <c r="D557" s="6" t="s">
        <v>788</v>
      </c>
      <c r="E557" s="11">
        <v>195306</v>
      </c>
      <c r="F557" s="6" t="s">
        <v>123</v>
      </c>
      <c r="G557" s="6" t="s">
        <v>124</v>
      </c>
      <c r="H557" s="6" t="s">
        <v>120</v>
      </c>
      <c r="I557" s="6" t="s">
        <v>260</v>
      </c>
    </row>
    <row r="558" spans="1:9" x14ac:dyDescent="0.25">
      <c r="A558" s="6">
        <v>16</v>
      </c>
      <c r="B558" s="6" t="s">
        <v>821</v>
      </c>
      <c r="C558" s="11">
        <v>1781877331163660</v>
      </c>
      <c r="D558" s="6" t="s">
        <v>788</v>
      </c>
      <c r="E558" s="11">
        <v>195307</v>
      </c>
      <c r="F558" s="6" t="s">
        <v>98</v>
      </c>
      <c r="G558" s="6" t="s">
        <v>99</v>
      </c>
      <c r="H558" s="6" t="s">
        <v>120</v>
      </c>
      <c r="I558" s="6" t="s">
        <v>262</v>
      </c>
    </row>
    <row r="559" spans="1:9" x14ac:dyDescent="0.25">
      <c r="A559" s="6">
        <v>16</v>
      </c>
      <c r="B559" s="6" t="s">
        <v>822</v>
      </c>
      <c r="C559" s="11">
        <v>1781877340799530</v>
      </c>
      <c r="D559" s="6" t="s">
        <v>788</v>
      </c>
      <c r="E559" s="11">
        <v>204943</v>
      </c>
      <c r="F559" s="6" t="s">
        <v>166</v>
      </c>
      <c r="G559" s="6" t="s">
        <v>167</v>
      </c>
      <c r="H559" s="6" t="s">
        <v>823</v>
      </c>
      <c r="I559" s="6"/>
    </row>
    <row r="560" spans="1:9" x14ac:dyDescent="0.25">
      <c r="A560" s="6">
        <v>16</v>
      </c>
      <c r="B560" s="6" t="s">
        <v>824</v>
      </c>
      <c r="C560" s="11">
        <v>1781877359512580</v>
      </c>
      <c r="D560" s="6" t="s">
        <v>788</v>
      </c>
      <c r="E560" s="11">
        <v>223656</v>
      </c>
      <c r="F560" s="6" t="s">
        <v>93</v>
      </c>
      <c r="G560" s="6" t="s">
        <v>94</v>
      </c>
      <c r="H560" s="6" t="s">
        <v>153</v>
      </c>
      <c r="I560" s="6" t="s">
        <v>153</v>
      </c>
    </row>
    <row r="561" spans="1:9" x14ac:dyDescent="0.25">
      <c r="A561" s="6">
        <v>16</v>
      </c>
      <c r="B561" s="6" t="s">
        <v>825</v>
      </c>
      <c r="C561" s="11">
        <v>1781877359519550</v>
      </c>
      <c r="D561" s="6" t="s">
        <v>788</v>
      </c>
      <c r="E561" s="11">
        <v>223663</v>
      </c>
      <c r="F561" s="6" t="s">
        <v>98</v>
      </c>
      <c r="G561" s="6" t="s">
        <v>99</v>
      </c>
      <c r="H561" s="6" t="s">
        <v>120</v>
      </c>
      <c r="I561" s="6" t="s">
        <v>155</v>
      </c>
    </row>
    <row r="562" spans="1:9" x14ac:dyDescent="0.25">
      <c r="A562" s="6">
        <v>16</v>
      </c>
      <c r="B562" s="6" t="s">
        <v>826</v>
      </c>
      <c r="C562" s="11">
        <v>1781877359520200</v>
      </c>
      <c r="D562" s="6" t="s">
        <v>788</v>
      </c>
      <c r="E562" s="11">
        <v>223663</v>
      </c>
      <c r="F562" s="6" t="s">
        <v>123</v>
      </c>
      <c r="G562" s="6" t="s">
        <v>124</v>
      </c>
      <c r="H562" s="6" t="s">
        <v>120</v>
      </c>
      <c r="I562" s="6" t="s">
        <v>157</v>
      </c>
    </row>
    <row r="563" spans="1:9" x14ac:dyDescent="0.25">
      <c r="A563" s="6">
        <v>16</v>
      </c>
      <c r="B563" s="6" t="s">
        <v>827</v>
      </c>
      <c r="C563" s="11">
        <v>1781877361064330</v>
      </c>
      <c r="D563" s="6" t="s">
        <v>788</v>
      </c>
      <c r="E563" s="11">
        <v>225208</v>
      </c>
      <c r="F563" s="6" t="s">
        <v>123</v>
      </c>
      <c r="G563" s="6" t="s">
        <v>124</v>
      </c>
      <c r="H563" s="6" t="s">
        <v>120</v>
      </c>
      <c r="I563" s="6" t="s">
        <v>159</v>
      </c>
    </row>
    <row r="564" spans="1:9" x14ac:dyDescent="0.25">
      <c r="A564" s="6">
        <v>16</v>
      </c>
      <c r="B564" s="6" t="s">
        <v>828</v>
      </c>
      <c r="C564" s="11">
        <v>1781877406162710</v>
      </c>
      <c r="D564" s="6" t="s">
        <v>788</v>
      </c>
      <c r="E564" s="11">
        <v>270306</v>
      </c>
      <c r="F564" s="6" t="s">
        <v>123</v>
      </c>
      <c r="G564" s="6" t="s">
        <v>124</v>
      </c>
      <c r="H564" s="6" t="s">
        <v>120</v>
      </c>
      <c r="I564" s="6" t="s">
        <v>260</v>
      </c>
    </row>
    <row r="565" spans="1:9" x14ac:dyDescent="0.25">
      <c r="A565" s="6">
        <v>16</v>
      </c>
      <c r="B565" s="6" t="s">
        <v>829</v>
      </c>
      <c r="C565" s="11">
        <v>1781877406163950</v>
      </c>
      <c r="D565" s="6" t="s">
        <v>788</v>
      </c>
      <c r="E565" s="11">
        <v>270307</v>
      </c>
      <c r="F565" s="6" t="s">
        <v>98</v>
      </c>
      <c r="G565" s="6" t="s">
        <v>99</v>
      </c>
      <c r="H565" s="6" t="s">
        <v>120</v>
      </c>
      <c r="I565" s="6" t="s">
        <v>262</v>
      </c>
    </row>
    <row r="566" spans="1:9" x14ac:dyDescent="0.25">
      <c r="A566" s="6">
        <v>16</v>
      </c>
      <c r="B566" s="6" t="s">
        <v>830</v>
      </c>
      <c r="C566" s="11">
        <v>1781877415248550</v>
      </c>
      <c r="D566" s="6" t="s">
        <v>788</v>
      </c>
      <c r="E566" s="11">
        <v>279392</v>
      </c>
      <c r="F566" s="6" t="s">
        <v>93</v>
      </c>
      <c r="G566" s="6" t="s">
        <v>94</v>
      </c>
      <c r="H566" s="6" t="s">
        <v>153</v>
      </c>
      <c r="I566" s="6" t="s">
        <v>153</v>
      </c>
    </row>
    <row r="567" spans="1:9" x14ac:dyDescent="0.25">
      <c r="A567" s="6">
        <v>16</v>
      </c>
      <c r="B567" s="6" t="s">
        <v>831</v>
      </c>
      <c r="C567" s="11">
        <v>1781877415253880</v>
      </c>
      <c r="D567" s="6" t="s">
        <v>788</v>
      </c>
      <c r="E567" s="11">
        <v>279397</v>
      </c>
      <c r="F567" s="6" t="s">
        <v>98</v>
      </c>
      <c r="G567" s="6" t="s">
        <v>99</v>
      </c>
      <c r="H567" s="6" t="s">
        <v>120</v>
      </c>
      <c r="I567" s="6" t="s">
        <v>155</v>
      </c>
    </row>
    <row r="568" spans="1:9" x14ac:dyDescent="0.25">
      <c r="A568" s="6">
        <v>16</v>
      </c>
      <c r="B568" s="6" t="s">
        <v>832</v>
      </c>
      <c r="C568" s="11">
        <v>1781877415255060</v>
      </c>
      <c r="D568" s="6" t="s">
        <v>788</v>
      </c>
      <c r="E568" s="11">
        <v>279398</v>
      </c>
      <c r="F568" s="6" t="s">
        <v>123</v>
      </c>
      <c r="G568" s="6" t="s">
        <v>124</v>
      </c>
      <c r="H568" s="6" t="s">
        <v>120</v>
      </c>
      <c r="I568" s="6" t="s">
        <v>157</v>
      </c>
    </row>
    <row r="569" spans="1:9" x14ac:dyDescent="0.25">
      <c r="A569" s="6">
        <v>16</v>
      </c>
      <c r="B569" s="6" t="s">
        <v>833</v>
      </c>
      <c r="C569" s="11">
        <v>1781877416764180</v>
      </c>
      <c r="D569" s="6" t="s">
        <v>788</v>
      </c>
      <c r="E569" s="11">
        <v>280907</v>
      </c>
      <c r="F569" s="6" t="s">
        <v>123</v>
      </c>
      <c r="G569" s="6" t="s">
        <v>124</v>
      </c>
      <c r="H569" s="6" t="s">
        <v>120</v>
      </c>
      <c r="I569" s="6" t="s">
        <v>159</v>
      </c>
    </row>
    <row r="570" spans="1:9" x14ac:dyDescent="0.25">
      <c r="A570" s="6">
        <v>16</v>
      </c>
      <c r="B570" s="6" t="s">
        <v>834</v>
      </c>
      <c r="C570" s="11">
        <v>1781877421363820</v>
      </c>
      <c r="D570" s="6" t="s">
        <v>788</v>
      </c>
      <c r="E570" s="11">
        <v>285507</v>
      </c>
      <c r="F570" s="6" t="s">
        <v>123</v>
      </c>
      <c r="G570" s="6" t="s">
        <v>124</v>
      </c>
      <c r="H570" s="6" t="s">
        <v>161</v>
      </c>
      <c r="I570" s="6" t="s">
        <v>835</v>
      </c>
    </row>
    <row r="571" spans="1:9" x14ac:dyDescent="0.25">
      <c r="A571" s="6">
        <v>16</v>
      </c>
      <c r="B571" s="6" t="s">
        <v>836</v>
      </c>
      <c r="C571" s="11">
        <v>1781877421366880</v>
      </c>
      <c r="D571" s="6" t="s">
        <v>788</v>
      </c>
      <c r="E571" s="11">
        <v>285510</v>
      </c>
      <c r="F571" s="6" t="s">
        <v>98</v>
      </c>
      <c r="G571" s="6" t="s">
        <v>99</v>
      </c>
      <c r="H571" s="6" t="s">
        <v>161</v>
      </c>
      <c r="I571" s="6" t="s">
        <v>837</v>
      </c>
    </row>
    <row r="572" spans="1:9" x14ac:dyDescent="0.25">
      <c r="A572" s="6">
        <v>16</v>
      </c>
      <c r="B572" s="6" t="s">
        <v>838</v>
      </c>
      <c r="C572" s="11">
        <v>1781877514040100</v>
      </c>
      <c r="D572" s="6" t="s">
        <v>788</v>
      </c>
      <c r="E572" s="11">
        <v>378183</v>
      </c>
      <c r="F572" s="6" t="s">
        <v>93</v>
      </c>
      <c r="G572" s="6" t="s">
        <v>94</v>
      </c>
      <c r="H572" s="6" t="s">
        <v>170</v>
      </c>
      <c r="I572" s="6" t="s">
        <v>170</v>
      </c>
    </row>
    <row r="573" spans="1:9" x14ac:dyDescent="0.25">
      <c r="A573" s="6">
        <v>16</v>
      </c>
      <c r="B573" s="6" t="s">
        <v>839</v>
      </c>
      <c r="C573" s="11">
        <v>1781877514043280</v>
      </c>
      <c r="D573" s="6" t="s">
        <v>788</v>
      </c>
      <c r="E573" s="11">
        <v>378187</v>
      </c>
      <c r="F573" s="6" t="s">
        <v>98</v>
      </c>
      <c r="G573" s="6" t="s">
        <v>99</v>
      </c>
      <c r="H573" s="6" t="s">
        <v>172</v>
      </c>
      <c r="I573" s="6" t="s">
        <v>331</v>
      </c>
    </row>
    <row r="574" spans="1:9" x14ac:dyDescent="0.25">
      <c r="A574" s="6">
        <v>16</v>
      </c>
      <c r="B574" s="6" t="s">
        <v>840</v>
      </c>
      <c r="C574" s="11">
        <v>1781877529391010</v>
      </c>
      <c r="D574" s="6" t="s">
        <v>788</v>
      </c>
      <c r="E574" s="11">
        <v>393534</v>
      </c>
      <c r="F574" s="6" t="s">
        <v>93</v>
      </c>
      <c r="G574" s="6" t="s">
        <v>94</v>
      </c>
      <c r="H574" s="6" t="s">
        <v>175</v>
      </c>
      <c r="I574" s="6" t="s">
        <v>175</v>
      </c>
    </row>
    <row r="575" spans="1:9" x14ac:dyDescent="0.25">
      <c r="A575" s="6">
        <v>16</v>
      </c>
      <c r="B575" s="6" t="s">
        <v>841</v>
      </c>
      <c r="C575" s="11">
        <v>1781877529391650</v>
      </c>
      <c r="D575" s="6" t="s">
        <v>788</v>
      </c>
      <c r="E575" s="11">
        <v>393535</v>
      </c>
      <c r="F575" s="6" t="s">
        <v>98</v>
      </c>
      <c r="G575" s="6" t="s">
        <v>99</v>
      </c>
      <c r="H575" s="6" t="s">
        <v>120</v>
      </c>
      <c r="I575" s="6" t="s">
        <v>177</v>
      </c>
    </row>
    <row r="576" spans="1:9" x14ac:dyDescent="0.25">
      <c r="A576" s="6">
        <v>16</v>
      </c>
      <c r="B576" s="6" t="s">
        <v>842</v>
      </c>
      <c r="C576" s="11">
        <v>1781877536391320</v>
      </c>
      <c r="D576" s="6" t="s">
        <v>788</v>
      </c>
      <c r="E576" s="11">
        <v>400535</v>
      </c>
      <c r="F576" s="6" t="s">
        <v>98</v>
      </c>
      <c r="G576" s="6" t="s">
        <v>99</v>
      </c>
      <c r="H576" s="6" t="s">
        <v>179</v>
      </c>
      <c r="I576" s="6" t="s">
        <v>335</v>
      </c>
    </row>
    <row r="577" spans="1:9" x14ac:dyDescent="0.25">
      <c r="A577" s="6">
        <v>16</v>
      </c>
      <c r="B577" s="6" t="s">
        <v>843</v>
      </c>
      <c r="C577" s="11">
        <v>1781877536391830</v>
      </c>
      <c r="D577" s="6" t="s">
        <v>788</v>
      </c>
      <c r="E577" s="11">
        <v>400535</v>
      </c>
      <c r="F577" s="6" t="s">
        <v>103</v>
      </c>
      <c r="G577" s="6" t="s">
        <v>89</v>
      </c>
      <c r="H577" s="6" t="s">
        <v>179</v>
      </c>
      <c r="I577" s="6"/>
    </row>
    <row r="578" spans="1:9" x14ac:dyDescent="0.25">
      <c r="B578" t="s">
        <v>844</v>
      </c>
      <c r="C578" s="12">
        <v>1781877655060440</v>
      </c>
      <c r="D578" t="s">
        <v>845</v>
      </c>
      <c r="E578" t="s">
        <v>87</v>
      </c>
      <c r="F578" t="s">
        <v>88</v>
      </c>
      <c r="G578" t="s">
        <v>89</v>
      </c>
      <c r="H578" t="s">
        <v>184</v>
      </c>
    </row>
    <row r="579" spans="1:9" x14ac:dyDescent="0.25">
      <c r="B579" t="s">
        <v>846</v>
      </c>
      <c r="C579" s="12">
        <v>1781877655061920</v>
      </c>
      <c r="D579" t="s">
        <v>845</v>
      </c>
      <c r="E579" t="s">
        <v>92</v>
      </c>
      <c r="F579" t="s">
        <v>166</v>
      </c>
      <c r="G579" t="s">
        <v>167</v>
      </c>
      <c r="H579" t="s">
        <v>711</v>
      </c>
    </row>
    <row r="580" spans="1:9" x14ac:dyDescent="0.25">
      <c r="B580" t="s">
        <v>847</v>
      </c>
      <c r="C580" s="12">
        <v>1781877673109680</v>
      </c>
      <c r="D580" t="s">
        <v>845</v>
      </c>
      <c r="E580" s="12">
        <v>18049</v>
      </c>
      <c r="F580" t="s">
        <v>93</v>
      </c>
      <c r="G580" t="s">
        <v>94</v>
      </c>
      <c r="H580" t="s">
        <v>195</v>
      </c>
      <c r="I580" t="s">
        <v>195</v>
      </c>
    </row>
    <row r="581" spans="1:9" x14ac:dyDescent="0.25">
      <c r="B581" t="s">
        <v>848</v>
      </c>
      <c r="C581" s="12">
        <v>1781877684852870</v>
      </c>
      <c r="D581" t="s">
        <v>845</v>
      </c>
      <c r="E581" s="12">
        <v>29793</v>
      </c>
      <c r="F581" t="s">
        <v>103</v>
      </c>
      <c r="G581" t="s">
        <v>89</v>
      </c>
      <c r="H581" t="s">
        <v>104</v>
      </c>
    </row>
    <row r="582" spans="1:9" x14ac:dyDescent="0.25">
      <c r="B582" t="s">
        <v>849</v>
      </c>
      <c r="C582" s="12">
        <v>1781877684854650</v>
      </c>
      <c r="D582" t="s">
        <v>850</v>
      </c>
      <c r="E582" t="s">
        <v>87</v>
      </c>
      <c r="F582" t="s">
        <v>88</v>
      </c>
      <c r="G582" t="s">
        <v>89</v>
      </c>
      <c r="H582" t="s">
        <v>90</v>
      </c>
    </row>
    <row r="583" spans="1:9" x14ac:dyDescent="0.25">
      <c r="B583" t="s">
        <v>851</v>
      </c>
      <c r="C583" s="12">
        <v>1781877684855680</v>
      </c>
      <c r="D583" t="s">
        <v>850</v>
      </c>
      <c r="E583" t="s">
        <v>108</v>
      </c>
      <c r="F583" t="s">
        <v>93</v>
      </c>
      <c r="G583" t="s">
        <v>94</v>
      </c>
      <c r="H583" t="s">
        <v>95</v>
      </c>
      <c r="I583" t="s">
        <v>95</v>
      </c>
    </row>
    <row r="584" spans="1:9" x14ac:dyDescent="0.25">
      <c r="A584" s="6">
        <v>17</v>
      </c>
      <c r="B584" s="6" t="s">
        <v>852</v>
      </c>
      <c r="C584" s="11">
        <v>1781877684856690</v>
      </c>
      <c r="D584" s="6" t="s">
        <v>850</v>
      </c>
      <c r="E584" s="6" t="s">
        <v>92</v>
      </c>
      <c r="F584" s="6" t="s">
        <v>98</v>
      </c>
      <c r="G584" s="6" t="s">
        <v>99</v>
      </c>
      <c r="H584" s="6" t="s">
        <v>100</v>
      </c>
      <c r="I584" s="6" t="s">
        <v>101</v>
      </c>
    </row>
    <row r="585" spans="1:9" x14ac:dyDescent="0.25">
      <c r="A585" s="6">
        <v>17</v>
      </c>
      <c r="B585" s="6" t="s">
        <v>853</v>
      </c>
      <c r="C585" s="11">
        <v>1781877705850600</v>
      </c>
      <c r="D585" s="6" t="s">
        <v>850</v>
      </c>
      <c r="E585" s="11">
        <v>20996</v>
      </c>
      <c r="F585" s="6" t="s">
        <v>93</v>
      </c>
      <c r="G585" s="6" t="s">
        <v>94</v>
      </c>
      <c r="H585" s="6" t="s">
        <v>118</v>
      </c>
      <c r="I585" s="6" t="s">
        <v>118</v>
      </c>
    </row>
    <row r="586" spans="1:9" x14ac:dyDescent="0.25">
      <c r="A586" s="6">
        <v>17</v>
      </c>
      <c r="B586" s="6" t="s">
        <v>854</v>
      </c>
      <c r="C586" s="11">
        <v>1781877705853430</v>
      </c>
      <c r="D586" s="6" t="s">
        <v>850</v>
      </c>
      <c r="E586" s="11">
        <v>20999</v>
      </c>
      <c r="F586" s="6" t="s">
        <v>98</v>
      </c>
      <c r="G586" s="6" t="s">
        <v>99</v>
      </c>
      <c r="H586" s="6" t="s">
        <v>120</v>
      </c>
      <c r="I586" s="6" t="s">
        <v>121</v>
      </c>
    </row>
    <row r="587" spans="1:9" x14ac:dyDescent="0.25">
      <c r="A587" s="6">
        <v>17</v>
      </c>
      <c r="B587" s="6" t="s">
        <v>855</v>
      </c>
      <c r="C587" s="11">
        <v>1781877705861010</v>
      </c>
      <c r="D587" s="6" t="s">
        <v>850</v>
      </c>
      <c r="E587" s="11">
        <v>21006</v>
      </c>
      <c r="F587" s="6" t="s">
        <v>123</v>
      </c>
      <c r="G587" s="6" t="s">
        <v>124</v>
      </c>
      <c r="H587" s="6" t="s">
        <v>120</v>
      </c>
      <c r="I587" s="6" t="s">
        <v>125</v>
      </c>
    </row>
    <row r="588" spans="1:9" x14ac:dyDescent="0.25">
      <c r="A588" s="6">
        <v>17</v>
      </c>
      <c r="B588" s="6" t="s">
        <v>856</v>
      </c>
      <c r="C588" s="11">
        <v>1781877844634900</v>
      </c>
      <c r="D588" s="6" t="s">
        <v>850</v>
      </c>
      <c r="E588" s="11">
        <v>159780</v>
      </c>
      <c r="F588" s="6" t="s">
        <v>103</v>
      </c>
      <c r="G588" s="6" t="s">
        <v>89</v>
      </c>
      <c r="H588" s="6" t="s">
        <v>104</v>
      </c>
      <c r="I588" s="6"/>
    </row>
    <row r="589" spans="1:9" x14ac:dyDescent="0.25">
      <c r="A589" s="6">
        <v>17</v>
      </c>
      <c r="B589" s="6" t="s">
        <v>857</v>
      </c>
      <c r="C589" s="11">
        <v>1781877844636610</v>
      </c>
      <c r="D589" s="6" t="s">
        <v>858</v>
      </c>
      <c r="E589" s="6" t="s">
        <v>87</v>
      </c>
      <c r="F589" s="6" t="s">
        <v>88</v>
      </c>
      <c r="G589" s="6" t="s">
        <v>89</v>
      </c>
      <c r="H589" s="6" t="s">
        <v>90</v>
      </c>
      <c r="I589" s="6"/>
    </row>
    <row r="590" spans="1:9" x14ac:dyDescent="0.25">
      <c r="A590" s="6">
        <v>17</v>
      </c>
      <c r="B590" s="6" t="s">
        <v>859</v>
      </c>
      <c r="C590" s="11">
        <v>1781877844637580</v>
      </c>
      <c r="D590" s="6" t="s">
        <v>858</v>
      </c>
      <c r="E590" s="6" t="s">
        <v>108</v>
      </c>
      <c r="F590" s="6" t="s">
        <v>93</v>
      </c>
      <c r="G590" s="6" t="s">
        <v>94</v>
      </c>
      <c r="H590" s="6" t="s">
        <v>95</v>
      </c>
      <c r="I590" s="6" t="s">
        <v>95</v>
      </c>
    </row>
    <row r="591" spans="1:9" x14ac:dyDescent="0.25">
      <c r="A591" s="6">
        <v>17</v>
      </c>
      <c r="B591" s="6" t="s">
        <v>860</v>
      </c>
      <c r="C591" s="11">
        <v>1781877844642030</v>
      </c>
      <c r="D591" s="6" t="s">
        <v>858</v>
      </c>
      <c r="E591" s="6" t="s">
        <v>116</v>
      </c>
      <c r="F591" s="6" t="s">
        <v>98</v>
      </c>
      <c r="G591" s="6" t="s">
        <v>99</v>
      </c>
      <c r="H591" s="6" t="s">
        <v>100</v>
      </c>
      <c r="I591" s="6" t="s">
        <v>101</v>
      </c>
    </row>
    <row r="592" spans="1:9" x14ac:dyDescent="0.25">
      <c r="A592" s="6">
        <v>17</v>
      </c>
      <c r="B592" s="6" t="s">
        <v>861</v>
      </c>
      <c r="C592" s="11">
        <v>1781877849649770</v>
      </c>
      <c r="D592" s="6" t="s">
        <v>858</v>
      </c>
      <c r="E592" s="11">
        <v>5013</v>
      </c>
      <c r="F592" s="6" t="s">
        <v>93</v>
      </c>
      <c r="G592" s="6" t="s">
        <v>94</v>
      </c>
      <c r="H592" s="6" t="s">
        <v>118</v>
      </c>
      <c r="I592" s="6" t="s">
        <v>118</v>
      </c>
    </row>
    <row r="593" spans="1:9" x14ac:dyDescent="0.25">
      <c r="A593" s="6">
        <v>17</v>
      </c>
      <c r="B593" s="6" t="s">
        <v>862</v>
      </c>
      <c r="C593" s="11">
        <v>1781877849753150</v>
      </c>
      <c r="D593" s="6" t="s">
        <v>858</v>
      </c>
      <c r="E593" s="11">
        <v>5117</v>
      </c>
      <c r="F593" s="6" t="s">
        <v>98</v>
      </c>
      <c r="G593" s="6" t="s">
        <v>99</v>
      </c>
      <c r="H593" s="6" t="s">
        <v>120</v>
      </c>
      <c r="I593" s="6" t="s">
        <v>121</v>
      </c>
    </row>
    <row r="594" spans="1:9" x14ac:dyDescent="0.25">
      <c r="A594" s="6">
        <v>17</v>
      </c>
      <c r="B594" s="6" t="s">
        <v>863</v>
      </c>
      <c r="C594" s="11">
        <v>1781877849766800</v>
      </c>
      <c r="D594" s="6" t="s">
        <v>858</v>
      </c>
      <c r="E594" s="11">
        <v>5130</v>
      </c>
      <c r="F594" s="6" t="s">
        <v>123</v>
      </c>
      <c r="G594" s="6" t="s">
        <v>124</v>
      </c>
      <c r="H594" s="6" t="s">
        <v>120</v>
      </c>
      <c r="I594" s="6" t="s">
        <v>125</v>
      </c>
    </row>
    <row r="595" spans="1:9" x14ac:dyDescent="0.25">
      <c r="A595" s="6">
        <v>17</v>
      </c>
      <c r="B595" s="6" t="s">
        <v>864</v>
      </c>
      <c r="C595" s="11">
        <v>1781877859597970</v>
      </c>
      <c r="D595" s="6" t="s">
        <v>858</v>
      </c>
      <c r="E595" s="11">
        <v>14962</v>
      </c>
      <c r="F595" s="6" t="s">
        <v>123</v>
      </c>
      <c r="G595" s="6" t="s">
        <v>124</v>
      </c>
      <c r="H595" s="6" t="s">
        <v>127</v>
      </c>
      <c r="I595" s="6" t="s">
        <v>865</v>
      </c>
    </row>
    <row r="596" spans="1:9" x14ac:dyDescent="0.25">
      <c r="A596" s="6">
        <v>17</v>
      </c>
      <c r="B596" s="6" t="s">
        <v>866</v>
      </c>
      <c r="C596" s="11">
        <v>1781877859603610</v>
      </c>
      <c r="D596" s="6" t="s">
        <v>858</v>
      </c>
      <c r="E596" s="11">
        <v>14967</v>
      </c>
      <c r="F596" s="6" t="s">
        <v>98</v>
      </c>
      <c r="G596" s="6" t="s">
        <v>99</v>
      </c>
      <c r="H596" s="6" t="s">
        <v>127</v>
      </c>
      <c r="I596" s="6" t="s">
        <v>867</v>
      </c>
    </row>
    <row r="597" spans="1:9" x14ac:dyDescent="0.25">
      <c r="A597" s="6">
        <v>17</v>
      </c>
      <c r="B597" s="6" t="s">
        <v>868</v>
      </c>
      <c r="C597" s="11">
        <v>1781877861472960</v>
      </c>
      <c r="D597" s="6" t="s">
        <v>858</v>
      </c>
      <c r="E597" s="11">
        <v>16836</v>
      </c>
      <c r="F597" s="6" t="s">
        <v>132</v>
      </c>
      <c r="G597" s="6" t="s">
        <v>133</v>
      </c>
      <c r="H597" s="6" t="s">
        <v>309</v>
      </c>
      <c r="I597" s="6" t="s">
        <v>310</v>
      </c>
    </row>
    <row r="598" spans="1:9" x14ac:dyDescent="0.25">
      <c r="A598" s="6">
        <v>17</v>
      </c>
      <c r="B598" s="6" t="s">
        <v>869</v>
      </c>
      <c r="C598" s="11">
        <v>1781877865082400</v>
      </c>
      <c r="D598" s="6" t="s">
        <v>858</v>
      </c>
      <c r="E598" s="11">
        <v>20446</v>
      </c>
      <c r="F598" s="6" t="s">
        <v>93</v>
      </c>
      <c r="G598" s="6" t="s">
        <v>94</v>
      </c>
      <c r="H598" s="6" t="s">
        <v>140</v>
      </c>
      <c r="I598" s="6" t="s">
        <v>140</v>
      </c>
    </row>
    <row r="599" spans="1:9" x14ac:dyDescent="0.25">
      <c r="A599" s="6">
        <v>17</v>
      </c>
      <c r="B599" s="6" t="s">
        <v>870</v>
      </c>
      <c r="C599" s="11">
        <v>1781877865084150</v>
      </c>
      <c r="D599" s="6" t="s">
        <v>858</v>
      </c>
      <c r="E599" s="11">
        <v>20448</v>
      </c>
      <c r="F599" s="6" t="s">
        <v>98</v>
      </c>
      <c r="G599" s="6" t="s">
        <v>99</v>
      </c>
      <c r="H599" s="6" t="s">
        <v>137</v>
      </c>
      <c r="I599" s="6" t="s">
        <v>313</v>
      </c>
    </row>
    <row r="600" spans="1:9" x14ac:dyDescent="0.25">
      <c r="A600" s="6">
        <v>17</v>
      </c>
      <c r="B600" s="6" t="s">
        <v>871</v>
      </c>
      <c r="C600" s="11">
        <v>1781877875682320</v>
      </c>
      <c r="D600" s="6" t="s">
        <v>858</v>
      </c>
      <c r="E600" s="11">
        <v>31046</v>
      </c>
      <c r="F600" s="6" t="s">
        <v>166</v>
      </c>
      <c r="G600" s="6" t="s">
        <v>167</v>
      </c>
      <c r="H600" s="6" t="s">
        <v>213</v>
      </c>
      <c r="I600" s="6"/>
    </row>
    <row r="601" spans="1:9" x14ac:dyDescent="0.25">
      <c r="A601" s="6">
        <v>17</v>
      </c>
      <c r="B601" s="6" t="s">
        <v>872</v>
      </c>
      <c r="C601" s="11">
        <v>1781877881932040</v>
      </c>
      <c r="D601" s="6" t="s">
        <v>858</v>
      </c>
      <c r="E601" s="11">
        <v>37296</v>
      </c>
      <c r="F601" s="6" t="s">
        <v>93</v>
      </c>
      <c r="G601" s="6" t="s">
        <v>94</v>
      </c>
      <c r="H601" s="6" t="s">
        <v>146</v>
      </c>
      <c r="I601" s="6" t="s">
        <v>146</v>
      </c>
    </row>
    <row r="602" spans="1:9" x14ac:dyDescent="0.25">
      <c r="A602" s="6">
        <v>17</v>
      </c>
      <c r="B602" s="6" t="s">
        <v>873</v>
      </c>
      <c r="C602" s="11">
        <v>1781877881948370</v>
      </c>
      <c r="D602" s="6" t="s">
        <v>858</v>
      </c>
      <c r="E602" s="11">
        <v>37312</v>
      </c>
      <c r="F602" s="6" t="s">
        <v>98</v>
      </c>
      <c r="G602" s="6" t="s">
        <v>99</v>
      </c>
      <c r="H602" s="6" t="s">
        <v>120</v>
      </c>
      <c r="I602" s="6" t="s">
        <v>142</v>
      </c>
    </row>
    <row r="603" spans="1:9" x14ac:dyDescent="0.25">
      <c r="A603" s="6">
        <v>17</v>
      </c>
      <c r="B603" s="6" t="s">
        <v>874</v>
      </c>
      <c r="C603" s="11">
        <v>1781877881950410</v>
      </c>
      <c r="D603" s="6" t="s">
        <v>858</v>
      </c>
      <c r="E603" s="11">
        <v>37314</v>
      </c>
      <c r="F603" s="6" t="s">
        <v>123</v>
      </c>
      <c r="G603" s="6" t="s">
        <v>124</v>
      </c>
      <c r="H603" s="6" t="s">
        <v>120</v>
      </c>
      <c r="I603" s="6" t="s">
        <v>144</v>
      </c>
    </row>
    <row r="604" spans="1:9" x14ac:dyDescent="0.25">
      <c r="A604" s="6">
        <v>17</v>
      </c>
      <c r="B604" s="6" t="s">
        <v>875</v>
      </c>
      <c r="C604" s="11">
        <v>1781877891393290</v>
      </c>
      <c r="D604" s="6" t="s">
        <v>858</v>
      </c>
      <c r="E604" s="11">
        <v>46757</v>
      </c>
      <c r="F604" s="6" t="s">
        <v>123</v>
      </c>
      <c r="G604" s="6" t="s">
        <v>124</v>
      </c>
      <c r="H604" s="6" t="s">
        <v>148</v>
      </c>
      <c r="I604" s="6" t="s">
        <v>149</v>
      </c>
    </row>
    <row r="605" spans="1:9" x14ac:dyDescent="0.25">
      <c r="A605" s="6">
        <v>17</v>
      </c>
      <c r="B605" s="6" t="s">
        <v>876</v>
      </c>
      <c r="C605" s="11">
        <v>1781877891398020</v>
      </c>
      <c r="D605" s="6" t="s">
        <v>858</v>
      </c>
      <c r="E605" s="11">
        <v>46762</v>
      </c>
      <c r="F605" s="6" t="s">
        <v>98</v>
      </c>
      <c r="G605" s="6" t="s">
        <v>99</v>
      </c>
      <c r="H605" s="6" t="s">
        <v>148</v>
      </c>
      <c r="I605" s="6" t="s">
        <v>151</v>
      </c>
    </row>
    <row r="606" spans="1:9" x14ac:dyDescent="0.25">
      <c r="A606" s="6">
        <v>17</v>
      </c>
      <c r="B606" s="6" t="s">
        <v>877</v>
      </c>
      <c r="C606" s="11">
        <v>1781877905165840</v>
      </c>
      <c r="D606" s="6" t="s">
        <v>858</v>
      </c>
      <c r="E606" s="11">
        <v>60529</v>
      </c>
      <c r="F606" s="6" t="s">
        <v>93</v>
      </c>
      <c r="G606" s="6" t="s">
        <v>94</v>
      </c>
      <c r="H606" s="6" t="s">
        <v>153</v>
      </c>
      <c r="I606" s="6" t="s">
        <v>153</v>
      </c>
    </row>
    <row r="607" spans="1:9" x14ac:dyDescent="0.25">
      <c r="A607" s="6">
        <v>17</v>
      </c>
      <c r="B607" s="6" t="s">
        <v>878</v>
      </c>
      <c r="C607" s="11">
        <v>1781877905170730</v>
      </c>
      <c r="D607" s="6" t="s">
        <v>858</v>
      </c>
      <c r="E607" s="11">
        <v>60534</v>
      </c>
      <c r="F607" s="6" t="s">
        <v>98</v>
      </c>
      <c r="G607" s="6" t="s">
        <v>99</v>
      </c>
      <c r="H607" s="6" t="s">
        <v>120</v>
      </c>
      <c r="I607" s="6" t="s">
        <v>155</v>
      </c>
    </row>
    <row r="608" spans="1:9" x14ac:dyDescent="0.25">
      <c r="A608" s="6">
        <v>17</v>
      </c>
      <c r="B608" s="6" t="s">
        <v>879</v>
      </c>
      <c r="C608" s="11">
        <v>1781877905175470</v>
      </c>
      <c r="D608" s="6" t="s">
        <v>858</v>
      </c>
      <c r="E608" s="11">
        <v>60539</v>
      </c>
      <c r="F608" s="6" t="s">
        <v>123</v>
      </c>
      <c r="G608" s="6" t="s">
        <v>124</v>
      </c>
      <c r="H608" s="6" t="s">
        <v>120</v>
      </c>
      <c r="I608" s="6" t="s">
        <v>157</v>
      </c>
    </row>
    <row r="609" spans="1:9" x14ac:dyDescent="0.25">
      <c r="A609" s="6">
        <v>17</v>
      </c>
      <c r="B609" s="6" t="s">
        <v>880</v>
      </c>
      <c r="C609" s="11">
        <v>1781877906692370</v>
      </c>
      <c r="D609" s="6" t="s">
        <v>858</v>
      </c>
      <c r="E609" s="11">
        <v>62056</v>
      </c>
      <c r="F609" s="6" t="s">
        <v>123</v>
      </c>
      <c r="G609" s="6" t="s">
        <v>124</v>
      </c>
      <c r="H609" s="6" t="s">
        <v>120</v>
      </c>
      <c r="I609" s="6" t="s">
        <v>159</v>
      </c>
    </row>
    <row r="610" spans="1:9" x14ac:dyDescent="0.25">
      <c r="A610" s="6">
        <v>17</v>
      </c>
      <c r="B610" s="6" t="s">
        <v>881</v>
      </c>
      <c r="C610" s="11">
        <v>1781877951696430</v>
      </c>
      <c r="D610" s="6" t="s">
        <v>858</v>
      </c>
      <c r="E610" s="11">
        <v>107060</v>
      </c>
      <c r="F610" s="6" t="s">
        <v>123</v>
      </c>
      <c r="G610" s="6" t="s">
        <v>124</v>
      </c>
      <c r="H610" s="6" t="s">
        <v>120</v>
      </c>
      <c r="I610" s="6" t="s">
        <v>260</v>
      </c>
    </row>
    <row r="611" spans="1:9" x14ac:dyDescent="0.25">
      <c r="A611" s="6">
        <v>17</v>
      </c>
      <c r="B611" s="6" t="s">
        <v>882</v>
      </c>
      <c r="C611" s="11">
        <v>1781877951697820</v>
      </c>
      <c r="D611" s="6" t="s">
        <v>858</v>
      </c>
      <c r="E611" s="11">
        <v>107061</v>
      </c>
      <c r="F611" s="6" t="s">
        <v>98</v>
      </c>
      <c r="G611" s="6" t="s">
        <v>99</v>
      </c>
      <c r="H611" s="6" t="s">
        <v>120</v>
      </c>
      <c r="I611" s="6" t="s">
        <v>262</v>
      </c>
    </row>
    <row r="612" spans="1:9" x14ac:dyDescent="0.25">
      <c r="A612" s="6">
        <v>17</v>
      </c>
      <c r="B612" s="6" t="s">
        <v>883</v>
      </c>
      <c r="C612" s="11">
        <v>1781877972647140</v>
      </c>
      <c r="D612" s="6" t="s">
        <v>858</v>
      </c>
      <c r="E612" s="11">
        <v>128011</v>
      </c>
      <c r="F612" s="6" t="s">
        <v>166</v>
      </c>
      <c r="G612" s="6" t="s">
        <v>167</v>
      </c>
      <c r="H612" s="6" t="s">
        <v>692</v>
      </c>
      <c r="I612" s="6"/>
    </row>
    <row r="613" spans="1:9" x14ac:dyDescent="0.25">
      <c r="A613" s="6">
        <v>17</v>
      </c>
      <c r="B613" s="6" t="s">
        <v>884</v>
      </c>
      <c r="C613" s="11">
        <v>1781877977218000</v>
      </c>
      <c r="D613" s="6" t="s">
        <v>858</v>
      </c>
      <c r="E613" s="11">
        <v>132582</v>
      </c>
      <c r="F613" s="6" t="s">
        <v>93</v>
      </c>
      <c r="G613" s="6" t="s">
        <v>94</v>
      </c>
      <c r="H613" s="6" t="s">
        <v>153</v>
      </c>
      <c r="I613" s="6" t="s">
        <v>153</v>
      </c>
    </row>
    <row r="614" spans="1:9" x14ac:dyDescent="0.25">
      <c r="A614" s="6">
        <v>17</v>
      </c>
      <c r="B614" s="6" t="s">
        <v>885</v>
      </c>
      <c r="C614" s="11">
        <v>1781877977219680</v>
      </c>
      <c r="D614" s="6" t="s">
        <v>858</v>
      </c>
      <c r="E614" s="11">
        <v>132583</v>
      </c>
      <c r="F614" s="6" t="s">
        <v>98</v>
      </c>
      <c r="G614" s="6" t="s">
        <v>99</v>
      </c>
      <c r="H614" s="6" t="s">
        <v>120</v>
      </c>
      <c r="I614" s="6" t="s">
        <v>155</v>
      </c>
    </row>
    <row r="615" spans="1:9" x14ac:dyDescent="0.25">
      <c r="A615" s="6">
        <v>17</v>
      </c>
      <c r="B615" s="6" t="s">
        <v>886</v>
      </c>
      <c r="C615" s="11">
        <v>1781877977220800</v>
      </c>
      <c r="D615" s="6" t="s">
        <v>858</v>
      </c>
      <c r="E615" s="11">
        <v>132584</v>
      </c>
      <c r="F615" s="6" t="s">
        <v>123</v>
      </c>
      <c r="G615" s="6" t="s">
        <v>124</v>
      </c>
      <c r="H615" s="6" t="s">
        <v>120</v>
      </c>
      <c r="I615" s="6" t="s">
        <v>157</v>
      </c>
    </row>
    <row r="616" spans="1:9" x14ac:dyDescent="0.25">
      <c r="A616" s="6">
        <v>17</v>
      </c>
      <c r="B616" s="6" t="s">
        <v>887</v>
      </c>
      <c r="C616" s="11">
        <v>1781877978794580</v>
      </c>
      <c r="D616" s="6" t="s">
        <v>858</v>
      </c>
      <c r="E616" s="11">
        <v>134158</v>
      </c>
      <c r="F616" s="6" t="s">
        <v>123</v>
      </c>
      <c r="G616" s="6" t="s">
        <v>124</v>
      </c>
      <c r="H616" s="6" t="s">
        <v>120</v>
      </c>
      <c r="I616" s="6" t="s">
        <v>159</v>
      </c>
    </row>
    <row r="617" spans="1:9" x14ac:dyDescent="0.25">
      <c r="A617" s="6">
        <v>17</v>
      </c>
      <c r="B617" s="6" t="s">
        <v>888</v>
      </c>
      <c r="C617" s="11">
        <v>1781877994192050</v>
      </c>
      <c r="D617" s="6" t="s">
        <v>858</v>
      </c>
      <c r="E617" s="11">
        <v>149556</v>
      </c>
      <c r="F617" s="6" t="s">
        <v>123</v>
      </c>
      <c r="G617" s="6" t="s">
        <v>124</v>
      </c>
      <c r="H617" s="6" t="s">
        <v>161</v>
      </c>
      <c r="I617" s="6" t="s">
        <v>889</v>
      </c>
    </row>
    <row r="618" spans="1:9" x14ac:dyDescent="0.25">
      <c r="A618" s="6">
        <v>17</v>
      </c>
      <c r="B618" s="6" t="s">
        <v>890</v>
      </c>
      <c r="C618" s="11">
        <v>1781877994196490</v>
      </c>
      <c r="D618" s="6" t="s">
        <v>858</v>
      </c>
      <c r="E618" s="11">
        <v>149560</v>
      </c>
      <c r="F618" s="6" t="s">
        <v>98</v>
      </c>
      <c r="G618" s="6" t="s">
        <v>99</v>
      </c>
      <c r="H618" s="6" t="s">
        <v>161</v>
      </c>
      <c r="I618" s="6" t="s">
        <v>891</v>
      </c>
    </row>
    <row r="619" spans="1:9" x14ac:dyDescent="0.25">
      <c r="A619" s="6">
        <v>17</v>
      </c>
      <c r="B619" s="6" t="s">
        <v>892</v>
      </c>
      <c r="C619" s="11">
        <v>1781878049826580</v>
      </c>
      <c r="D619" s="6" t="s">
        <v>858</v>
      </c>
      <c r="E619" s="11">
        <v>205190</v>
      </c>
      <c r="F619" s="6" t="s">
        <v>166</v>
      </c>
      <c r="G619" s="6" t="s">
        <v>167</v>
      </c>
      <c r="H619" s="6" t="s">
        <v>893</v>
      </c>
      <c r="I619" s="6"/>
    </row>
    <row r="620" spans="1:9" x14ac:dyDescent="0.25">
      <c r="A620" s="6">
        <v>17</v>
      </c>
      <c r="B620" s="6" t="s">
        <v>894</v>
      </c>
      <c r="C620" s="11">
        <v>1781878081027130</v>
      </c>
      <c r="D620" s="6" t="s">
        <v>858</v>
      </c>
      <c r="E620" s="11">
        <v>236391</v>
      </c>
      <c r="F620" s="6" t="s">
        <v>93</v>
      </c>
      <c r="G620" s="6" t="s">
        <v>94</v>
      </c>
      <c r="H620" s="6" t="s">
        <v>170</v>
      </c>
      <c r="I620" s="6" t="s">
        <v>170</v>
      </c>
    </row>
    <row r="621" spans="1:9" x14ac:dyDescent="0.25">
      <c r="A621" s="6">
        <v>17</v>
      </c>
      <c r="B621" s="6" t="s">
        <v>895</v>
      </c>
      <c r="C621" s="11">
        <v>1781878081040310</v>
      </c>
      <c r="D621" s="6" t="s">
        <v>858</v>
      </c>
      <c r="E621" s="11">
        <v>236404</v>
      </c>
      <c r="F621" s="6" t="s">
        <v>98</v>
      </c>
      <c r="G621" s="6" t="s">
        <v>99</v>
      </c>
      <c r="H621" s="6" t="s">
        <v>172</v>
      </c>
      <c r="I621" s="6" t="s">
        <v>331</v>
      </c>
    </row>
    <row r="622" spans="1:9" x14ac:dyDescent="0.25">
      <c r="A622" s="6">
        <v>17</v>
      </c>
      <c r="B622" s="6" t="s">
        <v>896</v>
      </c>
      <c r="C622" s="11">
        <v>1781878097357900</v>
      </c>
      <c r="D622" s="6" t="s">
        <v>858</v>
      </c>
      <c r="E622" s="11">
        <v>252721</v>
      </c>
      <c r="F622" s="6" t="s">
        <v>93</v>
      </c>
      <c r="G622" s="6" t="s">
        <v>94</v>
      </c>
      <c r="H622" s="6" t="s">
        <v>175</v>
      </c>
      <c r="I622" s="6" t="s">
        <v>175</v>
      </c>
    </row>
    <row r="623" spans="1:9" x14ac:dyDescent="0.25">
      <c r="A623" s="6">
        <v>17</v>
      </c>
      <c r="B623" s="6" t="s">
        <v>897</v>
      </c>
      <c r="C623" s="11">
        <v>1781878097365120</v>
      </c>
      <c r="D623" s="6" t="s">
        <v>858</v>
      </c>
      <c r="E623" s="11">
        <v>252729</v>
      </c>
      <c r="F623" s="6" t="s">
        <v>98</v>
      </c>
      <c r="G623" s="6" t="s">
        <v>99</v>
      </c>
      <c r="H623" s="6" t="s">
        <v>120</v>
      </c>
      <c r="I623" s="6" t="s">
        <v>177</v>
      </c>
    </row>
    <row r="624" spans="1:9" x14ac:dyDescent="0.25">
      <c r="A624" s="6">
        <v>17</v>
      </c>
      <c r="B624" s="6" t="s">
        <v>898</v>
      </c>
      <c r="C624" s="11">
        <v>1781878104368620</v>
      </c>
      <c r="D624" s="6" t="s">
        <v>858</v>
      </c>
      <c r="E624" s="11">
        <v>259732</v>
      </c>
      <c r="F624" s="6" t="s">
        <v>98</v>
      </c>
      <c r="G624" s="6" t="s">
        <v>99</v>
      </c>
      <c r="H624" s="6" t="s">
        <v>179</v>
      </c>
      <c r="I624" s="6" t="s">
        <v>335</v>
      </c>
    </row>
    <row r="625" spans="1:9" x14ac:dyDescent="0.25">
      <c r="A625" s="6">
        <v>17</v>
      </c>
      <c r="B625" s="6" t="s">
        <v>899</v>
      </c>
      <c r="C625" s="11">
        <v>1781878104369080</v>
      </c>
      <c r="D625" s="6" t="s">
        <v>858</v>
      </c>
      <c r="E625" s="11">
        <v>259733</v>
      </c>
      <c r="F625" s="6" t="s">
        <v>103</v>
      </c>
      <c r="G625" s="6" t="s">
        <v>89</v>
      </c>
      <c r="H625" s="6" t="s">
        <v>179</v>
      </c>
      <c r="I625" s="6"/>
    </row>
    <row r="626" spans="1:9" x14ac:dyDescent="0.25">
      <c r="B626" t="s">
        <v>900</v>
      </c>
      <c r="C626" s="12">
        <v>1781878179648610</v>
      </c>
      <c r="D626" t="s">
        <v>901</v>
      </c>
      <c r="E626" t="s">
        <v>87</v>
      </c>
      <c r="F626" t="s">
        <v>88</v>
      </c>
      <c r="G626" t="s">
        <v>89</v>
      </c>
      <c r="H626" t="s">
        <v>184</v>
      </c>
    </row>
    <row r="627" spans="1:9" x14ac:dyDescent="0.25">
      <c r="B627" t="s">
        <v>902</v>
      </c>
      <c r="C627" s="12">
        <v>1781878179652840</v>
      </c>
      <c r="D627" t="s">
        <v>901</v>
      </c>
      <c r="E627" t="s">
        <v>97</v>
      </c>
      <c r="F627" t="s">
        <v>166</v>
      </c>
      <c r="G627" t="s">
        <v>167</v>
      </c>
      <c r="H627" t="s">
        <v>711</v>
      </c>
    </row>
    <row r="628" spans="1:9" x14ac:dyDescent="0.25">
      <c r="B628" t="s">
        <v>903</v>
      </c>
      <c r="C628" s="12">
        <v>1781878244893910</v>
      </c>
      <c r="D628" t="s">
        <v>901</v>
      </c>
      <c r="E628" s="12">
        <v>65246</v>
      </c>
      <c r="F628" t="s">
        <v>103</v>
      </c>
      <c r="G628" t="s">
        <v>89</v>
      </c>
      <c r="H628" t="s">
        <v>104</v>
      </c>
    </row>
    <row r="629" spans="1:9" x14ac:dyDescent="0.25">
      <c r="B629" t="s">
        <v>904</v>
      </c>
      <c r="C629" s="12">
        <v>1781878244895810</v>
      </c>
      <c r="D629" t="s">
        <v>905</v>
      </c>
      <c r="E629" t="s">
        <v>87</v>
      </c>
      <c r="F629" t="s">
        <v>88</v>
      </c>
      <c r="G629" t="s">
        <v>89</v>
      </c>
      <c r="H629" t="s">
        <v>90</v>
      </c>
    </row>
    <row r="630" spans="1:9" x14ac:dyDescent="0.25">
      <c r="B630" t="s">
        <v>906</v>
      </c>
      <c r="C630" s="12">
        <v>1781878244896790</v>
      </c>
      <c r="D630" t="s">
        <v>905</v>
      </c>
      <c r="E630" t="s">
        <v>108</v>
      </c>
      <c r="F630" t="s">
        <v>93</v>
      </c>
      <c r="G630" t="s">
        <v>94</v>
      </c>
      <c r="H630" t="s">
        <v>95</v>
      </c>
      <c r="I630" t="s">
        <v>95</v>
      </c>
    </row>
    <row r="631" spans="1:9" x14ac:dyDescent="0.25">
      <c r="A631" s="7">
        <v>18</v>
      </c>
      <c r="B631" s="7" t="s">
        <v>907</v>
      </c>
      <c r="C631" s="8">
        <v>1781878244902410</v>
      </c>
      <c r="D631" s="7" t="s">
        <v>905</v>
      </c>
      <c r="E631" s="7" t="s">
        <v>740</v>
      </c>
      <c r="F631" s="7" t="s">
        <v>98</v>
      </c>
      <c r="G631" s="7" t="s">
        <v>99</v>
      </c>
      <c r="H631" s="7" t="s">
        <v>100</v>
      </c>
      <c r="I631" s="7" t="s">
        <v>101</v>
      </c>
    </row>
    <row r="632" spans="1:9" x14ac:dyDescent="0.25">
      <c r="A632" s="7">
        <v>18</v>
      </c>
      <c r="B632" s="7" t="s">
        <v>908</v>
      </c>
      <c r="C632" s="8">
        <v>1781878267577360</v>
      </c>
      <c r="D632" s="7" t="s">
        <v>905</v>
      </c>
      <c r="E632" s="8">
        <v>22682</v>
      </c>
      <c r="F632" s="7" t="s">
        <v>93</v>
      </c>
      <c r="G632" s="7" t="s">
        <v>94</v>
      </c>
      <c r="H632" s="7" t="s">
        <v>118</v>
      </c>
      <c r="I632" s="7" t="s">
        <v>118</v>
      </c>
    </row>
    <row r="633" spans="1:9" x14ac:dyDescent="0.25">
      <c r="A633" s="7">
        <v>18</v>
      </c>
      <c r="B633" s="7" t="s">
        <v>909</v>
      </c>
      <c r="C633" s="8">
        <v>1781878267581670</v>
      </c>
      <c r="D633" s="7" t="s">
        <v>905</v>
      </c>
      <c r="E633" s="8">
        <v>22686</v>
      </c>
      <c r="F633" s="7" t="s">
        <v>98</v>
      </c>
      <c r="G633" s="7" t="s">
        <v>99</v>
      </c>
      <c r="H633" s="7" t="s">
        <v>120</v>
      </c>
      <c r="I633" s="7" t="s">
        <v>121</v>
      </c>
    </row>
    <row r="634" spans="1:9" x14ac:dyDescent="0.25">
      <c r="A634" s="7">
        <v>18</v>
      </c>
      <c r="B634" s="7" t="s">
        <v>910</v>
      </c>
      <c r="C634" s="8">
        <v>1781878267582820</v>
      </c>
      <c r="D634" s="7" t="s">
        <v>905</v>
      </c>
      <c r="E634" s="8">
        <v>22687</v>
      </c>
      <c r="F634" s="7" t="s">
        <v>123</v>
      </c>
      <c r="G634" s="7" t="s">
        <v>124</v>
      </c>
      <c r="H634" s="7" t="s">
        <v>120</v>
      </c>
      <c r="I634" s="7" t="s">
        <v>125</v>
      </c>
    </row>
    <row r="635" spans="1:9" x14ac:dyDescent="0.25">
      <c r="A635" s="7">
        <v>18</v>
      </c>
      <c r="B635" s="7" t="s">
        <v>911</v>
      </c>
      <c r="C635" s="8">
        <v>1781878278794870</v>
      </c>
      <c r="D635" s="7" t="s">
        <v>905</v>
      </c>
      <c r="E635" s="8">
        <v>33899</v>
      </c>
      <c r="F635" s="7" t="s">
        <v>123</v>
      </c>
      <c r="G635" s="7" t="s">
        <v>124</v>
      </c>
      <c r="H635" s="7" t="s">
        <v>127</v>
      </c>
      <c r="I635" s="7" t="s">
        <v>912</v>
      </c>
    </row>
    <row r="636" spans="1:9" x14ac:dyDescent="0.25">
      <c r="A636" s="7">
        <v>18</v>
      </c>
      <c r="B636" s="7" t="s">
        <v>913</v>
      </c>
      <c r="C636" s="8">
        <v>1781878278799690</v>
      </c>
      <c r="D636" s="7" t="s">
        <v>905</v>
      </c>
      <c r="E636" s="8">
        <v>33904</v>
      </c>
      <c r="F636" s="7" t="s">
        <v>98</v>
      </c>
      <c r="G636" s="7" t="s">
        <v>99</v>
      </c>
      <c r="H636" s="7" t="s">
        <v>127</v>
      </c>
      <c r="I636" s="7" t="s">
        <v>914</v>
      </c>
    </row>
    <row r="637" spans="1:9" x14ac:dyDescent="0.25">
      <c r="A637" s="7">
        <v>18</v>
      </c>
      <c r="B637" s="7" t="s">
        <v>915</v>
      </c>
      <c r="C637" s="8">
        <v>1781878280504370</v>
      </c>
      <c r="D637" s="7" t="s">
        <v>905</v>
      </c>
      <c r="E637" s="8">
        <v>35609</v>
      </c>
      <c r="F637" s="7" t="s">
        <v>132</v>
      </c>
      <c r="G637" s="7" t="s">
        <v>133</v>
      </c>
      <c r="H637" s="7" t="s">
        <v>309</v>
      </c>
      <c r="I637" s="7" t="s">
        <v>310</v>
      </c>
    </row>
    <row r="638" spans="1:9" x14ac:dyDescent="0.25">
      <c r="A638" s="7">
        <v>18</v>
      </c>
      <c r="B638" s="7" t="s">
        <v>916</v>
      </c>
      <c r="C638" s="8">
        <v>1781878301576970</v>
      </c>
      <c r="D638" s="7" t="s">
        <v>905</v>
      </c>
      <c r="E638" s="8">
        <v>56681</v>
      </c>
      <c r="F638" s="7" t="s">
        <v>93</v>
      </c>
      <c r="G638" s="7" t="s">
        <v>94</v>
      </c>
      <c r="H638" s="7" t="s">
        <v>140</v>
      </c>
      <c r="I638" s="7" t="s">
        <v>140</v>
      </c>
    </row>
    <row r="639" spans="1:9" x14ac:dyDescent="0.25">
      <c r="A639" s="7">
        <v>18</v>
      </c>
      <c r="B639" s="7" t="s">
        <v>917</v>
      </c>
      <c r="C639" s="8">
        <v>1781878301580370</v>
      </c>
      <c r="D639" s="7" t="s">
        <v>905</v>
      </c>
      <c r="E639" s="8">
        <v>56685</v>
      </c>
      <c r="F639" s="7" t="s">
        <v>98</v>
      </c>
      <c r="G639" s="7" t="s">
        <v>99</v>
      </c>
      <c r="H639" s="7" t="s">
        <v>137</v>
      </c>
      <c r="I639" s="7" t="s">
        <v>313</v>
      </c>
    </row>
    <row r="640" spans="1:9" x14ac:dyDescent="0.25">
      <c r="A640" s="7">
        <v>18</v>
      </c>
      <c r="B640" s="7" t="s">
        <v>918</v>
      </c>
      <c r="C640" s="8">
        <v>1781878309543640</v>
      </c>
      <c r="D640" s="7" t="s">
        <v>905</v>
      </c>
      <c r="E640" s="8">
        <v>64648</v>
      </c>
      <c r="F640" s="7" t="s">
        <v>166</v>
      </c>
      <c r="G640" s="7" t="s">
        <v>167</v>
      </c>
      <c r="H640" s="7" t="s">
        <v>213</v>
      </c>
      <c r="I640" s="7"/>
    </row>
    <row r="641" spans="1:9" x14ac:dyDescent="0.25">
      <c r="A641" s="7">
        <v>18</v>
      </c>
      <c r="B641" s="7" t="s">
        <v>919</v>
      </c>
      <c r="C641" s="8">
        <v>1781878323673870</v>
      </c>
      <c r="D641" s="7" t="s">
        <v>905</v>
      </c>
      <c r="E641" s="8">
        <v>78778</v>
      </c>
      <c r="F641" s="7" t="s">
        <v>93</v>
      </c>
      <c r="G641" s="7" t="s">
        <v>94</v>
      </c>
      <c r="H641" s="7" t="s">
        <v>146</v>
      </c>
      <c r="I641" s="7" t="s">
        <v>146</v>
      </c>
    </row>
    <row r="642" spans="1:9" x14ac:dyDescent="0.25">
      <c r="A642" s="7">
        <v>18</v>
      </c>
      <c r="B642" s="7" t="s">
        <v>920</v>
      </c>
      <c r="C642" s="8">
        <v>1781878323677860</v>
      </c>
      <c r="D642" s="7" t="s">
        <v>905</v>
      </c>
      <c r="E642" s="8">
        <v>78782</v>
      </c>
      <c r="F642" s="7" t="s">
        <v>98</v>
      </c>
      <c r="G642" s="7" t="s">
        <v>99</v>
      </c>
      <c r="H642" s="7" t="s">
        <v>120</v>
      </c>
      <c r="I642" s="7" t="s">
        <v>142</v>
      </c>
    </row>
    <row r="643" spans="1:9" x14ac:dyDescent="0.25">
      <c r="A643" s="7">
        <v>18</v>
      </c>
      <c r="B643" s="7" t="s">
        <v>921</v>
      </c>
      <c r="C643" s="8">
        <v>1781878323681990</v>
      </c>
      <c r="D643" s="7" t="s">
        <v>905</v>
      </c>
      <c r="E643" s="8">
        <v>78786</v>
      </c>
      <c r="F643" s="7" t="s">
        <v>123</v>
      </c>
      <c r="G643" s="7" t="s">
        <v>124</v>
      </c>
      <c r="H643" s="7" t="s">
        <v>120</v>
      </c>
      <c r="I643" s="7" t="s">
        <v>144</v>
      </c>
    </row>
    <row r="644" spans="1:9" x14ac:dyDescent="0.25">
      <c r="A644" s="7">
        <v>18</v>
      </c>
      <c r="B644" s="7" t="s">
        <v>922</v>
      </c>
      <c r="C644" s="8">
        <v>1781878333096500</v>
      </c>
      <c r="D644" s="7" t="s">
        <v>905</v>
      </c>
      <c r="E644" s="8">
        <v>88201</v>
      </c>
      <c r="F644" s="7" t="s">
        <v>123</v>
      </c>
      <c r="G644" s="7" t="s">
        <v>124</v>
      </c>
      <c r="H644" s="7" t="s">
        <v>148</v>
      </c>
      <c r="I644" s="7" t="s">
        <v>149</v>
      </c>
    </row>
    <row r="645" spans="1:9" x14ac:dyDescent="0.25">
      <c r="A645" s="7">
        <v>18</v>
      </c>
      <c r="B645" s="7" t="s">
        <v>923</v>
      </c>
      <c r="C645" s="8">
        <v>1781878333099080</v>
      </c>
      <c r="D645" s="7" t="s">
        <v>905</v>
      </c>
      <c r="E645" s="8">
        <v>88203</v>
      </c>
      <c r="F645" s="7" t="s">
        <v>98</v>
      </c>
      <c r="G645" s="7" t="s">
        <v>99</v>
      </c>
      <c r="H645" s="7" t="s">
        <v>148</v>
      </c>
      <c r="I645" s="7" t="s">
        <v>151</v>
      </c>
    </row>
    <row r="646" spans="1:9" x14ac:dyDescent="0.25">
      <c r="A646" s="7">
        <v>18</v>
      </c>
      <c r="B646" s="7" t="s">
        <v>924</v>
      </c>
      <c r="C646" s="8">
        <v>1781878358614090</v>
      </c>
      <c r="D646" s="7" t="s">
        <v>905</v>
      </c>
      <c r="E646" s="8">
        <v>113719</v>
      </c>
      <c r="F646" s="7" t="s">
        <v>93</v>
      </c>
      <c r="G646" s="7" t="s">
        <v>94</v>
      </c>
      <c r="H646" s="7" t="s">
        <v>153</v>
      </c>
      <c r="I646" s="7" t="s">
        <v>153</v>
      </c>
    </row>
    <row r="647" spans="1:9" x14ac:dyDescent="0.25">
      <c r="A647" s="7">
        <v>18</v>
      </c>
      <c r="B647" s="7" t="s">
        <v>925</v>
      </c>
      <c r="C647" s="8">
        <v>1781878358618050</v>
      </c>
      <c r="D647" s="7" t="s">
        <v>905</v>
      </c>
      <c r="E647" s="8">
        <v>113723</v>
      </c>
      <c r="F647" s="7" t="s">
        <v>98</v>
      </c>
      <c r="G647" s="7" t="s">
        <v>99</v>
      </c>
      <c r="H647" s="7" t="s">
        <v>120</v>
      </c>
      <c r="I647" s="7" t="s">
        <v>155</v>
      </c>
    </row>
    <row r="648" spans="1:9" x14ac:dyDescent="0.25">
      <c r="A648" s="7">
        <v>18</v>
      </c>
      <c r="B648" s="7" t="s">
        <v>926</v>
      </c>
      <c r="C648" s="8">
        <v>1781878358624550</v>
      </c>
      <c r="D648" s="7" t="s">
        <v>905</v>
      </c>
      <c r="E648" s="8">
        <v>113729</v>
      </c>
      <c r="F648" s="7" t="s">
        <v>123</v>
      </c>
      <c r="G648" s="7" t="s">
        <v>124</v>
      </c>
      <c r="H648" s="7" t="s">
        <v>120</v>
      </c>
      <c r="I648" s="7" t="s">
        <v>157</v>
      </c>
    </row>
    <row r="649" spans="1:9" x14ac:dyDescent="0.25">
      <c r="A649" s="7">
        <v>18</v>
      </c>
      <c r="B649" s="7" t="s">
        <v>927</v>
      </c>
      <c r="C649" s="8">
        <v>1781878360192800</v>
      </c>
      <c r="D649" s="7" t="s">
        <v>905</v>
      </c>
      <c r="E649" s="8">
        <v>115297</v>
      </c>
      <c r="F649" s="7" t="s">
        <v>123</v>
      </c>
      <c r="G649" s="7" t="s">
        <v>124</v>
      </c>
      <c r="H649" s="7" t="s">
        <v>120</v>
      </c>
      <c r="I649" s="7" t="s">
        <v>159</v>
      </c>
    </row>
    <row r="650" spans="1:9" x14ac:dyDescent="0.25">
      <c r="A650" s="7">
        <v>18</v>
      </c>
      <c r="B650" s="7" t="s">
        <v>928</v>
      </c>
      <c r="C650" s="8">
        <v>1781878384592140</v>
      </c>
      <c r="D650" s="7" t="s">
        <v>905</v>
      </c>
      <c r="E650" s="8">
        <v>139696</v>
      </c>
      <c r="F650" s="7" t="s">
        <v>123</v>
      </c>
      <c r="G650" s="7" t="s">
        <v>124</v>
      </c>
      <c r="H650" s="7" t="s">
        <v>161</v>
      </c>
      <c r="I650" s="7" t="s">
        <v>929</v>
      </c>
    </row>
    <row r="651" spans="1:9" x14ac:dyDescent="0.25">
      <c r="A651" s="7">
        <v>18</v>
      </c>
      <c r="B651" s="7" t="s">
        <v>930</v>
      </c>
      <c r="C651" s="8">
        <v>1781878384594290</v>
      </c>
      <c r="D651" s="7" t="s">
        <v>905</v>
      </c>
      <c r="E651" s="8">
        <v>139699</v>
      </c>
      <c r="F651" s="7" t="s">
        <v>98</v>
      </c>
      <c r="G651" s="7" t="s">
        <v>99</v>
      </c>
      <c r="H651" s="7" t="s">
        <v>161</v>
      </c>
      <c r="I651" s="7" t="s">
        <v>931</v>
      </c>
    </row>
    <row r="652" spans="1:9" x14ac:dyDescent="0.25">
      <c r="A652" s="7">
        <v>18</v>
      </c>
      <c r="B652" s="7" t="s">
        <v>932</v>
      </c>
      <c r="C652" s="8">
        <v>1781878429670200</v>
      </c>
      <c r="D652" s="7" t="s">
        <v>905</v>
      </c>
      <c r="E652" s="8">
        <v>184775</v>
      </c>
      <c r="F652" s="7" t="s">
        <v>166</v>
      </c>
      <c r="G652" s="7" t="s">
        <v>167</v>
      </c>
      <c r="H652" s="7" t="s">
        <v>933</v>
      </c>
      <c r="I652" s="7"/>
    </row>
    <row r="653" spans="1:9" x14ac:dyDescent="0.25">
      <c r="A653" s="7">
        <v>18</v>
      </c>
      <c r="B653" s="7" t="s">
        <v>934</v>
      </c>
      <c r="C653" s="8">
        <v>1781878444514480</v>
      </c>
      <c r="D653" s="7" t="s">
        <v>905</v>
      </c>
      <c r="E653" s="8">
        <v>199619</v>
      </c>
      <c r="F653" s="7" t="s">
        <v>93</v>
      </c>
      <c r="G653" s="7" t="s">
        <v>94</v>
      </c>
      <c r="H653" s="7" t="s">
        <v>153</v>
      </c>
      <c r="I653" s="7" t="s">
        <v>153</v>
      </c>
    </row>
    <row r="654" spans="1:9" x14ac:dyDescent="0.25">
      <c r="A654" s="7">
        <v>18</v>
      </c>
      <c r="B654" s="7" t="s">
        <v>935</v>
      </c>
      <c r="C654" s="8">
        <v>1781878444520200</v>
      </c>
      <c r="D654" s="7" t="s">
        <v>905</v>
      </c>
      <c r="E654" s="8">
        <v>199625</v>
      </c>
      <c r="F654" s="7" t="s">
        <v>98</v>
      </c>
      <c r="G654" s="7" t="s">
        <v>99</v>
      </c>
      <c r="H654" s="7" t="s">
        <v>120</v>
      </c>
      <c r="I654" s="7" t="s">
        <v>155</v>
      </c>
    </row>
    <row r="655" spans="1:9" x14ac:dyDescent="0.25">
      <c r="A655" s="7">
        <v>18</v>
      </c>
      <c r="B655" s="7" t="s">
        <v>936</v>
      </c>
      <c r="C655" s="8">
        <v>1781878444521550</v>
      </c>
      <c r="D655" s="7" t="s">
        <v>905</v>
      </c>
      <c r="E655" s="8">
        <v>199626</v>
      </c>
      <c r="F655" s="7" t="s">
        <v>123</v>
      </c>
      <c r="G655" s="7" t="s">
        <v>124</v>
      </c>
      <c r="H655" s="7" t="s">
        <v>120</v>
      </c>
      <c r="I655" s="7" t="s">
        <v>157</v>
      </c>
    </row>
    <row r="656" spans="1:9" x14ac:dyDescent="0.25">
      <c r="A656" s="7">
        <v>18</v>
      </c>
      <c r="B656" s="7" t="s">
        <v>937</v>
      </c>
      <c r="C656" s="8">
        <v>1781878446092510</v>
      </c>
      <c r="D656" s="7" t="s">
        <v>905</v>
      </c>
      <c r="E656" s="8">
        <v>201197</v>
      </c>
      <c r="F656" s="7" t="s">
        <v>123</v>
      </c>
      <c r="G656" s="7" t="s">
        <v>124</v>
      </c>
      <c r="H656" s="7" t="s">
        <v>120</v>
      </c>
      <c r="I656" s="7" t="s">
        <v>159</v>
      </c>
    </row>
    <row r="657" spans="1:9" x14ac:dyDescent="0.25">
      <c r="A657" s="7">
        <v>18</v>
      </c>
      <c r="B657" s="7" t="s">
        <v>938</v>
      </c>
      <c r="C657" s="8">
        <v>1781878448191690</v>
      </c>
      <c r="D657" s="7" t="s">
        <v>905</v>
      </c>
      <c r="E657" s="8">
        <v>203296</v>
      </c>
      <c r="F657" s="7" t="s">
        <v>123</v>
      </c>
      <c r="G657" s="7" t="s">
        <v>124</v>
      </c>
      <c r="H657" s="7" t="s">
        <v>161</v>
      </c>
      <c r="I657" s="7" t="s">
        <v>939</v>
      </c>
    </row>
    <row r="658" spans="1:9" x14ac:dyDescent="0.25">
      <c r="A658" s="7">
        <v>18</v>
      </c>
      <c r="B658" s="7" t="s">
        <v>940</v>
      </c>
      <c r="C658" s="8">
        <v>1781878448196150</v>
      </c>
      <c r="D658" s="7" t="s">
        <v>905</v>
      </c>
      <c r="E658" s="8">
        <v>203300</v>
      </c>
      <c r="F658" s="7" t="s">
        <v>98</v>
      </c>
      <c r="G658" s="7" t="s">
        <v>99</v>
      </c>
      <c r="H658" s="7" t="s">
        <v>161</v>
      </c>
      <c r="I658" s="7" t="s">
        <v>941</v>
      </c>
    </row>
    <row r="659" spans="1:9" x14ac:dyDescent="0.25">
      <c r="A659" s="7">
        <v>18</v>
      </c>
      <c r="B659" s="7" t="s">
        <v>942</v>
      </c>
      <c r="C659" s="8">
        <v>1781878462912380</v>
      </c>
      <c r="D659" s="7" t="s">
        <v>905</v>
      </c>
      <c r="E659" s="8">
        <v>218017</v>
      </c>
      <c r="F659" s="7" t="s">
        <v>93</v>
      </c>
      <c r="G659" s="7" t="s">
        <v>94</v>
      </c>
      <c r="H659" s="7" t="s">
        <v>153</v>
      </c>
      <c r="I659" s="7" t="s">
        <v>153</v>
      </c>
    </row>
    <row r="660" spans="1:9" x14ac:dyDescent="0.25">
      <c r="A660" s="7">
        <v>18</v>
      </c>
      <c r="B660" s="7" t="s">
        <v>943</v>
      </c>
      <c r="C660" s="8">
        <v>1781878462916600</v>
      </c>
      <c r="D660" s="7" t="s">
        <v>905</v>
      </c>
      <c r="E660" s="8">
        <v>218021</v>
      </c>
      <c r="F660" s="7" t="s">
        <v>98</v>
      </c>
      <c r="G660" s="7" t="s">
        <v>99</v>
      </c>
      <c r="H660" s="7" t="s">
        <v>120</v>
      </c>
      <c r="I660" s="7" t="s">
        <v>155</v>
      </c>
    </row>
    <row r="661" spans="1:9" x14ac:dyDescent="0.25">
      <c r="A661" s="7">
        <v>18</v>
      </c>
      <c r="B661" s="7" t="s">
        <v>944</v>
      </c>
      <c r="C661" s="8">
        <v>1781878462920950</v>
      </c>
      <c r="D661" s="7" t="s">
        <v>905</v>
      </c>
      <c r="E661" s="8">
        <v>218025</v>
      </c>
      <c r="F661" s="7" t="s">
        <v>123</v>
      </c>
      <c r="G661" s="7" t="s">
        <v>124</v>
      </c>
      <c r="H661" s="7" t="s">
        <v>120</v>
      </c>
      <c r="I661" s="7" t="s">
        <v>157</v>
      </c>
    </row>
    <row r="662" spans="1:9" x14ac:dyDescent="0.25">
      <c r="A662" s="7">
        <v>18</v>
      </c>
      <c r="B662" s="7" t="s">
        <v>945</v>
      </c>
      <c r="C662" s="8">
        <v>1781878464515270</v>
      </c>
      <c r="D662" s="7" t="s">
        <v>905</v>
      </c>
      <c r="E662" s="8">
        <v>219620</v>
      </c>
      <c r="F662" s="7" t="s">
        <v>123</v>
      </c>
      <c r="G662" s="7" t="s">
        <v>124</v>
      </c>
      <c r="H662" s="7" t="s">
        <v>120</v>
      </c>
      <c r="I662" s="7" t="s">
        <v>159</v>
      </c>
    </row>
    <row r="663" spans="1:9" x14ac:dyDescent="0.25">
      <c r="A663" s="7">
        <v>18</v>
      </c>
      <c r="B663" s="7" t="s">
        <v>946</v>
      </c>
      <c r="C663" s="8">
        <v>1781878472393430</v>
      </c>
      <c r="D663" s="7" t="s">
        <v>905</v>
      </c>
      <c r="E663" s="8">
        <v>227498</v>
      </c>
      <c r="F663" s="7" t="s">
        <v>123</v>
      </c>
      <c r="G663" s="7" t="s">
        <v>124</v>
      </c>
      <c r="H663" s="7" t="s">
        <v>161</v>
      </c>
      <c r="I663" s="7" t="s">
        <v>947</v>
      </c>
    </row>
    <row r="664" spans="1:9" x14ac:dyDescent="0.25">
      <c r="A664" s="7">
        <v>18</v>
      </c>
      <c r="B664" s="7" t="s">
        <v>948</v>
      </c>
      <c r="C664" s="8">
        <v>1781878472398510</v>
      </c>
      <c r="D664" s="7" t="s">
        <v>905</v>
      </c>
      <c r="E664" s="8">
        <v>227503</v>
      </c>
      <c r="F664" s="7" t="s">
        <v>98</v>
      </c>
      <c r="G664" s="7" t="s">
        <v>99</v>
      </c>
      <c r="H664" s="7" t="s">
        <v>161</v>
      </c>
      <c r="I664" s="7" t="s">
        <v>949</v>
      </c>
    </row>
    <row r="665" spans="1:9" x14ac:dyDescent="0.25">
      <c r="A665" s="7">
        <v>18</v>
      </c>
      <c r="B665" s="7" t="s">
        <v>950</v>
      </c>
      <c r="C665" s="8">
        <v>1781878512041740</v>
      </c>
      <c r="D665" s="7" t="s">
        <v>905</v>
      </c>
      <c r="E665" s="8">
        <v>267146</v>
      </c>
      <c r="F665" s="7" t="s">
        <v>93</v>
      </c>
      <c r="G665" s="7" t="s">
        <v>94</v>
      </c>
      <c r="H665" s="7" t="s">
        <v>153</v>
      </c>
      <c r="I665" s="7" t="s">
        <v>153</v>
      </c>
    </row>
    <row r="666" spans="1:9" x14ac:dyDescent="0.25">
      <c r="A666" s="7">
        <v>18</v>
      </c>
      <c r="B666" s="7" t="s">
        <v>951</v>
      </c>
      <c r="C666" s="8">
        <v>1781878512058990</v>
      </c>
      <c r="D666" s="7" t="s">
        <v>905</v>
      </c>
      <c r="E666" s="8">
        <v>267163</v>
      </c>
      <c r="F666" s="7" t="s">
        <v>98</v>
      </c>
      <c r="G666" s="7" t="s">
        <v>99</v>
      </c>
      <c r="H666" s="7" t="s">
        <v>120</v>
      </c>
      <c r="I666" s="7" t="s">
        <v>155</v>
      </c>
    </row>
    <row r="667" spans="1:9" x14ac:dyDescent="0.25">
      <c r="A667" s="7">
        <v>18</v>
      </c>
      <c r="B667" s="7" t="s">
        <v>952</v>
      </c>
      <c r="C667" s="8">
        <v>1781878512059610</v>
      </c>
      <c r="D667" s="7" t="s">
        <v>905</v>
      </c>
      <c r="E667" s="8">
        <v>267164</v>
      </c>
      <c r="F667" s="7" t="s">
        <v>123</v>
      </c>
      <c r="G667" s="7" t="s">
        <v>124</v>
      </c>
      <c r="H667" s="7" t="s">
        <v>120</v>
      </c>
      <c r="I667" s="7" t="s">
        <v>157</v>
      </c>
    </row>
    <row r="668" spans="1:9" x14ac:dyDescent="0.25">
      <c r="A668" s="7">
        <v>18</v>
      </c>
      <c r="B668" s="7" t="s">
        <v>953</v>
      </c>
      <c r="C668" s="8">
        <v>1781878513593230</v>
      </c>
      <c r="D668" s="7" t="s">
        <v>905</v>
      </c>
      <c r="E668" s="8">
        <v>268698</v>
      </c>
      <c r="F668" s="7" t="s">
        <v>123</v>
      </c>
      <c r="G668" s="7" t="s">
        <v>124</v>
      </c>
      <c r="H668" s="7" t="s">
        <v>120</v>
      </c>
      <c r="I668" s="7" t="s">
        <v>159</v>
      </c>
    </row>
    <row r="669" spans="1:9" x14ac:dyDescent="0.25">
      <c r="A669" s="7">
        <v>18</v>
      </c>
      <c r="B669" s="7" t="s">
        <v>954</v>
      </c>
      <c r="C669" s="8">
        <v>1781878514292890</v>
      </c>
      <c r="D669" s="7" t="s">
        <v>905</v>
      </c>
      <c r="E669" s="8">
        <v>269397</v>
      </c>
      <c r="F669" s="7" t="s">
        <v>123</v>
      </c>
      <c r="G669" s="7" t="s">
        <v>124</v>
      </c>
      <c r="H669" s="7" t="s">
        <v>161</v>
      </c>
      <c r="I669" s="7" t="s">
        <v>955</v>
      </c>
    </row>
    <row r="670" spans="1:9" x14ac:dyDescent="0.25">
      <c r="A670" s="7">
        <v>18</v>
      </c>
      <c r="B670" s="7" t="s">
        <v>956</v>
      </c>
      <c r="C670" s="8">
        <v>1781878514294750</v>
      </c>
      <c r="D670" s="7" t="s">
        <v>905</v>
      </c>
      <c r="E670" s="8">
        <v>269399</v>
      </c>
      <c r="F670" s="7" t="s">
        <v>98</v>
      </c>
      <c r="G670" s="7" t="s">
        <v>99</v>
      </c>
      <c r="H670" s="7" t="s">
        <v>161</v>
      </c>
      <c r="I670" s="7" t="s">
        <v>957</v>
      </c>
    </row>
    <row r="671" spans="1:9" x14ac:dyDescent="0.25">
      <c r="A671" s="7">
        <v>18</v>
      </c>
      <c r="B671" s="7" t="s">
        <v>958</v>
      </c>
      <c r="C671" s="8">
        <v>1781878641382670</v>
      </c>
      <c r="D671" s="7" t="s">
        <v>905</v>
      </c>
      <c r="E671" s="8">
        <v>396487</v>
      </c>
      <c r="F671" s="7" t="s">
        <v>93</v>
      </c>
      <c r="G671" s="7" t="s">
        <v>94</v>
      </c>
      <c r="H671" s="7" t="s">
        <v>153</v>
      </c>
      <c r="I671" s="7" t="s">
        <v>153</v>
      </c>
    </row>
    <row r="672" spans="1:9" x14ac:dyDescent="0.25">
      <c r="A672" s="7">
        <v>18</v>
      </c>
      <c r="B672" s="7" t="s">
        <v>959</v>
      </c>
      <c r="C672" s="8">
        <v>1781878641384310</v>
      </c>
      <c r="D672" s="7" t="s">
        <v>905</v>
      </c>
      <c r="E672" s="8">
        <v>396489</v>
      </c>
      <c r="F672" s="7" t="s">
        <v>98</v>
      </c>
      <c r="G672" s="7" t="s">
        <v>99</v>
      </c>
      <c r="H672" s="7" t="s">
        <v>120</v>
      </c>
      <c r="I672" s="7" t="s">
        <v>155</v>
      </c>
    </row>
    <row r="673" spans="1:9" x14ac:dyDescent="0.25">
      <c r="A673" s="7">
        <v>18</v>
      </c>
      <c r="B673" s="7" t="s">
        <v>960</v>
      </c>
      <c r="C673" s="8">
        <v>1781878641387870</v>
      </c>
      <c r="D673" s="7" t="s">
        <v>905</v>
      </c>
      <c r="E673" s="8">
        <v>396492</v>
      </c>
      <c r="F673" s="7" t="s">
        <v>123</v>
      </c>
      <c r="G673" s="7" t="s">
        <v>124</v>
      </c>
      <c r="H673" s="7" t="s">
        <v>120</v>
      </c>
      <c r="I673" s="7" t="s">
        <v>157</v>
      </c>
    </row>
    <row r="674" spans="1:9" x14ac:dyDescent="0.25">
      <c r="A674" s="7">
        <v>18</v>
      </c>
      <c r="B674" s="7" t="s">
        <v>961</v>
      </c>
      <c r="C674" s="8">
        <v>1781878642893950</v>
      </c>
      <c r="D674" s="7" t="s">
        <v>905</v>
      </c>
      <c r="E674" s="8">
        <v>397999</v>
      </c>
      <c r="F674" s="7" t="s">
        <v>123</v>
      </c>
      <c r="G674" s="7" t="s">
        <v>124</v>
      </c>
      <c r="H674" s="7" t="s">
        <v>120</v>
      </c>
      <c r="I674" s="7" t="s">
        <v>159</v>
      </c>
    </row>
    <row r="675" spans="1:9" x14ac:dyDescent="0.25">
      <c r="A675" s="7">
        <v>18</v>
      </c>
      <c r="B675" s="7" t="s">
        <v>962</v>
      </c>
      <c r="C675" s="8">
        <v>1781878659690920</v>
      </c>
      <c r="D675" s="7" t="s">
        <v>905</v>
      </c>
      <c r="E675" s="8">
        <v>414795</v>
      </c>
      <c r="F675" s="7" t="s">
        <v>123</v>
      </c>
      <c r="G675" s="7" t="s">
        <v>124</v>
      </c>
      <c r="H675" s="7" t="s">
        <v>161</v>
      </c>
      <c r="I675" s="7" t="s">
        <v>963</v>
      </c>
    </row>
    <row r="676" spans="1:9" x14ac:dyDescent="0.25">
      <c r="A676" s="7">
        <v>18</v>
      </c>
      <c r="B676" s="7" t="s">
        <v>964</v>
      </c>
      <c r="C676" s="8">
        <v>1781878659695070</v>
      </c>
      <c r="D676" s="7" t="s">
        <v>905</v>
      </c>
      <c r="E676" s="8">
        <v>414799</v>
      </c>
      <c r="F676" s="7" t="s">
        <v>98</v>
      </c>
      <c r="G676" s="7" t="s">
        <v>99</v>
      </c>
      <c r="H676" s="7" t="s">
        <v>161</v>
      </c>
      <c r="I676" s="7" t="s">
        <v>965</v>
      </c>
    </row>
    <row r="677" spans="1:9" x14ac:dyDescent="0.25">
      <c r="A677" s="4">
        <v>18</v>
      </c>
      <c r="B677" s="4" t="s">
        <v>966</v>
      </c>
      <c r="C677" s="18">
        <v>1781878791011590</v>
      </c>
      <c r="D677" s="4" t="s">
        <v>905</v>
      </c>
      <c r="E677" s="18">
        <v>546116</v>
      </c>
      <c r="F677" s="4" t="s">
        <v>93</v>
      </c>
      <c r="G677" s="4" t="s">
        <v>94</v>
      </c>
      <c r="H677" s="4" t="s">
        <v>153</v>
      </c>
      <c r="I677" s="4" t="s">
        <v>153</v>
      </c>
    </row>
    <row r="678" spans="1:9" x14ac:dyDescent="0.25">
      <c r="A678" s="4">
        <v>18</v>
      </c>
      <c r="B678" s="4" t="s">
        <v>967</v>
      </c>
      <c r="C678" s="18">
        <v>1781878791013300</v>
      </c>
      <c r="D678" s="4" t="s">
        <v>905</v>
      </c>
      <c r="E678" s="18">
        <v>546118</v>
      </c>
      <c r="F678" s="4" t="s">
        <v>98</v>
      </c>
      <c r="G678" s="4" t="s">
        <v>99</v>
      </c>
      <c r="H678" s="4" t="s">
        <v>120</v>
      </c>
      <c r="I678" s="4" t="s">
        <v>155</v>
      </c>
    </row>
    <row r="679" spans="1:9" x14ac:dyDescent="0.25">
      <c r="A679" s="4">
        <v>18</v>
      </c>
      <c r="B679" s="4" t="s">
        <v>968</v>
      </c>
      <c r="C679" s="18">
        <v>1781878791018630</v>
      </c>
      <c r="D679" s="4" t="s">
        <v>905</v>
      </c>
      <c r="E679" s="18">
        <v>546123</v>
      </c>
      <c r="F679" s="4" t="s">
        <v>123</v>
      </c>
      <c r="G679" s="4" t="s">
        <v>124</v>
      </c>
      <c r="H679" s="4" t="s">
        <v>120</v>
      </c>
      <c r="I679" s="4" t="s">
        <v>157</v>
      </c>
    </row>
    <row r="680" spans="1:9" x14ac:dyDescent="0.25">
      <c r="A680" s="4">
        <v>18</v>
      </c>
      <c r="B680" s="4" t="s">
        <v>969</v>
      </c>
      <c r="C680" s="18">
        <v>1781878792601990</v>
      </c>
      <c r="D680" s="4" t="s">
        <v>905</v>
      </c>
      <c r="E680" s="18">
        <v>547706</v>
      </c>
      <c r="F680" s="4" t="s">
        <v>123</v>
      </c>
      <c r="G680" s="4" t="s">
        <v>124</v>
      </c>
      <c r="H680" s="4" t="s">
        <v>120</v>
      </c>
      <c r="I680" s="4" t="s">
        <v>159</v>
      </c>
    </row>
    <row r="681" spans="1:9" x14ac:dyDescent="0.25">
      <c r="A681" s="4">
        <v>18</v>
      </c>
      <c r="B681" s="4" t="s">
        <v>970</v>
      </c>
      <c r="C681" s="18">
        <v>1781878811100520</v>
      </c>
      <c r="D681" s="4" t="s">
        <v>905</v>
      </c>
      <c r="E681" s="18">
        <v>566205</v>
      </c>
      <c r="F681" s="4" t="s">
        <v>123</v>
      </c>
      <c r="G681" s="4" t="s">
        <v>124</v>
      </c>
      <c r="H681" s="4" t="s">
        <v>161</v>
      </c>
      <c r="I681" s="4" t="s">
        <v>971</v>
      </c>
    </row>
    <row r="682" spans="1:9" x14ac:dyDescent="0.25">
      <c r="A682" s="4">
        <v>18</v>
      </c>
      <c r="B682" s="4" t="s">
        <v>972</v>
      </c>
      <c r="C682" s="18">
        <v>1781878811102740</v>
      </c>
      <c r="D682" s="4" t="s">
        <v>905</v>
      </c>
      <c r="E682" s="18">
        <v>566207</v>
      </c>
      <c r="F682" s="4" t="s">
        <v>98</v>
      </c>
      <c r="G682" s="4" t="s">
        <v>99</v>
      </c>
      <c r="H682" s="4" t="s">
        <v>161</v>
      </c>
      <c r="I682" s="4" t="s">
        <v>973</v>
      </c>
    </row>
    <row r="683" spans="1:9" x14ac:dyDescent="0.25">
      <c r="A683" s="4">
        <v>18</v>
      </c>
      <c r="B683" s="4" t="s">
        <v>974</v>
      </c>
      <c r="C683" s="18">
        <v>1781878837582560</v>
      </c>
      <c r="D683" s="4" t="s">
        <v>905</v>
      </c>
      <c r="E683" s="18">
        <v>592687</v>
      </c>
      <c r="F683" s="4" t="s">
        <v>166</v>
      </c>
      <c r="G683" s="4" t="s">
        <v>167</v>
      </c>
      <c r="H683" s="4" t="s">
        <v>975</v>
      </c>
      <c r="I683" s="4"/>
    </row>
    <row r="684" spans="1:9" x14ac:dyDescent="0.25">
      <c r="A684" s="4">
        <v>18</v>
      </c>
      <c r="B684" s="4" t="s">
        <v>976</v>
      </c>
      <c r="C684" s="18">
        <v>1781878853225390</v>
      </c>
      <c r="D684" s="4" t="s">
        <v>905</v>
      </c>
      <c r="E684" s="18">
        <v>608330</v>
      </c>
      <c r="F684" s="4" t="s">
        <v>98</v>
      </c>
      <c r="G684" s="4" t="s">
        <v>99</v>
      </c>
      <c r="H684" s="4" t="s">
        <v>172</v>
      </c>
      <c r="I684" s="4" t="s">
        <v>331</v>
      </c>
    </row>
    <row r="685" spans="1:9" x14ac:dyDescent="0.25">
      <c r="A685" s="4">
        <v>18</v>
      </c>
      <c r="B685" s="4" t="s">
        <v>977</v>
      </c>
      <c r="C685" s="18">
        <v>1781878853319770</v>
      </c>
      <c r="D685" s="4" t="s">
        <v>905</v>
      </c>
      <c r="E685" s="18">
        <v>608424</v>
      </c>
      <c r="F685" s="4" t="s">
        <v>93</v>
      </c>
      <c r="G685" s="4" t="s">
        <v>94</v>
      </c>
      <c r="H685" s="4" t="s">
        <v>170</v>
      </c>
      <c r="I685" s="4" t="s">
        <v>170</v>
      </c>
    </row>
    <row r="686" spans="1:9" x14ac:dyDescent="0.25">
      <c r="A686" s="4">
        <v>18</v>
      </c>
      <c r="B686" s="4" t="s">
        <v>978</v>
      </c>
      <c r="C686" s="18">
        <v>1781878872136570</v>
      </c>
      <c r="D686" s="4" t="s">
        <v>905</v>
      </c>
      <c r="E686" s="18">
        <v>627241</v>
      </c>
      <c r="F686" s="4" t="s">
        <v>93</v>
      </c>
      <c r="G686" s="4" t="s">
        <v>94</v>
      </c>
      <c r="H686" s="4" t="s">
        <v>175</v>
      </c>
      <c r="I686" s="4" t="s">
        <v>175</v>
      </c>
    </row>
    <row r="687" spans="1:9" x14ac:dyDescent="0.25">
      <c r="A687" s="4">
        <v>18</v>
      </c>
      <c r="B687" s="4" t="s">
        <v>979</v>
      </c>
      <c r="C687" s="18">
        <v>1781878872137710</v>
      </c>
      <c r="D687" s="4" t="s">
        <v>905</v>
      </c>
      <c r="E687" s="18">
        <v>627242</v>
      </c>
      <c r="F687" s="4" t="s">
        <v>98</v>
      </c>
      <c r="G687" s="4" t="s">
        <v>99</v>
      </c>
      <c r="H687" s="4" t="s">
        <v>120</v>
      </c>
      <c r="I687" s="4" t="s">
        <v>177</v>
      </c>
    </row>
    <row r="688" spans="1:9" x14ac:dyDescent="0.25">
      <c r="A688" s="4">
        <v>18</v>
      </c>
      <c r="B688" s="4" t="s">
        <v>980</v>
      </c>
      <c r="C688" s="18">
        <v>1781878879139790</v>
      </c>
      <c r="D688" s="4" t="s">
        <v>905</v>
      </c>
      <c r="E688" s="18">
        <v>634244</v>
      </c>
      <c r="F688" s="4" t="s">
        <v>98</v>
      </c>
      <c r="G688" s="4" t="s">
        <v>99</v>
      </c>
      <c r="H688" s="4" t="s">
        <v>179</v>
      </c>
      <c r="I688" s="4" t="s">
        <v>335</v>
      </c>
    </row>
    <row r="689" spans="1:9" x14ac:dyDescent="0.25">
      <c r="A689" s="4">
        <v>18</v>
      </c>
      <c r="B689" s="4" t="s">
        <v>981</v>
      </c>
      <c r="C689" s="18">
        <v>1781878879140220</v>
      </c>
      <c r="D689" s="4" t="s">
        <v>905</v>
      </c>
      <c r="E689" s="18">
        <v>634245</v>
      </c>
      <c r="F689" s="4" t="s">
        <v>103</v>
      </c>
      <c r="G689" s="4" t="s">
        <v>89</v>
      </c>
      <c r="H689" s="4" t="s">
        <v>179</v>
      </c>
      <c r="I689" s="4"/>
    </row>
    <row r="690" spans="1:9" x14ac:dyDescent="0.25">
      <c r="B690" t="s">
        <v>982</v>
      </c>
      <c r="C690" s="12">
        <v>1781878973017100</v>
      </c>
      <c r="D690" t="s">
        <v>983</v>
      </c>
      <c r="E690" t="s">
        <v>87</v>
      </c>
      <c r="F690" t="s">
        <v>88</v>
      </c>
      <c r="G690" t="s">
        <v>89</v>
      </c>
      <c r="H690" t="s">
        <v>184</v>
      </c>
    </row>
    <row r="691" spans="1:9" x14ac:dyDescent="0.25">
      <c r="B691" t="s">
        <v>984</v>
      </c>
      <c r="C691" s="12">
        <v>1781878973018650</v>
      </c>
      <c r="D691" t="s">
        <v>983</v>
      </c>
      <c r="E691" t="s">
        <v>92</v>
      </c>
      <c r="F691" t="s">
        <v>166</v>
      </c>
      <c r="G691" t="s">
        <v>167</v>
      </c>
      <c r="H691" t="s">
        <v>711</v>
      </c>
    </row>
    <row r="692" spans="1:9" x14ac:dyDescent="0.25">
      <c r="B692" t="s">
        <v>985</v>
      </c>
      <c r="C692" s="12">
        <v>1781878998504020</v>
      </c>
      <c r="D692" t="s">
        <v>983</v>
      </c>
      <c r="E692" s="12">
        <v>25487</v>
      </c>
      <c r="F692" t="s">
        <v>93</v>
      </c>
      <c r="G692" t="s">
        <v>94</v>
      </c>
      <c r="H692" t="s">
        <v>195</v>
      </c>
      <c r="I692" t="s">
        <v>195</v>
      </c>
    </row>
    <row r="693" spans="1:9" x14ac:dyDescent="0.25">
      <c r="B693" t="s">
        <v>986</v>
      </c>
      <c r="C693" s="12">
        <v>1781879029136520</v>
      </c>
      <c r="D693" t="s">
        <v>983</v>
      </c>
      <c r="E693" s="12">
        <v>56120</v>
      </c>
      <c r="F693" t="s">
        <v>103</v>
      </c>
      <c r="G693" t="s">
        <v>89</v>
      </c>
      <c r="H693" t="s">
        <v>104</v>
      </c>
    </row>
    <row r="694" spans="1:9" x14ac:dyDescent="0.25">
      <c r="B694" t="s">
        <v>987</v>
      </c>
      <c r="C694" s="12">
        <v>1781879029138260</v>
      </c>
      <c r="D694" t="s">
        <v>988</v>
      </c>
      <c r="E694" t="s">
        <v>87</v>
      </c>
      <c r="F694" t="s">
        <v>88</v>
      </c>
      <c r="G694" t="s">
        <v>89</v>
      </c>
      <c r="H694" t="s">
        <v>90</v>
      </c>
    </row>
    <row r="695" spans="1:9" x14ac:dyDescent="0.25">
      <c r="A695" s="7">
        <v>19</v>
      </c>
      <c r="B695" s="7" t="s">
        <v>989</v>
      </c>
      <c r="C695" s="8">
        <v>1781879029139320</v>
      </c>
      <c r="D695" s="7" t="s">
        <v>988</v>
      </c>
      <c r="E695" s="7" t="s">
        <v>108</v>
      </c>
      <c r="F695" s="7" t="s">
        <v>93</v>
      </c>
      <c r="G695" s="7" t="s">
        <v>94</v>
      </c>
      <c r="H695" s="7" t="s">
        <v>95</v>
      </c>
      <c r="I695" s="7" t="s">
        <v>95</v>
      </c>
    </row>
    <row r="696" spans="1:9" x14ac:dyDescent="0.25">
      <c r="A696" s="7">
        <v>19</v>
      </c>
      <c r="B696" s="7" t="s">
        <v>990</v>
      </c>
      <c r="C696" s="8">
        <v>1781879029140380</v>
      </c>
      <c r="D696" s="7" t="s">
        <v>988</v>
      </c>
      <c r="E696" s="7" t="s">
        <v>92</v>
      </c>
      <c r="F696" s="7" t="s">
        <v>98</v>
      </c>
      <c r="G696" s="7" t="s">
        <v>99</v>
      </c>
      <c r="H696" s="7" t="s">
        <v>100</v>
      </c>
      <c r="I696" s="7" t="s">
        <v>101</v>
      </c>
    </row>
    <row r="697" spans="1:9" x14ac:dyDescent="0.25">
      <c r="A697" s="7">
        <v>19</v>
      </c>
      <c r="B697" s="7" t="s">
        <v>991</v>
      </c>
      <c r="C697" s="8">
        <v>1781879046164450</v>
      </c>
      <c r="D697" s="7" t="s">
        <v>988</v>
      </c>
      <c r="E697" s="8">
        <v>17026</v>
      </c>
      <c r="F697" s="7" t="s">
        <v>93</v>
      </c>
      <c r="G697" s="7" t="s">
        <v>94</v>
      </c>
      <c r="H697" s="7" t="s">
        <v>118</v>
      </c>
      <c r="I697" s="7" t="s">
        <v>118</v>
      </c>
    </row>
    <row r="698" spans="1:9" x14ac:dyDescent="0.25">
      <c r="A698" s="7">
        <v>19</v>
      </c>
      <c r="B698" s="7" t="s">
        <v>992</v>
      </c>
      <c r="C698" s="8">
        <v>1781879046169810</v>
      </c>
      <c r="D698" s="7" t="s">
        <v>988</v>
      </c>
      <c r="E698" s="8">
        <v>17032</v>
      </c>
      <c r="F698" s="7" t="s">
        <v>98</v>
      </c>
      <c r="G698" s="7" t="s">
        <v>99</v>
      </c>
      <c r="H698" s="7" t="s">
        <v>120</v>
      </c>
      <c r="I698" s="7" t="s">
        <v>121</v>
      </c>
    </row>
    <row r="699" spans="1:9" x14ac:dyDescent="0.25">
      <c r="A699" s="7">
        <v>19</v>
      </c>
      <c r="B699" s="7" t="s">
        <v>993</v>
      </c>
      <c r="C699" s="8">
        <v>1781879046171100</v>
      </c>
      <c r="D699" s="7" t="s">
        <v>988</v>
      </c>
      <c r="E699" s="8">
        <v>17033</v>
      </c>
      <c r="F699" s="7" t="s">
        <v>123</v>
      </c>
      <c r="G699" s="7" t="s">
        <v>124</v>
      </c>
      <c r="H699" s="7" t="s">
        <v>120</v>
      </c>
      <c r="I699" s="7" t="s">
        <v>125</v>
      </c>
    </row>
    <row r="700" spans="1:9" x14ac:dyDescent="0.25">
      <c r="A700" s="7">
        <v>19</v>
      </c>
      <c r="B700" s="7" t="s">
        <v>994</v>
      </c>
      <c r="C700" s="8">
        <v>1781879091200170</v>
      </c>
      <c r="D700" s="7" t="s">
        <v>988</v>
      </c>
      <c r="E700" s="8">
        <v>62062</v>
      </c>
      <c r="F700" s="7" t="s">
        <v>123</v>
      </c>
      <c r="G700" s="7" t="s">
        <v>124</v>
      </c>
      <c r="H700" s="7" t="s">
        <v>120</v>
      </c>
      <c r="I700" s="7" t="s">
        <v>631</v>
      </c>
    </row>
    <row r="701" spans="1:9" x14ac:dyDescent="0.25">
      <c r="A701" s="7">
        <v>19</v>
      </c>
      <c r="B701" s="7" t="s">
        <v>995</v>
      </c>
      <c r="C701" s="8">
        <v>1781879091202780</v>
      </c>
      <c r="D701" s="7" t="s">
        <v>988</v>
      </c>
      <c r="E701" s="8">
        <v>62065</v>
      </c>
      <c r="F701" s="7" t="s">
        <v>98</v>
      </c>
      <c r="G701" s="7" t="s">
        <v>99</v>
      </c>
      <c r="H701" s="7" t="s">
        <v>120</v>
      </c>
      <c r="I701" s="7" t="s">
        <v>633</v>
      </c>
    </row>
    <row r="702" spans="1:9" x14ac:dyDescent="0.25">
      <c r="A702" s="7">
        <v>19</v>
      </c>
      <c r="B702" s="7" t="s">
        <v>996</v>
      </c>
      <c r="C702" s="8">
        <v>1781879141553410</v>
      </c>
      <c r="D702" s="7" t="s">
        <v>988</v>
      </c>
      <c r="E702" s="8">
        <v>112417</v>
      </c>
      <c r="F702" s="7" t="s">
        <v>93</v>
      </c>
      <c r="G702" s="7" t="s">
        <v>94</v>
      </c>
      <c r="H702" s="7" t="s">
        <v>118</v>
      </c>
      <c r="I702" s="7" t="s">
        <v>118</v>
      </c>
    </row>
    <row r="703" spans="1:9" x14ac:dyDescent="0.25">
      <c r="A703" s="7">
        <v>19</v>
      </c>
      <c r="B703" s="7" t="s">
        <v>997</v>
      </c>
      <c r="C703" s="8">
        <v>1781879141557520</v>
      </c>
      <c r="D703" s="7" t="s">
        <v>988</v>
      </c>
      <c r="E703" s="8">
        <v>112419</v>
      </c>
      <c r="F703" s="7" t="s">
        <v>98</v>
      </c>
      <c r="G703" s="7" t="s">
        <v>99</v>
      </c>
      <c r="H703" s="7" t="s">
        <v>120</v>
      </c>
      <c r="I703" s="7" t="s">
        <v>121</v>
      </c>
    </row>
    <row r="704" spans="1:9" x14ac:dyDescent="0.25">
      <c r="A704" s="7">
        <v>19</v>
      </c>
      <c r="B704" s="7" t="s">
        <v>998</v>
      </c>
      <c r="C704" s="8">
        <v>1781879141568930</v>
      </c>
      <c r="D704" s="7" t="s">
        <v>988</v>
      </c>
      <c r="E704" s="8">
        <v>112431</v>
      </c>
      <c r="F704" s="7" t="s">
        <v>123</v>
      </c>
      <c r="G704" s="7" t="s">
        <v>124</v>
      </c>
      <c r="H704" s="7" t="s">
        <v>120</v>
      </c>
      <c r="I704" s="7" t="s">
        <v>125</v>
      </c>
    </row>
    <row r="705" spans="1:9" x14ac:dyDescent="0.25">
      <c r="A705" s="7">
        <v>19</v>
      </c>
      <c r="B705" s="7" t="s">
        <v>999</v>
      </c>
      <c r="C705" s="8">
        <v>1781879166502600</v>
      </c>
      <c r="D705" s="7" t="s">
        <v>988</v>
      </c>
      <c r="E705" s="8">
        <v>137364</v>
      </c>
      <c r="F705" s="7" t="s">
        <v>123</v>
      </c>
      <c r="G705" s="7" t="s">
        <v>124</v>
      </c>
      <c r="H705" s="7" t="s">
        <v>127</v>
      </c>
      <c r="I705" s="7" t="s">
        <v>1000</v>
      </c>
    </row>
    <row r="706" spans="1:9" x14ac:dyDescent="0.25">
      <c r="A706" s="7">
        <v>19</v>
      </c>
      <c r="B706" s="7" t="s">
        <v>1001</v>
      </c>
      <c r="C706" s="8">
        <v>1781879166505840</v>
      </c>
      <c r="D706" s="7" t="s">
        <v>988</v>
      </c>
      <c r="E706" s="8">
        <v>137368</v>
      </c>
      <c r="F706" s="7" t="s">
        <v>98</v>
      </c>
      <c r="G706" s="7" t="s">
        <v>99</v>
      </c>
      <c r="H706" s="7" t="s">
        <v>127</v>
      </c>
      <c r="I706" s="7" t="s">
        <v>1002</v>
      </c>
    </row>
    <row r="707" spans="1:9" x14ac:dyDescent="0.25">
      <c r="A707" s="7">
        <v>19</v>
      </c>
      <c r="B707" s="7" t="s">
        <v>1003</v>
      </c>
      <c r="C707" s="8">
        <v>1781879168346850</v>
      </c>
      <c r="D707" s="7" t="s">
        <v>988</v>
      </c>
      <c r="E707" s="8">
        <v>139209</v>
      </c>
      <c r="F707" s="7" t="s">
        <v>132</v>
      </c>
      <c r="G707" s="7" t="s">
        <v>133</v>
      </c>
      <c r="H707" s="7" t="s">
        <v>309</v>
      </c>
      <c r="I707" s="7" t="s">
        <v>310</v>
      </c>
    </row>
    <row r="708" spans="1:9" x14ac:dyDescent="0.25">
      <c r="A708" s="7">
        <v>19</v>
      </c>
      <c r="B708" s="7" t="s">
        <v>1004</v>
      </c>
      <c r="C708" s="8">
        <v>1781879180036190</v>
      </c>
      <c r="D708" s="7" t="s">
        <v>988</v>
      </c>
      <c r="E708" s="8">
        <v>150898</v>
      </c>
      <c r="F708" s="7" t="s">
        <v>93</v>
      </c>
      <c r="G708" s="7" t="s">
        <v>94</v>
      </c>
      <c r="H708" s="7" t="s">
        <v>140</v>
      </c>
      <c r="I708" s="7" t="s">
        <v>140</v>
      </c>
    </row>
    <row r="709" spans="1:9" x14ac:dyDescent="0.25">
      <c r="A709" s="7">
        <v>19</v>
      </c>
      <c r="B709" s="7" t="s">
        <v>1005</v>
      </c>
      <c r="C709" s="8">
        <v>1781879180039520</v>
      </c>
      <c r="D709" s="7" t="s">
        <v>988</v>
      </c>
      <c r="E709" s="8">
        <v>150901</v>
      </c>
      <c r="F709" s="7" t="s">
        <v>98</v>
      </c>
      <c r="G709" s="7" t="s">
        <v>99</v>
      </c>
      <c r="H709" s="7" t="s">
        <v>137</v>
      </c>
      <c r="I709" s="7" t="s">
        <v>313</v>
      </c>
    </row>
    <row r="710" spans="1:9" x14ac:dyDescent="0.25">
      <c r="A710" s="7">
        <v>19</v>
      </c>
      <c r="B710" s="7" t="s">
        <v>1006</v>
      </c>
      <c r="C710" s="8">
        <v>1781879192650620</v>
      </c>
      <c r="D710" s="7" t="s">
        <v>988</v>
      </c>
      <c r="E710" s="8">
        <v>163512</v>
      </c>
      <c r="F710" s="7" t="s">
        <v>166</v>
      </c>
      <c r="G710" s="7" t="s">
        <v>167</v>
      </c>
      <c r="H710" s="7" t="s">
        <v>213</v>
      </c>
      <c r="I710" s="7"/>
    </row>
    <row r="711" spans="1:9" x14ac:dyDescent="0.25">
      <c r="A711" s="7">
        <v>19</v>
      </c>
      <c r="B711" s="7" t="s">
        <v>1007</v>
      </c>
      <c r="C711" s="8">
        <v>1781879199372730</v>
      </c>
      <c r="D711" s="7" t="s">
        <v>988</v>
      </c>
      <c r="E711" s="8">
        <v>170235</v>
      </c>
      <c r="F711" s="7" t="s">
        <v>93</v>
      </c>
      <c r="G711" s="7" t="s">
        <v>94</v>
      </c>
      <c r="H711" s="7" t="s">
        <v>146</v>
      </c>
      <c r="I711" s="7" t="s">
        <v>146</v>
      </c>
    </row>
    <row r="712" spans="1:9" x14ac:dyDescent="0.25">
      <c r="A712" s="7">
        <v>19</v>
      </c>
      <c r="B712" s="7" t="s">
        <v>1008</v>
      </c>
      <c r="C712" s="8">
        <v>1781879199375560</v>
      </c>
      <c r="D712" s="7" t="s">
        <v>988</v>
      </c>
      <c r="E712" s="8">
        <v>170237</v>
      </c>
      <c r="F712" s="7" t="s">
        <v>98</v>
      </c>
      <c r="G712" s="7" t="s">
        <v>99</v>
      </c>
      <c r="H712" s="7" t="s">
        <v>120</v>
      </c>
      <c r="I712" s="7" t="s">
        <v>142</v>
      </c>
    </row>
    <row r="713" spans="1:9" x14ac:dyDescent="0.25">
      <c r="A713" s="7">
        <v>19</v>
      </c>
      <c r="B713" s="7" t="s">
        <v>1009</v>
      </c>
      <c r="C713" s="8">
        <v>1781879199383720</v>
      </c>
      <c r="D713" s="7" t="s">
        <v>988</v>
      </c>
      <c r="E713" s="8">
        <v>170246</v>
      </c>
      <c r="F713" s="7" t="s">
        <v>123</v>
      </c>
      <c r="G713" s="7" t="s">
        <v>124</v>
      </c>
      <c r="H713" s="7" t="s">
        <v>120</v>
      </c>
      <c r="I713" s="7" t="s">
        <v>144</v>
      </c>
    </row>
    <row r="714" spans="1:9" x14ac:dyDescent="0.25">
      <c r="A714" s="7">
        <v>19</v>
      </c>
      <c r="B714" s="7" t="s">
        <v>1010</v>
      </c>
      <c r="C714" s="8">
        <v>1781879208819750</v>
      </c>
      <c r="D714" s="7" t="s">
        <v>988</v>
      </c>
      <c r="E714" s="8">
        <v>179682</v>
      </c>
      <c r="F714" s="7" t="s">
        <v>123</v>
      </c>
      <c r="G714" s="7" t="s">
        <v>124</v>
      </c>
      <c r="H714" s="7" t="s">
        <v>148</v>
      </c>
      <c r="I714" s="7" t="s">
        <v>149</v>
      </c>
    </row>
    <row r="715" spans="1:9" x14ac:dyDescent="0.25">
      <c r="A715" s="7">
        <v>19</v>
      </c>
      <c r="B715" s="7" t="s">
        <v>1011</v>
      </c>
      <c r="C715" s="8">
        <v>1781879208823230</v>
      </c>
      <c r="D715" s="7" t="s">
        <v>988</v>
      </c>
      <c r="E715" s="8">
        <v>179685</v>
      </c>
      <c r="F715" s="7" t="s">
        <v>98</v>
      </c>
      <c r="G715" s="7" t="s">
        <v>99</v>
      </c>
      <c r="H715" s="7" t="s">
        <v>148</v>
      </c>
      <c r="I715" s="7" t="s">
        <v>151</v>
      </c>
    </row>
    <row r="716" spans="1:9" x14ac:dyDescent="0.25">
      <c r="A716" s="7">
        <v>19</v>
      </c>
      <c r="B716" s="7" t="s">
        <v>1012</v>
      </c>
      <c r="C716" s="8">
        <v>1781879216872650</v>
      </c>
      <c r="D716" s="7" t="s">
        <v>988</v>
      </c>
      <c r="E716" s="8">
        <v>187735</v>
      </c>
      <c r="F716" s="7" t="s">
        <v>93</v>
      </c>
      <c r="G716" s="7" t="s">
        <v>94</v>
      </c>
      <c r="H716" s="7" t="s">
        <v>153</v>
      </c>
      <c r="I716" s="7" t="s">
        <v>153</v>
      </c>
    </row>
    <row r="717" spans="1:9" x14ac:dyDescent="0.25">
      <c r="A717" s="7">
        <v>19</v>
      </c>
      <c r="B717" s="7" t="s">
        <v>1013</v>
      </c>
      <c r="C717" s="8">
        <v>1781879216882840</v>
      </c>
      <c r="D717" s="7" t="s">
        <v>988</v>
      </c>
      <c r="E717" s="8">
        <v>187745</v>
      </c>
      <c r="F717" s="7" t="s">
        <v>98</v>
      </c>
      <c r="G717" s="7" t="s">
        <v>99</v>
      </c>
      <c r="H717" s="7" t="s">
        <v>120</v>
      </c>
      <c r="I717" s="7" t="s">
        <v>155</v>
      </c>
    </row>
    <row r="718" spans="1:9" x14ac:dyDescent="0.25">
      <c r="A718" s="7">
        <v>19</v>
      </c>
      <c r="B718" s="7" t="s">
        <v>1014</v>
      </c>
      <c r="C718" s="8">
        <v>1781879216883460</v>
      </c>
      <c r="D718" s="7" t="s">
        <v>988</v>
      </c>
      <c r="E718" s="8">
        <v>187745</v>
      </c>
      <c r="F718" s="7" t="s">
        <v>123</v>
      </c>
      <c r="G718" s="7" t="s">
        <v>124</v>
      </c>
      <c r="H718" s="7" t="s">
        <v>120</v>
      </c>
      <c r="I718" s="7" t="s">
        <v>157</v>
      </c>
    </row>
    <row r="719" spans="1:9" x14ac:dyDescent="0.25">
      <c r="A719" s="7">
        <v>19</v>
      </c>
      <c r="B719" s="7" t="s">
        <v>1015</v>
      </c>
      <c r="C719" s="8">
        <v>1781879218403700</v>
      </c>
      <c r="D719" s="7" t="s">
        <v>988</v>
      </c>
      <c r="E719" s="8">
        <v>189266</v>
      </c>
      <c r="F719" s="7" t="s">
        <v>123</v>
      </c>
      <c r="G719" s="7" t="s">
        <v>124</v>
      </c>
      <c r="H719" s="7" t="s">
        <v>120</v>
      </c>
      <c r="I719" s="7" t="s">
        <v>159</v>
      </c>
    </row>
    <row r="720" spans="1:9" x14ac:dyDescent="0.25">
      <c r="A720" s="7">
        <v>19</v>
      </c>
      <c r="B720" s="7" t="s">
        <v>1016</v>
      </c>
      <c r="C720" s="8">
        <v>1781879242318620</v>
      </c>
      <c r="D720" s="7" t="s">
        <v>988</v>
      </c>
      <c r="E720" s="8">
        <v>213180</v>
      </c>
      <c r="F720" s="7" t="s">
        <v>123</v>
      </c>
      <c r="G720" s="7" t="s">
        <v>124</v>
      </c>
      <c r="H720" s="7" t="s">
        <v>161</v>
      </c>
      <c r="I720" s="7" t="s">
        <v>1017</v>
      </c>
    </row>
    <row r="721" spans="1:9" x14ac:dyDescent="0.25">
      <c r="A721" s="7">
        <v>19</v>
      </c>
      <c r="B721" s="7" t="s">
        <v>1018</v>
      </c>
      <c r="C721" s="8">
        <v>1781879242319820</v>
      </c>
      <c r="D721" s="7" t="s">
        <v>988</v>
      </c>
      <c r="E721" s="8">
        <v>213182</v>
      </c>
      <c r="F721" s="7" t="s">
        <v>98</v>
      </c>
      <c r="G721" s="7" t="s">
        <v>99</v>
      </c>
      <c r="H721" s="7" t="s">
        <v>161</v>
      </c>
      <c r="I721" s="7" t="s">
        <v>1019</v>
      </c>
    </row>
    <row r="722" spans="1:9" x14ac:dyDescent="0.25">
      <c r="A722" s="7">
        <v>19</v>
      </c>
      <c r="B722" s="7" t="s">
        <v>1020</v>
      </c>
      <c r="C722" s="8">
        <v>1781879273489840</v>
      </c>
      <c r="D722" s="7" t="s">
        <v>988</v>
      </c>
      <c r="E722" s="8">
        <v>244352</v>
      </c>
      <c r="F722" s="7" t="s">
        <v>166</v>
      </c>
      <c r="G722" s="7" t="s">
        <v>167</v>
      </c>
      <c r="H722" s="7" t="s">
        <v>168</v>
      </c>
      <c r="I722" s="7"/>
    </row>
    <row r="723" spans="1:9" x14ac:dyDescent="0.25">
      <c r="A723" s="7">
        <v>19</v>
      </c>
      <c r="B723" s="7" t="s">
        <v>1021</v>
      </c>
      <c r="C723" s="8">
        <v>1781879299502280</v>
      </c>
      <c r="D723" s="7" t="s">
        <v>988</v>
      </c>
      <c r="E723" s="8">
        <v>270364</v>
      </c>
      <c r="F723" s="7" t="s">
        <v>93</v>
      </c>
      <c r="G723" s="7" t="s">
        <v>94</v>
      </c>
      <c r="H723" s="7" t="s">
        <v>170</v>
      </c>
      <c r="I723" s="7" t="s">
        <v>170</v>
      </c>
    </row>
    <row r="724" spans="1:9" x14ac:dyDescent="0.25">
      <c r="A724" s="7">
        <v>19</v>
      </c>
      <c r="B724" s="7" t="s">
        <v>1022</v>
      </c>
      <c r="C724" s="8">
        <v>1781879299505270</v>
      </c>
      <c r="D724" s="7" t="s">
        <v>988</v>
      </c>
      <c r="E724" s="8">
        <v>270367</v>
      </c>
      <c r="F724" s="7" t="s">
        <v>98</v>
      </c>
      <c r="G724" s="7" t="s">
        <v>99</v>
      </c>
      <c r="H724" s="7" t="s">
        <v>172</v>
      </c>
      <c r="I724" s="7" t="s">
        <v>331</v>
      </c>
    </row>
    <row r="725" spans="1:9" x14ac:dyDescent="0.25">
      <c r="A725" s="7">
        <v>19</v>
      </c>
      <c r="B725" s="7" t="s">
        <v>1023</v>
      </c>
      <c r="C725" s="8">
        <v>1781879319350900</v>
      </c>
      <c r="D725" s="7" t="s">
        <v>988</v>
      </c>
      <c r="E725" s="8">
        <v>290213</v>
      </c>
      <c r="F725" s="7" t="s">
        <v>93</v>
      </c>
      <c r="G725" s="7" t="s">
        <v>94</v>
      </c>
      <c r="H725" s="7" t="s">
        <v>175</v>
      </c>
      <c r="I725" s="7" t="s">
        <v>175</v>
      </c>
    </row>
    <row r="726" spans="1:9" x14ac:dyDescent="0.25">
      <c r="A726" s="7">
        <v>19</v>
      </c>
      <c r="B726" s="7" t="s">
        <v>1024</v>
      </c>
      <c r="C726" s="8">
        <v>1781879319353030</v>
      </c>
      <c r="D726" s="7" t="s">
        <v>988</v>
      </c>
      <c r="E726" s="8">
        <v>290215</v>
      </c>
      <c r="F726" s="7" t="s">
        <v>98</v>
      </c>
      <c r="G726" s="7" t="s">
        <v>99</v>
      </c>
      <c r="H726" s="7" t="s">
        <v>120</v>
      </c>
      <c r="I726" s="7" t="s">
        <v>177</v>
      </c>
    </row>
    <row r="727" spans="1:9" x14ac:dyDescent="0.25">
      <c r="A727" s="7">
        <v>19</v>
      </c>
      <c r="B727" s="7" t="s">
        <v>1025</v>
      </c>
      <c r="C727" s="8">
        <v>1781879326354990</v>
      </c>
      <c r="D727" s="7" t="s">
        <v>988</v>
      </c>
      <c r="E727" s="8">
        <v>297217</v>
      </c>
      <c r="F727" s="7" t="s">
        <v>98</v>
      </c>
      <c r="G727" s="7" t="s">
        <v>99</v>
      </c>
      <c r="H727" s="7" t="s">
        <v>179</v>
      </c>
      <c r="I727" s="7" t="s">
        <v>335</v>
      </c>
    </row>
    <row r="728" spans="1:9" x14ac:dyDescent="0.25">
      <c r="A728" s="7">
        <v>19</v>
      </c>
      <c r="B728" s="7" t="s">
        <v>1026</v>
      </c>
      <c r="C728" s="8">
        <v>1781879326355480</v>
      </c>
      <c r="D728" s="7" t="s">
        <v>988</v>
      </c>
      <c r="E728" s="8">
        <v>297217</v>
      </c>
      <c r="F728" s="7" t="s">
        <v>103</v>
      </c>
      <c r="G728" s="7" t="s">
        <v>89</v>
      </c>
      <c r="H728" s="7" t="s">
        <v>179</v>
      </c>
      <c r="I728" s="7"/>
    </row>
    <row r="729" spans="1:9" x14ac:dyDescent="0.25">
      <c r="B729" t="s">
        <v>1027</v>
      </c>
      <c r="C729" s="12">
        <v>1781879474599780</v>
      </c>
      <c r="D729" t="s">
        <v>1028</v>
      </c>
      <c r="E729" t="s">
        <v>87</v>
      </c>
      <c r="F729" t="s">
        <v>88</v>
      </c>
      <c r="G729" t="s">
        <v>89</v>
      </c>
      <c r="H729" t="s">
        <v>184</v>
      </c>
    </row>
    <row r="730" spans="1:9" x14ac:dyDescent="0.25">
      <c r="B730" t="s">
        <v>1029</v>
      </c>
      <c r="C730" s="12">
        <v>1781879474601250</v>
      </c>
      <c r="D730" t="s">
        <v>1028</v>
      </c>
      <c r="E730" t="s">
        <v>92</v>
      </c>
      <c r="F730" t="s">
        <v>166</v>
      </c>
      <c r="G730" t="s">
        <v>167</v>
      </c>
      <c r="H730" t="s">
        <v>711</v>
      </c>
    </row>
    <row r="731" spans="1:9" x14ac:dyDescent="0.25">
      <c r="B731" t="s">
        <v>1030</v>
      </c>
      <c r="C731" s="12">
        <v>1781879492817940</v>
      </c>
      <c r="D731" t="s">
        <v>1028</v>
      </c>
      <c r="E731" s="12">
        <v>18218</v>
      </c>
      <c r="F731" t="s">
        <v>93</v>
      </c>
      <c r="G731" t="s">
        <v>94</v>
      </c>
      <c r="H731" t="s">
        <v>195</v>
      </c>
      <c r="I731" t="s">
        <v>195</v>
      </c>
    </row>
    <row r="732" spans="1:9" x14ac:dyDescent="0.25">
      <c r="B732" t="s">
        <v>1031</v>
      </c>
      <c r="C732" s="12">
        <v>1781879498812630</v>
      </c>
      <c r="D732" t="s">
        <v>1028</v>
      </c>
      <c r="E732" s="12">
        <v>24213</v>
      </c>
      <c r="F732" t="s">
        <v>93</v>
      </c>
      <c r="G732" t="s">
        <v>94</v>
      </c>
      <c r="H732" t="s">
        <v>195</v>
      </c>
      <c r="I732" t="s">
        <v>195</v>
      </c>
    </row>
    <row r="733" spans="1:9" x14ac:dyDescent="0.25">
      <c r="B733" t="s">
        <v>1032</v>
      </c>
      <c r="C733" s="12">
        <v>1781879506582920</v>
      </c>
      <c r="D733" t="s">
        <v>1028</v>
      </c>
      <c r="E733" s="12">
        <v>31983</v>
      </c>
      <c r="F733" t="s">
        <v>103</v>
      </c>
      <c r="G733" t="s">
        <v>89</v>
      </c>
      <c r="H733" t="s">
        <v>104</v>
      </c>
    </row>
    <row r="734" spans="1:9" x14ac:dyDescent="0.25">
      <c r="B734" t="s">
        <v>1033</v>
      </c>
      <c r="C734" s="12">
        <v>1781879506584860</v>
      </c>
      <c r="D734" t="s">
        <v>1034</v>
      </c>
      <c r="E734" t="s">
        <v>87</v>
      </c>
      <c r="F734" t="s">
        <v>88</v>
      </c>
      <c r="G734" t="s">
        <v>89</v>
      </c>
      <c r="H734" t="s">
        <v>90</v>
      </c>
    </row>
    <row r="735" spans="1:9" x14ac:dyDescent="0.25">
      <c r="A735" s="7">
        <v>20</v>
      </c>
      <c r="B735" s="7" t="s">
        <v>1035</v>
      </c>
      <c r="C735" s="8">
        <v>1781879506586030</v>
      </c>
      <c r="D735" s="7" t="s">
        <v>1034</v>
      </c>
      <c r="E735" s="7" t="s">
        <v>108</v>
      </c>
      <c r="F735" s="7" t="s">
        <v>93</v>
      </c>
      <c r="G735" s="7" t="s">
        <v>94</v>
      </c>
      <c r="H735" s="7" t="s">
        <v>95</v>
      </c>
      <c r="I735" s="7" t="s">
        <v>95</v>
      </c>
    </row>
    <row r="736" spans="1:9" x14ac:dyDescent="0.25">
      <c r="A736" s="7">
        <v>20</v>
      </c>
      <c r="B736" s="7" t="s">
        <v>1036</v>
      </c>
      <c r="C736" s="8">
        <v>1781879506591380</v>
      </c>
      <c r="D736" s="7" t="s">
        <v>1034</v>
      </c>
      <c r="E736" s="7" t="s">
        <v>740</v>
      </c>
      <c r="F736" s="7" t="s">
        <v>98</v>
      </c>
      <c r="G736" s="7" t="s">
        <v>99</v>
      </c>
      <c r="H736" s="7" t="s">
        <v>100</v>
      </c>
      <c r="I736" s="7" t="s">
        <v>101</v>
      </c>
    </row>
    <row r="737" spans="1:9" x14ac:dyDescent="0.25">
      <c r="A737" s="7">
        <v>20</v>
      </c>
      <c r="B737" s="7" t="s">
        <v>1037</v>
      </c>
      <c r="C737" s="8">
        <v>1781879520310190</v>
      </c>
      <c r="D737" s="7" t="s">
        <v>1034</v>
      </c>
      <c r="E737" s="8">
        <v>13725</v>
      </c>
      <c r="F737" s="7" t="s">
        <v>93</v>
      </c>
      <c r="G737" s="7" t="s">
        <v>94</v>
      </c>
      <c r="H737" s="7" t="s">
        <v>118</v>
      </c>
      <c r="I737" s="7" t="s">
        <v>118</v>
      </c>
    </row>
    <row r="738" spans="1:9" x14ac:dyDescent="0.25">
      <c r="A738" s="7">
        <v>20</v>
      </c>
      <c r="B738" s="7" t="s">
        <v>1038</v>
      </c>
      <c r="C738" s="8">
        <v>1781879520331200</v>
      </c>
      <c r="D738" s="7" t="s">
        <v>1034</v>
      </c>
      <c r="E738" s="8">
        <v>13746</v>
      </c>
      <c r="F738" s="7" t="s">
        <v>98</v>
      </c>
      <c r="G738" s="7" t="s">
        <v>99</v>
      </c>
      <c r="H738" s="7" t="s">
        <v>120</v>
      </c>
      <c r="I738" s="7" t="s">
        <v>121</v>
      </c>
    </row>
    <row r="739" spans="1:9" x14ac:dyDescent="0.25">
      <c r="A739" s="7">
        <v>20</v>
      </c>
      <c r="B739" s="7" t="s">
        <v>1039</v>
      </c>
      <c r="C739" s="8">
        <v>1781879520331760</v>
      </c>
      <c r="D739" s="7" t="s">
        <v>1034</v>
      </c>
      <c r="E739" s="8">
        <v>13747</v>
      </c>
      <c r="F739" s="7" t="s">
        <v>123</v>
      </c>
      <c r="G739" s="7" t="s">
        <v>124</v>
      </c>
      <c r="H739" s="7" t="s">
        <v>120</v>
      </c>
      <c r="I739" s="7" t="s">
        <v>125</v>
      </c>
    </row>
    <row r="740" spans="1:9" x14ac:dyDescent="0.25">
      <c r="A740" s="7">
        <v>20</v>
      </c>
      <c r="B740" s="7" t="s">
        <v>1040</v>
      </c>
      <c r="C740" s="8">
        <v>1781879547605180</v>
      </c>
      <c r="D740" s="7" t="s">
        <v>1034</v>
      </c>
      <c r="E740" s="8">
        <v>41020</v>
      </c>
      <c r="F740" s="7" t="s">
        <v>123</v>
      </c>
      <c r="G740" s="7" t="s">
        <v>124</v>
      </c>
      <c r="H740" s="7" t="s">
        <v>127</v>
      </c>
      <c r="I740" s="7" t="s">
        <v>1041</v>
      </c>
    </row>
    <row r="741" spans="1:9" x14ac:dyDescent="0.25">
      <c r="A741" s="7">
        <v>20</v>
      </c>
      <c r="B741" s="7" t="s">
        <v>1042</v>
      </c>
      <c r="C741" s="8">
        <v>1781879547611600</v>
      </c>
      <c r="D741" s="7" t="s">
        <v>1034</v>
      </c>
      <c r="E741" s="8">
        <v>41027</v>
      </c>
      <c r="F741" s="7" t="s">
        <v>98</v>
      </c>
      <c r="G741" s="7" t="s">
        <v>99</v>
      </c>
      <c r="H741" s="7" t="s">
        <v>127</v>
      </c>
      <c r="I741" s="7" t="s">
        <v>1043</v>
      </c>
    </row>
    <row r="742" spans="1:9" x14ac:dyDescent="0.25">
      <c r="A742" s="7">
        <v>20</v>
      </c>
      <c r="B742" s="7" t="s">
        <v>1044</v>
      </c>
      <c r="C742" s="8">
        <v>1781879549478620</v>
      </c>
      <c r="D742" s="7" t="s">
        <v>1034</v>
      </c>
      <c r="E742" s="8">
        <v>42894</v>
      </c>
      <c r="F742" s="7" t="s">
        <v>132</v>
      </c>
      <c r="G742" s="7" t="s">
        <v>133</v>
      </c>
      <c r="H742" s="7" t="s">
        <v>309</v>
      </c>
      <c r="I742" s="7" t="s">
        <v>800</v>
      </c>
    </row>
    <row r="743" spans="1:9" x14ac:dyDescent="0.25">
      <c r="A743" s="7">
        <v>20</v>
      </c>
      <c r="B743" s="7" t="s">
        <v>1045</v>
      </c>
      <c r="C743" s="8">
        <v>1781879556070540</v>
      </c>
      <c r="D743" s="7" t="s">
        <v>1034</v>
      </c>
      <c r="E743" s="8">
        <v>49486</v>
      </c>
      <c r="F743" s="7" t="s">
        <v>93</v>
      </c>
      <c r="G743" s="7" t="s">
        <v>94</v>
      </c>
      <c r="H743" s="7" t="s">
        <v>140</v>
      </c>
      <c r="I743" s="7" t="s">
        <v>140</v>
      </c>
    </row>
    <row r="744" spans="1:9" x14ac:dyDescent="0.25">
      <c r="A744" s="7">
        <v>20</v>
      </c>
      <c r="B744" s="7" t="s">
        <v>1046</v>
      </c>
      <c r="C744" s="8">
        <v>1781879556177040</v>
      </c>
      <c r="D744" s="7" t="s">
        <v>1034</v>
      </c>
      <c r="E744" s="8">
        <v>49592</v>
      </c>
      <c r="F744" s="7" t="s">
        <v>98</v>
      </c>
      <c r="G744" s="7" t="s">
        <v>99</v>
      </c>
      <c r="H744" s="7" t="s">
        <v>137</v>
      </c>
      <c r="I744" s="7" t="s">
        <v>313</v>
      </c>
    </row>
    <row r="745" spans="1:9" x14ac:dyDescent="0.25">
      <c r="A745" s="7">
        <v>20</v>
      </c>
      <c r="B745" s="7" t="s">
        <v>1047</v>
      </c>
      <c r="C745" s="8">
        <v>1781879565342220</v>
      </c>
      <c r="D745" s="7" t="s">
        <v>1034</v>
      </c>
      <c r="E745" s="8">
        <v>58758</v>
      </c>
      <c r="F745" s="7" t="s">
        <v>166</v>
      </c>
      <c r="G745" s="7" t="s">
        <v>167</v>
      </c>
      <c r="H745" s="7" t="s">
        <v>213</v>
      </c>
      <c r="I745" s="7"/>
    </row>
    <row r="746" spans="1:9" x14ac:dyDescent="0.25">
      <c r="A746" s="7">
        <v>20</v>
      </c>
      <c r="B746" s="7" t="s">
        <v>1048</v>
      </c>
      <c r="C746" s="8">
        <v>1781879574388920</v>
      </c>
      <c r="D746" s="7" t="s">
        <v>1034</v>
      </c>
      <c r="E746" s="8">
        <v>67804</v>
      </c>
      <c r="F746" s="7" t="s">
        <v>93</v>
      </c>
      <c r="G746" s="7" t="s">
        <v>94</v>
      </c>
      <c r="H746" s="7" t="s">
        <v>146</v>
      </c>
      <c r="I746" s="7" t="s">
        <v>146</v>
      </c>
    </row>
    <row r="747" spans="1:9" x14ac:dyDescent="0.25">
      <c r="A747" s="7">
        <v>20</v>
      </c>
      <c r="B747" s="7" t="s">
        <v>1049</v>
      </c>
      <c r="C747" s="8">
        <v>1781879574395250</v>
      </c>
      <c r="D747" s="7" t="s">
        <v>1034</v>
      </c>
      <c r="E747" s="8">
        <v>67811</v>
      </c>
      <c r="F747" s="7" t="s">
        <v>98</v>
      </c>
      <c r="G747" s="7" t="s">
        <v>99</v>
      </c>
      <c r="H747" s="7" t="s">
        <v>120</v>
      </c>
      <c r="I747" s="7" t="s">
        <v>142</v>
      </c>
    </row>
    <row r="748" spans="1:9" x14ac:dyDescent="0.25">
      <c r="A748" s="7">
        <v>20</v>
      </c>
      <c r="B748" s="7" t="s">
        <v>1050</v>
      </c>
      <c r="C748" s="8">
        <v>1781879574399920</v>
      </c>
      <c r="D748" s="7" t="s">
        <v>1034</v>
      </c>
      <c r="E748" s="8">
        <v>67815</v>
      </c>
      <c r="F748" s="7" t="s">
        <v>123</v>
      </c>
      <c r="G748" s="7" t="s">
        <v>124</v>
      </c>
      <c r="H748" s="7" t="s">
        <v>120</v>
      </c>
      <c r="I748" s="7" t="s">
        <v>144</v>
      </c>
    </row>
    <row r="749" spans="1:9" x14ac:dyDescent="0.25">
      <c r="A749" s="7">
        <v>20</v>
      </c>
      <c r="B749" s="7" t="s">
        <v>1051</v>
      </c>
      <c r="C749" s="8">
        <v>1781879583802180</v>
      </c>
      <c r="D749" s="7" t="s">
        <v>1034</v>
      </c>
      <c r="E749" s="8">
        <v>77217</v>
      </c>
      <c r="F749" s="7" t="s">
        <v>123</v>
      </c>
      <c r="G749" s="7" t="s">
        <v>124</v>
      </c>
      <c r="H749" s="7" t="s">
        <v>148</v>
      </c>
      <c r="I749" s="7" t="s">
        <v>149</v>
      </c>
    </row>
    <row r="750" spans="1:9" x14ac:dyDescent="0.25">
      <c r="A750" s="7">
        <v>20</v>
      </c>
      <c r="B750" s="7" t="s">
        <v>1052</v>
      </c>
      <c r="C750" s="8">
        <v>1781879583807070</v>
      </c>
      <c r="D750" s="7" t="s">
        <v>1034</v>
      </c>
      <c r="E750" s="8">
        <v>77222</v>
      </c>
      <c r="F750" s="7" t="s">
        <v>98</v>
      </c>
      <c r="G750" s="7" t="s">
        <v>99</v>
      </c>
      <c r="H750" s="7" t="s">
        <v>148</v>
      </c>
      <c r="I750" s="7" t="s">
        <v>151</v>
      </c>
    </row>
    <row r="751" spans="1:9" x14ac:dyDescent="0.25">
      <c r="A751" s="7">
        <v>20</v>
      </c>
      <c r="B751" s="7" t="s">
        <v>1053</v>
      </c>
      <c r="C751" s="8">
        <v>1781879591123080</v>
      </c>
      <c r="D751" s="7" t="s">
        <v>1034</v>
      </c>
      <c r="E751" s="8">
        <v>84538</v>
      </c>
      <c r="F751" s="7" t="s">
        <v>93</v>
      </c>
      <c r="G751" s="7" t="s">
        <v>94</v>
      </c>
      <c r="H751" s="7" t="s">
        <v>153</v>
      </c>
      <c r="I751" s="7" t="s">
        <v>153</v>
      </c>
    </row>
    <row r="752" spans="1:9" x14ac:dyDescent="0.25">
      <c r="A752" s="7">
        <v>20</v>
      </c>
      <c r="B752" s="7" t="s">
        <v>1054</v>
      </c>
      <c r="C752" s="8">
        <v>1781879591124370</v>
      </c>
      <c r="D752" s="7" t="s">
        <v>1034</v>
      </c>
      <c r="E752" s="8">
        <v>84540</v>
      </c>
      <c r="F752" s="7" t="s">
        <v>98</v>
      </c>
      <c r="G752" s="7" t="s">
        <v>99</v>
      </c>
      <c r="H752" s="7" t="s">
        <v>120</v>
      </c>
      <c r="I752" s="7" t="s">
        <v>155</v>
      </c>
    </row>
    <row r="753" spans="1:9" x14ac:dyDescent="0.25">
      <c r="A753" s="7">
        <v>20</v>
      </c>
      <c r="B753" s="7" t="s">
        <v>1055</v>
      </c>
      <c r="C753" s="8">
        <v>1781879591129550</v>
      </c>
      <c r="D753" s="7" t="s">
        <v>1034</v>
      </c>
      <c r="E753" s="8">
        <v>84545</v>
      </c>
      <c r="F753" s="7" t="s">
        <v>123</v>
      </c>
      <c r="G753" s="7" t="s">
        <v>124</v>
      </c>
      <c r="H753" s="7" t="s">
        <v>120</v>
      </c>
      <c r="I753" s="7" t="s">
        <v>157</v>
      </c>
    </row>
    <row r="754" spans="1:9" x14ac:dyDescent="0.25">
      <c r="A754" s="7">
        <v>20</v>
      </c>
      <c r="B754" s="7" t="s">
        <v>1056</v>
      </c>
      <c r="C754" s="8">
        <v>1781879592705680</v>
      </c>
      <c r="D754" s="7" t="s">
        <v>1034</v>
      </c>
      <c r="E754" s="8">
        <v>86121</v>
      </c>
      <c r="F754" s="7" t="s">
        <v>123</v>
      </c>
      <c r="G754" s="7" t="s">
        <v>124</v>
      </c>
      <c r="H754" s="7" t="s">
        <v>120</v>
      </c>
      <c r="I754" s="7" t="s">
        <v>159</v>
      </c>
    </row>
    <row r="755" spans="1:9" x14ac:dyDescent="0.25">
      <c r="A755" s="7">
        <v>20</v>
      </c>
      <c r="B755" s="7" t="s">
        <v>1057</v>
      </c>
      <c r="C755" s="8">
        <v>1781879613505040</v>
      </c>
      <c r="D755" s="7" t="s">
        <v>1034</v>
      </c>
      <c r="E755" s="8">
        <v>106920</v>
      </c>
      <c r="F755" s="7" t="s">
        <v>123</v>
      </c>
      <c r="G755" s="7" t="s">
        <v>124</v>
      </c>
      <c r="H755" s="7" t="s">
        <v>161</v>
      </c>
      <c r="I755" s="7" t="s">
        <v>1058</v>
      </c>
    </row>
    <row r="756" spans="1:9" x14ac:dyDescent="0.25">
      <c r="A756" s="7">
        <v>20</v>
      </c>
      <c r="B756" s="7" t="s">
        <v>1059</v>
      </c>
      <c r="C756" s="8">
        <v>1781879613508500</v>
      </c>
      <c r="D756" s="7" t="s">
        <v>1034</v>
      </c>
      <c r="E756" s="8">
        <v>106924</v>
      </c>
      <c r="F756" s="7" t="s">
        <v>98</v>
      </c>
      <c r="G756" s="7" t="s">
        <v>99</v>
      </c>
      <c r="H756" s="7" t="s">
        <v>161</v>
      </c>
      <c r="I756" s="7" t="s">
        <v>1060</v>
      </c>
    </row>
    <row r="757" spans="1:9" x14ac:dyDescent="0.25">
      <c r="A757" s="7">
        <v>20</v>
      </c>
      <c r="B757" s="7" t="s">
        <v>1061</v>
      </c>
      <c r="C757" s="8">
        <v>1781879635258540</v>
      </c>
      <c r="D757" s="7" t="s">
        <v>1034</v>
      </c>
      <c r="E757" s="8">
        <v>128674</v>
      </c>
      <c r="F757" s="7" t="s">
        <v>166</v>
      </c>
      <c r="G757" s="7" t="s">
        <v>167</v>
      </c>
      <c r="H757" s="7" t="s">
        <v>168</v>
      </c>
      <c r="I757" s="7"/>
    </row>
    <row r="758" spans="1:9" x14ac:dyDescent="0.25">
      <c r="A758" s="7">
        <v>20</v>
      </c>
      <c r="B758" s="7" t="s">
        <v>1062</v>
      </c>
      <c r="C758" s="8">
        <v>1781879647862440</v>
      </c>
      <c r="D758" s="7" t="s">
        <v>1034</v>
      </c>
      <c r="E758" s="8">
        <v>141278</v>
      </c>
      <c r="F758" s="7" t="s">
        <v>93</v>
      </c>
      <c r="G758" s="7" t="s">
        <v>94</v>
      </c>
      <c r="H758" s="7" t="s">
        <v>170</v>
      </c>
      <c r="I758" s="7" t="s">
        <v>170</v>
      </c>
    </row>
    <row r="759" spans="1:9" x14ac:dyDescent="0.25">
      <c r="A759" s="7">
        <v>20</v>
      </c>
      <c r="B759" s="7" t="s">
        <v>1063</v>
      </c>
      <c r="C759" s="8">
        <v>1781879647865080</v>
      </c>
      <c r="D759" s="7" t="s">
        <v>1034</v>
      </c>
      <c r="E759" s="8">
        <v>141280</v>
      </c>
      <c r="F759" s="7" t="s">
        <v>98</v>
      </c>
      <c r="G759" s="7" t="s">
        <v>99</v>
      </c>
      <c r="H759" s="7" t="s">
        <v>172</v>
      </c>
      <c r="I759" s="7" t="s">
        <v>331</v>
      </c>
    </row>
    <row r="760" spans="1:9" x14ac:dyDescent="0.25">
      <c r="A760" s="7">
        <v>20</v>
      </c>
      <c r="B760" s="7" t="s">
        <v>1064</v>
      </c>
      <c r="C760" s="8">
        <v>1781879666130480</v>
      </c>
      <c r="D760" s="7" t="s">
        <v>1034</v>
      </c>
      <c r="E760" s="8">
        <v>159546</v>
      </c>
      <c r="F760" s="7" t="s">
        <v>93</v>
      </c>
      <c r="G760" s="7" t="s">
        <v>94</v>
      </c>
      <c r="H760" s="7" t="s">
        <v>175</v>
      </c>
      <c r="I760" s="7" t="s">
        <v>175</v>
      </c>
    </row>
    <row r="761" spans="1:9" x14ac:dyDescent="0.25">
      <c r="A761" s="7">
        <v>20</v>
      </c>
      <c r="B761" s="7" t="s">
        <v>1065</v>
      </c>
      <c r="C761" s="8">
        <v>1781879666131980</v>
      </c>
      <c r="D761" s="7" t="s">
        <v>1034</v>
      </c>
      <c r="E761" s="8">
        <v>159547</v>
      </c>
      <c r="F761" s="7" t="s">
        <v>98</v>
      </c>
      <c r="G761" s="7" t="s">
        <v>99</v>
      </c>
      <c r="H761" s="7" t="s">
        <v>120</v>
      </c>
      <c r="I761" s="7" t="s">
        <v>177</v>
      </c>
    </row>
    <row r="762" spans="1:9" x14ac:dyDescent="0.25">
      <c r="A762" s="7">
        <v>20</v>
      </c>
      <c r="B762" s="7" t="s">
        <v>1066</v>
      </c>
      <c r="C762" s="8">
        <v>1781879673132950</v>
      </c>
      <c r="D762" s="7" t="s">
        <v>1034</v>
      </c>
      <c r="E762" s="8">
        <v>166548</v>
      </c>
      <c r="F762" s="7" t="s">
        <v>98</v>
      </c>
      <c r="G762" s="7" t="s">
        <v>99</v>
      </c>
      <c r="H762" s="7" t="s">
        <v>179</v>
      </c>
      <c r="I762" s="7" t="s">
        <v>335</v>
      </c>
    </row>
    <row r="763" spans="1:9" x14ac:dyDescent="0.25">
      <c r="A763" s="7">
        <v>20</v>
      </c>
      <c r="B763" s="7" t="s">
        <v>1067</v>
      </c>
      <c r="C763" s="8">
        <v>1781879673133500</v>
      </c>
      <c r="D763" s="7" t="s">
        <v>1034</v>
      </c>
      <c r="E763" s="8">
        <v>166549</v>
      </c>
      <c r="F763" s="7" t="s">
        <v>103</v>
      </c>
      <c r="G763" s="7" t="s">
        <v>89</v>
      </c>
      <c r="H763" s="7" t="s">
        <v>179</v>
      </c>
      <c r="I763" s="7"/>
    </row>
    <row r="764" spans="1:9" x14ac:dyDescent="0.25">
      <c r="B764" t="s">
        <v>1068</v>
      </c>
      <c r="C764" s="12">
        <v>1781879776430130</v>
      </c>
      <c r="D764" t="s">
        <v>1069</v>
      </c>
      <c r="E764" t="s">
        <v>87</v>
      </c>
      <c r="F764" t="s">
        <v>88</v>
      </c>
      <c r="G764" t="s">
        <v>89</v>
      </c>
      <c r="H764" t="s">
        <v>184</v>
      </c>
    </row>
    <row r="765" spans="1:9" x14ac:dyDescent="0.25">
      <c r="B765" t="s">
        <v>1070</v>
      </c>
      <c r="C765" s="12">
        <v>1781879776431610</v>
      </c>
      <c r="D765" t="s">
        <v>1069</v>
      </c>
      <c r="E765" t="s">
        <v>92</v>
      </c>
      <c r="F765" t="s">
        <v>166</v>
      </c>
      <c r="G765" t="s">
        <v>167</v>
      </c>
      <c r="H765" t="s">
        <v>711</v>
      </c>
    </row>
    <row r="766" spans="1:9" x14ac:dyDescent="0.25">
      <c r="B766" t="s">
        <v>1071</v>
      </c>
      <c r="C766" s="12">
        <v>1781879842577340</v>
      </c>
      <c r="D766" t="s">
        <v>1069</v>
      </c>
      <c r="E766" s="12">
        <v>66147</v>
      </c>
      <c r="F766" t="s">
        <v>103</v>
      </c>
      <c r="G766" t="s">
        <v>89</v>
      </c>
      <c r="H766" t="s">
        <v>104</v>
      </c>
    </row>
    <row r="767" spans="1:9" x14ac:dyDescent="0.25">
      <c r="B767" t="s">
        <v>1072</v>
      </c>
      <c r="C767" s="12">
        <v>1781879842579350</v>
      </c>
      <c r="D767" t="s">
        <v>1073</v>
      </c>
      <c r="E767" t="s">
        <v>87</v>
      </c>
      <c r="F767" t="s">
        <v>88</v>
      </c>
      <c r="G767" t="s">
        <v>89</v>
      </c>
      <c r="H767" t="s">
        <v>90</v>
      </c>
    </row>
    <row r="768" spans="1:9" x14ac:dyDescent="0.25">
      <c r="B768" t="s">
        <v>1074</v>
      </c>
      <c r="C768" s="12">
        <v>1781879842580680</v>
      </c>
      <c r="D768" t="s">
        <v>1073</v>
      </c>
      <c r="E768" t="s">
        <v>108</v>
      </c>
      <c r="F768" t="s">
        <v>93</v>
      </c>
      <c r="G768" t="s">
        <v>94</v>
      </c>
      <c r="H768" t="s">
        <v>95</v>
      </c>
      <c r="I768" t="s">
        <v>95</v>
      </c>
    </row>
    <row r="769" spans="2:9" x14ac:dyDescent="0.25">
      <c r="B769" t="s">
        <v>1075</v>
      </c>
      <c r="C769" s="12">
        <v>1781879842588910</v>
      </c>
      <c r="D769" t="s">
        <v>1073</v>
      </c>
      <c r="E769" t="s">
        <v>1076</v>
      </c>
      <c r="F769" t="s">
        <v>98</v>
      </c>
      <c r="G769" t="s">
        <v>99</v>
      </c>
      <c r="H769" t="s">
        <v>100</v>
      </c>
      <c r="I769" t="s">
        <v>101</v>
      </c>
    </row>
    <row r="770" spans="2:9" x14ac:dyDescent="0.25">
      <c r="B770" t="s">
        <v>1077</v>
      </c>
      <c r="C770" s="12">
        <v>1781879858087210</v>
      </c>
      <c r="D770" t="s">
        <v>1073</v>
      </c>
      <c r="E770" s="12">
        <v>15508</v>
      </c>
      <c r="F770" t="s">
        <v>103</v>
      </c>
      <c r="G770" t="s">
        <v>89</v>
      </c>
      <c r="H770" t="s">
        <v>104</v>
      </c>
    </row>
    <row r="771" spans="2:9" x14ac:dyDescent="0.25">
      <c r="B771" t="s">
        <v>1078</v>
      </c>
      <c r="C771" s="12">
        <v>1781879858089110</v>
      </c>
      <c r="D771" t="s">
        <v>1079</v>
      </c>
      <c r="E771" t="s">
        <v>87</v>
      </c>
      <c r="F771" t="s">
        <v>88</v>
      </c>
      <c r="G771" t="s">
        <v>89</v>
      </c>
      <c r="H771" t="s">
        <v>90</v>
      </c>
    </row>
    <row r="772" spans="2:9" x14ac:dyDescent="0.25">
      <c r="B772" t="s">
        <v>1080</v>
      </c>
      <c r="C772" s="12">
        <v>1781879858090380</v>
      </c>
      <c r="D772" t="s">
        <v>1079</v>
      </c>
      <c r="E772" t="s">
        <v>108</v>
      </c>
      <c r="F772" t="s">
        <v>93</v>
      </c>
      <c r="G772" t="s">
        <v>94</v>
      </c>
      <c r="H772" t="s">
        <v>95</v>
      </c>
      <c r="I772" t="s">
        <v>95</v>
      </c>
    </row>
    <row r="773" spans="2:9" x14ac:dyDescent="0.25">
      <c r="B773" t="s">
        <v>1081</v>
      </c>
      <c r="C773" s="12">
        <v>1781879858103350</v>
      </c>
      <c r="D773" t="s">
        <v>1079</v>
      </c>
      <c r="E773" t="s">
        <v>193</v>
      </c>
      <c r="F773" t="s">
        <v>98</v>
      </c>
      <c r="G773" t="s">
        <v>99</v>
      </c>
      <c r="H773" t="s">
        <v>100</v>
      </c>
      <c r="I773" t="s">
        <v>101</v>
      </c>
    </row>
    <row r="774" spans="2:9" x14ac:dyDescent="0.25">
      <c r="B774" t="s">
        <v>1082</v>
      </c>
      <c r="C774" s="12">
        <v>1781879929682990</v>
      </c>
      <c r="D774" t="s">
        <v>1079</v>
      </c>
      <c r="E774">
        <v>71594</v>
      </c>
      <c r="F774" t="s">
        <v>93</v>
      </c>
      <c r="G774" t="s">
        <v>94</v>
      </c>
      <c r="H774" t="s">
        <v>195</v>
      </c>
      <c r="I774" t="s">
        <v>195</v>
      </c>
    </row>
    <row r="775" spans="2:9" x14ac:dyDescent="0.25">
      <c r="B775" t="s">
        <v>1083</v>
      </c>
      <c r="C775" s="12">
        <v>1781879967536330</v>
      </c>
      <c r="D775" t="s">
        <v>1079</v>
      </c>
      <c r="E775">
        <v>109447</v>
      </c>
      <c r="F775" t="s">
        <v>166</v>
      </c>
      <c r="G775" t="s">
        <v>167</v>
      </c>
      <c r="H775" t="s">
        <v>711</v>
      </c>
    </row>
    <row r="776" spans="2:9" x14ac:dyDescent="0.25">
      <c r="B776" t="s">
        <v>1084</v>
      </c>
      <c r="C776" s="12">
        <v>1781880006751450</v>
      </c>
      <c r="D776" t="s">
        <v>1079</v>
      </c>
      <c r="E776">
        <v>148663</v>
      </c>
      <c r="F776" t="s">
        <v>93</v>
      </c>
      <c r="G776" t="s">
        <v>94</v>
      </c>
      <c r="H776" t="s">
        <v>195</v>
      </c>
      <c r="I776" t="s">
        <v>195</v>
      </c>
    </row>
    <row r="777" spans="2:9" x14ac:dyDescent="0.25">
      <c r="B777" t="s">
        <v>1085</v>
      </c>
      <c r="C777" s="12">
        <v>1781880012718730</v>
      </c>
      <c r="D777" t="s">
        <v>1079</v>
      </c>
      <c r="E777">
        <v>154630</v>
      </c>
      <c r="F777" t="s">
        <v>93</v>
      </c>
      <c r="G777" t="s">
        <v>94</v>
      </c>
      <c r="H777" t="s">
        <v>195</v>
      </c>
      <c r="I777" t="s">
        <v>195</v>
      </c>
    </row>
    <row r="778" spans="2:9" x14ac:dyDescent="0.25">
      <c r="B778" t="s">
        <v>1086</v>
      </c>
      <c r="C778" s="12">
        <v>1781880016126960</v>
      </c>
      <c r="D778" t="s">
        <v>1079</v>
      </c>
      <c r="E778">
        <v>158038</v>
      </c>
      <c r="F778" t="s">
        <v>93</v>
      </c>
      <c r="G778" t="s">
        <v>94</v>
      </c>
      <c r="H778" t="s">
        <v>195</v>
      </c>
      <c r="I778" t="s">
        <v>195</v>
      </c>
    </row>
    <row r="779" spans="2:9" x14ac:dyDescent="0.25">
      <c r="B779" t="s">
        <v>1087</v>
      </c>
      <c r="C779" s="12">
        <v>1781880028099820</v>
      </c>
      <c r="D779" t="s">
        <v>1079</v>
      </c>
      <c r="E779">
        <v>170011</v>
      </c>
      <c r="F779" t="s">
        <v>103</v>
      </c>
      <c r="G779" t="s">
        <v>89</v>
      </c>
      <c r="H779" t="s">
        <v>104</v>
      </c>
    </row>
    <row r="780" spans="2:9" x14ac:dyDescent="0.25">
      <c r="B780" t="s">
        <v>1088</v>
      </c>
      <c r="C780" s="12">
        <v>1781880028101650</v>
      </c>
      <c r="D780" t="s">
        <v>1089</v>
      </c>
      <c r="E780" t="s">
        <v>87</v>
      </c>
      <c r="F780" t="s">
        <v>88</v>
      </c>
      <c r="G780" t="s">
        <v>89</v>
      </c>
      <c r="H780" t="s">
        <v>90</v>
      </c>
    </row>
    <row r="781" spans="2:9" x14ac:dyDescent="0.25">
      <c r="B781" t="s">
        <v>1090</v>
      </c>
      <c r="C781" s="12">
        <v>1781880028102740</v>
      </c>
      <c r="D781" t="s">
        <v>1089</v>
      </c>
      <c r="E781" t="s">
        <v>108</v>
      </c>
      <c r="F781" t="s">
        <v>93</v>
      </c>
      <c r="G781" t="s">
        <v>94</v>
      </c>
      <c r="H781" t="s">
        <v>95</v>
      </c>
      <c r="I781" t="s">
        <v>95</v>
      </c>
    </row>
    <row r="782" spans="2:9" x14ac:dyDescent="0.25">
      <c r="B782" t="s">
        <v>1091</v>
      </c>
      <c r="C782" s="12">
        <v>1781880043366950</v>
      </c>
      <c r="D782" t="s">
        <v>1089</v>
      </c>
      <c r="E782">
        <v>15265</v>
      </c>
      <c r="F782" t="s">
        <v>93</v>
      </c>
      <c r="G782" t="s">
        <v>94</v>
      </c>
      <c r="H782" t="s">
        <v>118</v>
      </c>
      <c r="I782" t="s">
        <v>118</v>
      </c>
    </row>
    <row r="783" spans="2:9" x14ac:dyDescent="0.25">
      <c r="B783" t="s">
        <v>1092</v>
      </c>
      <c r="C783" s="12">
        <v>1781880043369010</v>
      </c>
      <c r="D783" t="s">
        <v>1089</v>
      </c>
      <c r="E783">
        <v>15267</v>
      </c>
      <c r="F783" t="s">
        <v>98</v>
      </c>
      <c r="G783" t="s">
        <v>99</v>
      </c>
      <c r="H783" t="s">
        <v>120</v>
      </c>
      <c r="I783" t="s">
        <v>121</v>
      </c>
    </row>
    <row r="784" spans="2:9" x14ac:dyDescent="0.25">
      <c r="B784" t="s">
        <v>1093</v>
      </c>
      <c r="C784" s="12">
        <v>1781880043376240</v>
      </c>
      <c r="D784" t="s">
        <v>1089</v>
      </c>
      <c r="E784">
        <v>15275</v>
      </c>
      <c r="F784" t="s">
        <v>123</v>
      </c>
      <c r="G784" t="s">
        <v>124</v>
      </c>
      <c r="H784" t="s">
        <v>120</v>
      </c>
      <c r="I784" t="s">
        <v>125</v>
      </c>
    </row>
    <row r="785" spans="1:9" x14ac:dyDescent="0.25">
      <c r="B785" t="s">
        <v>1094</v>
      </c>
      <c r="C785" s="12">
        <v>1781880116679720</v>
      </c>
      <c r="D785" t="s">
        <v>1089</v>
      </c>
      <c r="E785">
        <v>88578</v>
      </c>
      <c r="F785" t="s">
        <v>103</v>
      </c>
      <c r="G785" t="s">
        <v>89</v>
      </c>
      <c r="H785" t="s">
        <v>619</v>
      </c>
    </row>
    <row r="787" spans="1:9" x14ac:dyDescent="0.25">
      <c r="B787" t="s">
        <v>1095</v>
      </c>
    </row>
    <row r="788" spans="1:9" x14ac:dyDescent="0.25">
      <c r="A788" s="4">
        <v>21</v>
      </c>
      <c r="B788" s="4" t="s">
        <v>1096</v>
      </c>
      <c r="C788" s="18">
        <v>1781881957861180</v>
      </c>
      <c r="D788" s="4" t="s">
        <v>1097</v>
      </c>
      <c r="E788" s="4" t="s">
        <v>87</v>
      </c>
      <c r="F788" s="4" t="s">
        <v>88</v>
      </c>
      <c r="G788" s="4" t="s">
        <v>89</v>
      </c>
      <c r="H788" s="4" t="s">
        <v>184</v>
      </c>
      <c r="I788" s="4"/>
    </row>
    <row r="789" spans="1:9" x14ac:dyDescent="0.25">
      <c r="A789" s="4">
        <v>21</v>
      </c>
      <c r="B789" s="4" t="s">
        <v>1098</v>
      </c>
      <c r="C789" s="18">
        <v>1781881957861700</v>
      </c>
      <c r="D789" s="4" t="s">
        <v>1097</v>
      </c>
      <c r="E789" s="4" t="s">
        <v>108</v>
      </c>
      <c r="F789" s="4" t="s">
        <v>166</v>
      </c>
      <c r="G789" s="4" t="s">
        <v>167</v>
      </c>
      <c r="H789" s="4" t="s">
        <v>213</v>
      </c>
      <c r="I789" s="4"/>
    </row>
    <row r="790" spans="1:9" x14ac:dyDescent="0.25">
      <c r="A790" s="4">
        <v>21</v>
      </c>
      <c r="B790" s="4" t="s">
        <v>1099</v>
      </c>
      <c r="C790" s="18">
        <v>1781881964181200</v>
      </c>
      <c r="D790" s="4" t="s">
        <v>1097</v>
      </c>
      <c r="E790" s="18">
        <v>6320</v>
      </c>
      <c r="F790" s="4" t="s">
        <v>98</v>
      </c>
      <c r="G790" s="4" t="s">
        <v>99</v>
      </c>
      <c r="H790" s="4" t="s">
        <v>120</v>
      </c>
      <c r="I790" s="4" t="s">
        <v>142</v>
      </c>
    </row>
    <row r="791" spans="1:9" x14ac:dyDescent="0.25">
      <c r="A791" s="4">
        <v>21</v>
      </c>
      <c r="B791" s="4" t="s">
        <v>1100</v>
      </c>
      <c r="C791" s="18">
        <v>1781881964181390</v>
      </c>
      <c r="D791" s="4" t="s">
        <v>1097</v>
      </c>
      <c r="E791" s="18">
        <v>6320</v>
      </c>
      <c r="F791" s="4" t="s">
        <v>123</v>
      </c>
      <c r="G791" s="4" t="s">
        <v>124</v>
      </c>
      <c r="H791" s="4" t="s">
        <v>120</v>
      </c>
      <c r="I791" s="4" t="s">
        <v>144</v>
      </c>
    </row>
    <row r="792" spans="1:9" x14ac:dyDescent="0.25">
      <c r="A792" s="4">
        <v>21</v>
      </c>
      <c r="B792" s="4" t="s">
        <v>1101</v>
      </c>
      <c r="C792" s="18">
        <v>1781881973584710</v>
      </c>
      <c r="D792" s="4" t="s">
        <v>1097</v>
      </c>
      <c r="E792" s="18">
        <v>15724</v>
      </c>
      <c r="F792" s="4" t="s">
        <v>123</v>
      </c>
      <c r="G792" s="4" t="s">
        <v>124</v>
      </c>
      <c r="H792" s="4" t="s">
        <v>148</v>
      </c>
      <c r="I792" s="4" t="s">
        <v>149</v>
      </c>
    </row>
    <row r="793" spans="1:9" x14ac:dyDescent="0.25">
      <c r="A793" s="4">
        <v>21</v>
      </c>
      <c r="B793" s="4" t="s">
        <v>1102</v>
      </c>
      <c r="C793" s="18">
        <v>1781881973587370</v>
      </c>
      <c r="D793" s="4" t="s">
        <v>1097</v>
      </c>
      <c r="E793" s="18">
        <v>15726</v>
      </c>
      <c r="F793" s="4" t="s">
        <v>98</v>
      </c>
      <c r="G793" s="4" t="s">
        <v>99</v>
      </c>
      <c r="H793" s="4" t="s">
        <v>148</v>
      </c>
      <c r="I793" s="4" t="s">
        <v>151</v>
      </c>
    </row>
    <row r="794" spans="1:9" x14ac:dyDescent="0.25">
      <c r="A794" s="4">
        <v>21</v>
      </c>
      <c r="B794" s="4" t="s">
        <v>1103</v>
      </c>
      <c r="C794" s="18">
        <v>1781881978303380</v>
      </c>
      <c r="D794" s="4" t="s">
        <v>1097</v>
      </c>
      <c r="E794" s="18">
        <v>20442</v>
      </c>
      <c r="F794" s="4" t="s">
        <v>98</v>
      </c>
      <c r="G794" s="4" t="s">
        <v>99</v>
      </c>
      <c r="H794" s="4" t="s">
        <v>120</v>
      </c>
      <c r="I794" s="4" t="s">
        <v>155</v>
      </c>
    </row>
    <row r="795" spans="1:9" x14ac:dyDescent="0.25">
      <c r="A795" s="4">
        <v>21</v>
      </c>
      <c r="B795" s="4" t="s">
        <v>1104</v>
      </c>
      <c r="C795" s="18">
        <v>1781881978304290</v>
      </c>
      <c r="D795" s="4" t="s">
        <v>1097</v>
      </c>
      <c r="E795" s="18">
        <v>20443</v>
      </c>
      <c r="F795" s="4" t="s">
        <v>123</v>
      </c>
      <c r="G795" s="4" t="s">
        <v>124</v>
      </c>
      <c r="H795" s="4" t="s">
        <v>120</v>
      </c>
      <c r="I795" s="4" t="s">
        <v>157</v>
      </c>
    </row>
    <row r="796" spans="1:9" x14ac:dyDescent="0.25">
      <c r="A796" s="4">
        <v>21</v>
      </c>
      <c r="B796" s="4" t="s">
        <v>1105</v>
      </c>
      <c r="C796" s="18">
        <v>1781881979892120</v>
      </c>
      <c r="D796" s="4" t="s">
        <v>1097</v>
      </c>
      <c r="E796" s="18">
        <v>22031</v>
      </c>
      <c r="F796" s="4" t="s">
        <v>123</v>
      </c>
      <c r="G796" s="4" t="s">
        <v>124</v>
      </c>
      <c r="H796" s="4" t="s">
        <v>120</v>
      </c>
      <c r="I796" s="4" t="s">
        <v>159</v>
      </c>
    </row>
    <row r="797" spans="1:9" x14ac:dyDescent="0.25">
      <c r="A797" s="4">
        <v>21</v>
      </c>
      <c r="B797" s="4" t="s">
        <v>1106</v>
      </c>
      <c r="C797" s="18">
        <v>1781881989337240</v>
      </c>
      <c r="D797" s="4" t="s">
        <v>1097</v>
      </c>
      <c r="E797" s="18">
        <v>31476</v>
      </c>
      <c r="F797" s="4" t="s">
        <v>166</v>
      </c>
      <c r="G797" s="4" t="s">
        <v>167</v>
      </c>
      <c r="H797" s="4" t="s">
        <v>1107</v>
      </c>
      <c r="I797" s="4"/>
    </row>
    <row r="798" spans="1:9" x14ac:dyDescent="0.25">
      <c r="A798" s="4">
        <v>21</v>
      </c>
      <c r="B798" s="4" t="s">
        <v>1108</v>
      </c>
      <c r="C798" s="18">
        <v>1781882001756790</v>
      </c>
      <c r="D798" s="4" t="s">
        <v>1097</v>
      </c>
      <c r="E798" s="18">
        <v>43896</v>
      </c>
      <c r="F798" s="4" t="s">
        <v>98</v>
      </c>
      <c r="G798" s="4" t="s">
        <v>99</v>
      </c>
      <c r="H798" s="4" t="s">
        <v>161</v>
      </c>
      <c r="I798" s="4" t="s">
        <v>1109</v>
      </c>
    </row>
    <row r="799" spans="1:9" x14ac:dyDescent="0.25">
      <c r="A799" s="4">
        <v>21</v>
      </c>
      <c r="B799" s="4" t="s">
        <v>1110</v>
      </c>
      <c r="C799" s="18">
        <v>1781882001757220</v>
      </c>
      <c r="D799" s="4" t="s">
        <v>1097</v>
      </c>
      <c r="E799" s="18">
        <v>43896</v>
      </c>
      <c r="F799" s="4" t="s">
        <v>123</v>
      </c>
      <c r="G799" s="4" t="s">
        <v>124</v>
      </c>
      <c r="H799" s="4" t="s">
        <v>161</v>
      </c>
      <c r="I799" s="4" t="s">
        <v>1111</v>
      </c>
    </row>
    <row r="800" spans="1:9" x14ac:dyDescent="0.25">
      <c r="A800" s="4">
        <v>21</v>
      </c>
      <c r="B800" s="4" t="s">
        <v>1112</v>
      </c>
      <c r="C800" s="18">
        <v>1781882024316480</v>
      </c>
      <c r="D800" s="4" t="s">
        <v>1097</v>
      </c>
      <c r="E800" s="18">
        <v>66455</v>
      </c>
      <c r="F800" s="4" t="s">
        <v>166</v>
      </c>
      <c r="G800" s="4" t="s">
        <v>167</v>
      </c>
      <c r="H800" s="4" t="s">
        <v>168</v>
      </c>
      <c r="I800" s="4"/>
    </row>
    <row r="801" spans="1:9" x14ac:dyDescent="0.25">
      <c r="A801" s="4">
        <v>21</v>
      </c>
      <c r="B801" s="4" t="s">
        <v>1113</v>
      </c>
      <c r="C801" s="18">
        <v>1781882034515150</v>
      </c>
      <c r="D801" s="4" t="s">
        <v>1097</v>
      </c>
      <c r="E801" s="18">
        <v>76654</v>
      </c>
      <c r="F801" s="4" t="s">
        <v>93</v>
      </c>
      <c r="G801" s="4" t="s">
        <v>94</v>
      </c>
      <c r="H801" s="4" t="s">
        <v>170</v>
      </c>
      <c r="I801" s="4" t="s">
        <v>170</v>
      </c>
    </row>
    <row r="802" spans="1:9" x14ac:dyDescent="0.25">
      <c r="A802" s="4">
        <v>21</v>
      </c>
      <c r="B802" s="4" t="s">
        <v>1114</v>
      </c>
      <c r="C802" s="18">
        <v>1781882034516110</v>
      </c>
      <c r="D802" s="4" t="s">
        <v>1097</v>
      </c>
      <c r="E802" s="18">
        <v>76655</v>
      </c>
      <c r="F802" s="4" t="s">
        <v>98</v>
      </c>
      <c r="G802" s="4" t="s">
        <v>99</v>
      </c>
      <c r="H802" s="4" t="s">
        <v>172</v>
      </c>
      <c r="I802" s="4" t="s">
        <v>331</v>
      </c>
    </row>
    <row r="803" spans="1:9" x14ac:dyDescent="0.25">
      <c r="A803" s="4">
        <v>21</v>
      </c>
      <c r="B803" s="4" t="s">
        <v>1115</v>
      </c>
      <c r="C803" s="18">
        <v>1781882050517970</v>
      </c>
      <c r="D803" s="4" t="s">
        <v>1097</v>
      </c>
      <c r="E803" s="18">
        <v>92657</v>
      </c>
      <c r="F803" s="4" t="s">
        <v>98</v>
      </c>
      <c r="G803" s="4" t="s">
        <v>99</v>
      </c>
      <c r="H803" s="4" t="s">
        <v>120</v>
      </c>
      <c r="I803" s="4" t="s">
        <v>177</v>
      </c>
    </row>
    <row r="804" spans="1:9" x14ac:dyDescent="0.25">
      <c r="A804" s="4">
        <v>21</v>
      </c>
      <c r="B804" s="4" t="s">
        <v>1116</v>
      </c>
      <c r="C804" s="18">
        <v>1781882057461690</v>
      </c>
      <c r="D804" s="4" t="s">
        <v>1097</v>
      </c>
      <c r="E804" s="18">
        <v>99601</v>
      </c>
      <c r="F804" s="4" t="s">
        <v>98</v>
      </c>
      <c r="G804" s="4" t="s">
        <v>99</v>
      </c>
      <c r="H804" s="4" t="s">
        <v>179</v>
      </c>
      <c r="I804" s="4" t="s">
        <v>335</v>
      </c>
    </row>
    <row r="805" spans="1:9" x14ac:dyDescent="0.25">
      <c r="A805" s="4">
        <v>21</v>
      </c>
      <c r="B805" s="4" t="s">
        <v>1117</v>
      </c>
      <c r="C805" s="18">
        <v>1781882057461820</v>
      </c>
      <c r="D805" s="4" t="s">
        <v>1097</v>
      </c>
      <c r="E805" s="18">
        <v>99601</v>
      </c>
      <c r="F805" s="4" t="s">
        <v>103</v>
      </c>
      <c r="G805" s="4" t="s">
        <v>89</v>
      </c>
      <c r="H805" s="4" t="s">
        <v>179</v>
      </c>
      <c r="I805" s="4"/>
    </row>
    <row r="806" spans="1:9" x14ac:dyDescent="0.25">
      <c r="B806" t="s">
        <v>1118</v>
      </c>
      <c r="C806" s="12">
        <v>1781882082878700</v>
      </c>
      <c r="D806" t="s">
        <v>1119</v>
      </c>
      <c r="E806" t="s">
        <v>87</v>
      </c>
      <c r="F806" t="s">
        <v>88</v>
      </c>
      <c r="G806" t="s">
        <v>89</v>
      </c>
      <c r="H806" t="s">
        <v>184</v>
      </c>
    </row>
    <row r="807" spans="1:9" x14ac:dyDescent="0.25">
      <c r="B807" t="s">
        <v>1120</v>
      </c>
      <c r="C807" s="12">
        <v>1781882082879190</v>
      </c>
      <c r="D807" t="s">
        <v>1119</v>
      </c>
      <c r="E807" t="s">
        <v>108</v>
      </c>
      <c r="F807" t="s">
        <v>166</v>
      </c>
      <c r="G807" t="s">
        <v>167</v>
      </c>
      <c r="H807" t="s">
        <v>1121</v>
      </c>
    </row>
    <row r="808" spans="1:9" x14ac:dyDescent="0.25">
      <c r="B808" t="s">
        <v>1122</v>
      </c>
      <c r="C808" s="12">
        <v>1781882193109580</v>
      </c>
      <c r="D808" t="s">
        <v>1119</v>
      </c>
      <c r="E808" s="12">
        <v>110231</v>
      </c>
      <c r="F808" t="s">
        <v>166</v>
      </c>
      <c r="G808" t="s">
        <v>167</v>
      </c>
      <c r="H808" t="s">
        <v>711</v>
      </c>
    </row>
    <row r="809" spans="1:9" x14ac:dyDescent="0.25">
      <c r="A809" s="7">
        <v>22</v>
      </c>
      <c r="B809" s="7" t="s">
        <v>1123</v>
      </c>
      <c r="C809" s="8">
        <v>1781882245656920</v>
      </c>
      <c r="D809" s="7" t="s">
        <v>1119</v>
      </c>
      <c r="E809" s="8">
        <v>162778</v>
      </c>
      <c r="F809" s="7" t="s">
        <v>98</v>
      </c>
      <c r="G809" s="7" t="s">
        <v>99</v>
      </c>
      <c r="H809" s="7" t="s">
        <v>100</v>
      </c>
      <c r="I809" s="7" t="s">
        <v>101</v>
      </c>
    </row>
    <row r="810" spans="1:9" x14ac:dyDescent="0.25">
      <c r="A810" s="7">
        <v>22</v>
      </c>
      <c r="B810" s="7" t="s">
        <v>1124</v>
      </c>
      <c r="C810" s="8">
        <v>1781882245964410</v>
      </c>
      <c r="D810" s="7" t="s">
        <v>1119</v>
      </c>
      <c r="E810" s="8">
        <v>163086</v>
      </c>
      <c r="F810" s="7" t="s">
        <v>103</v>
      </c>
      <c r="G810" s="7" t="s">
        <v>89</v>
      </c>
      <c r="H810" s="7" t="s">
        <v>104</v>
      </c>
      <c r="I810" s="7"/>
    </row>
    <row r="811" spans="1:9" x14ac:dyDescent="0.25">
      <c r="A811" s="7">
        <v>22</v>
      </c>
      <c r="B811" s="7" t="s">
        <v>1125</v>
      </c>
      <c r="C811" s="8">
        <v>1781882245964920</v>
      </c>
      <c r="D811" s="7" t="s">
        <v>1126</v>
      </c>
      <c r="E811" s="7" t="s">
        <v>87</v>
      </c>
      <c r="F811" s="7" t="s">
        <v>88</v>
      </c>
      <c r="G811" s="7" t="s">
        <v>89</v>
      </c>
      <c r="H811" s="7" t="s">
        <v>90</v>
      </c>
      <c r="I811" s="7"/>
    </row>
    <row r="812" spans="1:9" x14ac:dyDescent="0.25">
      <c r="A812" s="7">
        <v>22</v>
      </c>
      <c r="B812" s="7" t="s">
        <v>1127</v>
      </c>
      <c r="C812" s="8">
        <v>1781882245965210</v>
      </c>
      <c r="D812" s="7" t="s">
        <v>1126</v>
      </c>
      <c r="E812" s="7" t="s">
        <v>87</v>
      </c>
      <c r="F812" s="7" t="s">
        <v>93</v>
      </c>
      <c r="G812" s="7" t="s">
        <v>94</v>
      </c>
      <c r="H812" s="7" t="s">
        <v>95</v>
      </c>
      <c r="I812" s="7" t="s">
        <v>95</v>
      </c>
    </row>
    <row r="813" spans="1:9" x14ac:dyDescent="0.25">
      <c r="A813" s="7">
        <v>22</v>
      </c>
      <c r="B813" s="7" t="s">
        <v>1128</v>
      </c>
      <c r="C813" s="8">
        <v>1781882263974180</v>
      </c>
      <c r="D813" s="7" t="s">
        <v>1126</v>
      </c>
      <c r="E813" s="8">
        <v>18009</v>
      </c>
      <c r="F813" s="7" t="s">
        <v>98</v>
      </c>
      <c r="G813" s="7" t="s">
        <v>99</v>
      </c>
      <c r="H813" s="7" t="s">
        <v>120</v>
      </c>
      <c r="I813" s="7" t="s">
        <v>121</v>
      </c>
    </row>
    <row r="814" spans="1:9" x14ac:dyDescent="0.25">
      <c r="A814" s="7">
        <v>22</v>
      </c>
      <c r="B814" s="7" t="s">
        <v>1129</v>
      </c>
      <c r="C814" s="8">
        <v>1781882263988710</v>
      </c>
      <c r="D814" s="7" t="s">
        <v>1126</v>
      </c>
      <c r="E814" s="8">
        <v>18024</v>
      </c>
      <c r="F814" s="7" t="s">
        <v>123</v>
      </c>
      <c r="G814" s="7" t="s">
        <v>124</v>
      </c>
      <c r="H814" s="7" t="s">
        <v>120</v>
      </c>
      <c r="I814" s="7" t="s">
        <v>125</v>
      </c>
    </row>
    <row r="815" spans="1:9" x14ac:dyDescent="0.25">
      <c r="A815" s="7">
        <v>22</v>
      </c>
      <c r="B815" s="7" t="s">
        <v>1130</v>
      </c>
      <c r="C815" s="8">
        <v>1781882306539550</v>
      </c>
      <c r="D815" s="7" t="s">
        <v>1126</v>
      </c>
      <c r="E815" s="8">
        <v>60575</v>
      </c>
      <c r="F815" s="7" t="s">
        <v>123</v>
      </c>
      <c r="G815" s="7" t="s">
        <v>124</v>
      </c>
      <c r="H815" s="7" t="s">
        <v>127</v>
      </c>
      <c r="I815" s="7" t="s">
        <v>1131</v>
      </c>
    </row>
    <row r="816" spans="1:9" x14ac:dyDescent="0.25">
      <c r="A816" s="7">
        <v>22</v>
      </c>
      <c r="B816" s="7" t="s">
        <v>1132</v>
      </c>
      <c r="C816" s="8">
        <v>1781882306541330</v>
      </c>
      <c r="D816" s="7" t="s">
        <v>1126</v>
      </c>
      <c r="E816" s="8">
        <v>60576</v>
      </c>
      <c r="F816" s="7" t="s">
        <v>98</v>
      </c>
      <c r="G816" s="7" t="s">
        <v>99</v>
      </c>
      <c r="H816" s="7" t="s">
        <v>127</v>
      </c>
      <c r="I816" s="7" t="s">
        <v>1133</v>
      </c>
    </row>
    <row r="817" spans="1:9" x14ac:dyDescent="0.25">
      <c r="A817" s="7">
        <v>22</v>
      </c>
      <c r="B817" s="7" t="s">
        <v>1134</v>
      </c>
      <c r="C817" s="8">
        <v>1781882308468640</v>
      </c>
      <c r="D817" s="7" t="s">
        <v>1126</v>
      </c>
      <c r="E817" s="8">
        <v>62504</v>
      </c>
      <c r="F817" s="7" t="s">
        <v>132</v>
      </c>
      <c r="G817" s="7" t="s">
        <v>133</v>
      </c>
      <c r="H817" s="7" t="s">
        <v>309</v>
      </c>
      <c r="I817" s="7" t="s">
        <v>310</v>
      </c>
    </row>
    <row r="818" spans="1:9" x14ac:dyDescent="0.25">
      <c r="A818" s="7">
        <v>22</v>
      </c>
      <c r="B818" s="7" t="s">
        <v>1135</v>
      </c>
      <c r="C818" s="8">
        <v>1781882314151870</v>
      </c>
      <c r="D818" s="7" t="s">
        <v>1126</v>
      </c>
      <c r="E818" s="8">
        <v>68187</v>
      </c>
      <c r="F818" s="7" t="s">
        <v>98</v>
      </c>
      <c r="G818" s="7" t="s">
        <v>99</v>
      </c>
      <c r="H818" s="7" t="s">
        <v>137</v>
      </c>
      <c r="I818" s="7" t="s">
        <v>313</v>
      </c>
    </row>
    <row r="819" spans="1:9" x14ac:dyDescent="0.25">
      <c r="A819" s="7">
        <v>22</v>
      </c>
      <c r="B819" s="7" t="s">
        <v>1136</v>
      </c>
      <c r="C819" s="8">
        <v>1781882328223010</v>
      </c>
      <c r="D819" s="7" t="s">
        <v>1126</v>
      </c>
      <c r="E819" s="8">
        <v>82258</v>
      </c>
      <c r="F819" s="7" t="s">
        <v>166</v>
      </c>
      <c r="G819" s="7" t="s">
        <v>167</v>
      </c>
      <c r="H819" s="7" t="s">
        <v>213</v>
      </c>
      <c r="I819" s="7"/>
    </row>
    <row r="820" spans="1:9" x14ac:dyDescent="0.25">
      <c r="A820" s="7">
        <v>22</v>
      </c>
      <c r="B820" s="7" t="s">
        <v>1137</v>
      </c>
      <c r="C820" s="8">
        <v>1781882334269240</v>
      </c>
      <c r="D820" s="7" t="s">
        <v>1126</v>
      </c>
      <c r="E820" s="8">
        <v>88304</v>
      </c>
      <c r="F820" s="7" t="s">
        <v>98</v>
      </c>
      <c r="G820" s="7" t="s">
        <v>99</v>
      </c>
      <c r="H820" s="7" t="s">
        <v>120</v>
      </c>
      <c r="I820" s="7" t="s">
        <v>142</v>
      </c>
    </row>
    <row r="821" spans="1:9" x14ac:dyDescent="0.25">
      <c r="A821" s="7">
        <v>22</v>
      </c>
      <c r="B821" s="7" t="s">
        <v>1138</v>
      </c>
      <c r="C821" s="8">
        <v>1781882334567890</v>
      </c>
      <c r="D821" s="7" t="s">
        <v>1126</v>
      </c>
      <c r="E821" s="8">
        <v>88603</v>
      </c>
      <c r="F821" s="7" t="s">
        <v>123</v>
      </c>
      <c r="G821" s="7" t="s">
        <v>124</v>
      </c>
      <c r="H821" s="7" t="s">
        <v>120</v>
      </c>
      <c r="I821" s="7" t="s">
        <v>144</v>
      </c>
    </row>
    <row r="822" spans="1:9" x14ac:dyDescent="0.25">
      <c r="A822" s="7">
        <v>22</v>
      </c>
      <c r="B822" s="7" t="s">
        <v>1139</v>
      </c>
      <c r="C822" s="8">
        <v>1781882343589820</v>
      </c>
      <c r="D822" s="7" t="s">
        <v>1126</v>
      </c>
      <c r="E822" s="8">
        <v>97625</v>
      </c>
      <c r="F822" s="7" t="s">
        <v>123</v>
      </c>
      <c r="G822" s="7" t="s">
        <v>124</v>
      </c>
      <c r="H822" s="7" t="s">
        <v>148</v>
      </c>
      <c r="I822" s="7" t="s">
        <v>149</v>
      </c>
    </row>
    <row r="823" spans="1:9" x14ac:dyDescent="0.25">
      <c r="A823" s="7">
        <v>22</v>
      </c>
      <c r="B823" s="7" t="s">
        <v>1140</v>
      </c>
      <c r="C823" s="8">
        <v>1781882343590200</v>
      </c>
      <c r="D823" s="7" t="s">
        <v>1126</v>
      </c>
      <c r="E823" s="8">
        <v>97625</v>
      </c>
      <c r="F823" s="7" t="s">
        <v>98</v>
      </c>
      <c r="G823" s="7" t="s">
        <v>99</v>
      </c>
      <c r="H823" s="7" t="s">
        <v>148</v>
      </c>
      <c r="I823" s="7" t="s">
        <v>151</v>
      </c>
    </row>
    <row r="824" spans="1:9" x14ac:dyDescent="0.25">
      <c r="A824" s="7">
        <v>22</v>
      </c>
      <c r="B824" s="7" t="s">
        <v>1141</v>
      </c>
      <c r="C824" s="8">
        <v>1781882352372710</v>
      </c>
      <c r="D824" s="7" t="s">
        <v>1126</v>
      </c>
      <c r="E824" s="8">
        <v>106408</v>
      </c>
      <c r="F824" s="7" t="s">
        <v>166</v>
      </c>
      <c r="G824" s="7" t="s">
        <v>167</v>
      </c>
      <c r="H824" s="7" t="s">
        <v>582</v>
      </c>
      <c r="I824" s="7"/>
    </row>
    <row r="825" spans="1:9" x14ac:dyDescent="0.25">
      <c r="B825" t="s">
        <v>1142</v>
      </c>
      <c r="C825" s="12">
        <v>1781882384714020</v>
      </c>
      <c r="D825" t="s">
        <v>1126</v>
      </c>
      <c r="E825" s="12">
        <v>138749</v>
      </c>
      <c r="F825" t="s">
        <v>98</v>
      </c>
      <c r="G825" t="s">
        <v>99</v>
      </c>
      <c r="H825" t="s">
        <v>100</v>
      </c>
      <c r="I825" t="s">
        <v>101</v>
      </c>
    </row>
    <row r="826" spans="1:9" x14ac:dyDescent="0.25">
      <c r="B826" t="s">
        <v>1143</v>
      </c>
      <c r="C826" s="12">
        <v>1781882419612220</v>
      </c>
      <c r="D826" t="s">
        <v>1126</v>
      </c>
      <c r="E826" s="12">
        <v>173647</v>
      </c>
      <c r="F826" t="s">
        <v>98</v>
      </c>
      <c r="G826" t="s">
        <v>99</v>
      </c>
      <c r="H826" t="s">
        <v>120</v>
      </c>
      <c r="I826" t="s">
        <v>121</v>
      </c>
    </row>
    <row r="827" spans="1:9" x14ac:dyDescent="0.25">
      <c r="B827" t="s">
        <v>1144</v>
      </c>
      <c r="C827" s="12">
        <v>1781882419613110</v>
      </c>
      <c r="D827" t="s">
        <v>1126</v>
      </c>
      <c r="E827" s="12">
        <v>173648</v>
      </c>
      <c r="F827" t="s">
        <v>123</v>
      </c>
      <c r="G827" t="s">
        <v>124</v>
      </c>
      <c r="H827" t="s">
        <v>120</v>
      </c>
      <c r="I827" t="s">
        <v>125</v>
      </c>
    </row>
    <row r="828" spans="1:9" x14ac:dyDescent="0.25">
      <c r="B828" t="s">
        <v>1145</v>
      </c>
      <c r="C828" s="12">
        <v>1781882541101590</v>
      </c>
      <c r="D828" t="s">
        <v>1126</v>
      </c>
      <c r="E828" s="12">
        <v>295137</v>
      </c>
      <c r="F828" t="s">
        <v>166</v>
      </c>
      <c r="G828" t="s">
        <v>167</v>
      </c>
      <c r="H828" t="s">
        <v>711</v>
      </c>
    </row>
    <row r="829" spans="1:9" x14ac:dyDescent="0.25">
      <c r="B829" t="s">
        <v>1146</v>
      </c>
      <c r="C829" s="12">
        <v>1781882606109650</v>
      </c>
      <c r="D829" t="s">
        <v>1126</v>
      </c>
      <c r="E829" s="12">
        <v>360145</v>
      </c>
      <c r="F829" t="s">
        <v>98</v>
      </c>
      <c r="G829" t="s">
        <v>99</v>
      </c>
      <c r="H829" t="s">
        <v>100</v>
      </c>
      <c r="I829" t="s">
        <v>101</v>
      </c>
    </row>
    <row r="830" spans="1:9" x14ac:dyDescent="0.25">
      <c r="B830" t="s">
        <v>1147</v>
      </c>
      <c r="C830" s="12">
        <v>1781882742862240</v>
      </c>
      <c r="D830" t="s">
        <v>1126</v>
      </c>
      <c r="E830" s="12">
        <v>496897</v>
      </c>
      <c r="F830" t="s">
        <v>166</v>
      </c>
      <c r="G830" t="s">
        <v>167</v>
      </c>
      <c r="H830" t="s">
        <v>711</v>
      </c>
    </row>
    <row r="831" spans="1:9" x14ac:dyDescent="0.25">
      <c r="B831" t="s">
        <v>1148</v>
      </c>
      <c r="C831" s="12">
        <v>1781882797260760</v>
      </c>
      <c r="D831" t="s">
        <v>1126</v>
      </c>
      <c r="E831" s="12">
        <v>551296</v>
      </c>
      <c r="F831" t="s">
        <v>98</v>
      </c>
      <c r="G831" t="s">
        <v>99</v>
      </c>
      <c r="H831" t="s">
        <v>120</v>
      </c>
      <c r="I831" t="s">
        <v>121</v>
      </c>
    </row>
    <row r="832" spans="1:9" x14ac:dyDescent="0.25">
      <c r="A832" s="19"/>
      <c r="B832" s="19" t="s">
        <v>1149</v>
      </c>
      <c r="C832" s="20">
        <v>1781882829515020</v>
      </c>
      <c r="D832" s="19" t="s">
        <v>1126</v>
      </c>
      <c r="E832" s="20">
        <v>583550</v>
      </c>
      <c r="F832" s="19" t="s">
        <v>166</v>
      </c>
      <c r="G832" s="19" t="s">
        <v>167</v>
      </c>
      <c r="H832" s="19" t="s">
        <v>593</v>
      </c>
      <c r="I832" s="19"/>
    </row>
    <row r="833" spans="1:9" x14ac:dyDescent="0.25">
      <c r="A833" s="7">
        <v>23</v>
      </c>
      <c r="B833" s="7" t="s">
        <v>1150</v>
      </c>
      <c r="C833" s="8">
        <v>1781882867404220</v>
      </c>
      <c r="D833" s="7" t="s">
        <v>1126</v>
      </c>
      <c r="E833" s="8">
        <v>621439</v>
      </c>
      <c r="F833" s="7" t="s">
        <v>98</v>
      </c>
      <c r="G833" s="7" t="s">
        <v>99</v>
      </c>
      <c r="H833" s="7" t="s">
        <v>100</v>
      </c>
      <c r="I833" s="7" t="s">
        <v>101</v>
      </c>
    </row>
    <row r="834" spans="1:9" x14ac:dyDescent="0.25">
      <c r="A834" s="7">
        <v>23</v>
      </c>
      <c r="B834" s="7" t="s">
        <v>1151</v>
      </c>
      <c r="C834" s="8">
        <v>1781882886579180</v>
      </c>
      <c r="D834" s="7" t="s">
        <v>1126</v>
      </c>
      <c r="E834" s="8">
        <v>640614</v>
      </c>
      <c r="F834" s="7" t="s">
        <v>98</v>
      </c>
      <c r="G834" s="7" t="s">
        <v>99</v>
      </c>
      <c r="H834" s="7" t="s">
        <v>120</v>
      </c>
      <c r="I834" s="7" t="s">
        <v>121</v>
      </c>
    </row>
    <row r="835" spans="1:9" x14ac:dyDescent="0.25">
      <c r="A835" s="7">
        <v>23</v>
      </c>
      <c r="B835" s="7" t="s">
        <v>1152</v>
      </c>
      <c r="C835" s="8">
        <v>1781882900053430</v>
      </c>
      <c r="D835" s="7" t="s">
        <v>1126</v>
      </c>
      <c r="E835" s="8">
        <v>654089</v>
      </c>
      <c r="F835" s="7" t="s">
        <v>123</v>
      </c>
      <c r="G835" s="7" t="s">
        <v>124</v>
      </c>
      <c r="H835" s="7" t="s">
        <v>127</v>
      </c>
      <c r="I835" s="7" t="s">
        <v>1153</v>
      </c>
    </row>
    <row r="836" spans="1:9" x14ac:dyDescent="0.25">
      <c r="A836" s="7">
        <v>23</v>
      </c>
      <c r="B836" s="7" t="s">
        <v>1154</v>
      </c>
      <c r="C836" s="8">
        <v>1781882900060920</v>
      </c>
      <c r="D836" s="7" t="s">
        <v>1126</v>
      </c>
      <c r="E836" s="8">
        <v>654096</v>
      </c>
      <c r="F836" s="7" t="s">
        <v>98</v>
      </c>
      <c r="G836" s="7" t="s">
        <v>99</v>
      </c>
      <c r="H836" s="7" t="s">
        <v>127</v>
      </c>
      <c r="I836" s="7" t="s">
        <v>1155</v>
      </c>
    </row>
    <row r="837" spans="1:9" x14ac:dyDescent="0.25">
      <c r="A837" s="7">
        <v>23</v>
      </c>
      <c r="B837" s="7" t="s">
        <v>1156</v>
      </c>
      <c r="C837" s="8">
        <v>1781882905999330</v>
      </c>
      <c r="D837" s="7" t="s">
        <v>1126</v>
      </c>
      <c r="E837" s="8">
        <v>660034</v>
      </c>
      <c r="F837" s="7" t="s">
        <v>98</v>
      </c>
      <c r="G837" s="7" t="s">
        <v>99</v>
      </c>
      <c r="H837" s="7" t="s">
        <v>137</v>
      </c>
      <c r="I837" s="7" t="s">
        <v>313</v>
      </c>
    </row>
    <row r="838" spans="1:9" x14ac:dyDescent="0.25">
      <c r="A838" s="7">
        <v>23</v>
      </c>
      <c r="B838" s="7" t="s">
        <v>1157</v>
      </c>
      <c r="C838" s="8">
        <v>1781882916666850</v>
      </c>
      <c r="D838" s="7" t="s">
        <v>1126</v>
      </c>
      <c r="E838" s="8">
        <v>670702</v>
      </c>
      <c r="F838" s="7" t="s">
        <v>166</v>
      </c>
      <c r="G838" s="7" t="s">
        <v>167</v>
      </c>
      <c r="H838" s="7" t="s">
        <v>213</v>
      </c>
      <c r="I838" s="7"/>
    </row>
    <row r="839" spans="1:9" x14ac:dyDescent="0.25">
      <c r="A839" s="7">
        <v>23</v>
      </c>
      <c r="B839" s="7" t="s">
        <v>1158</v>
      </c>
      <c r="C839" s="8">
        <v>1781882921261490</v>
      </c>
      <c r="D839" s="7" t="s">
        <v>1126</v>
      </c>
      <c r="E839" s="8">
        <v>675297</v>
      </c>
      <c r="F839" s="7" t="s">
        <v>98</v>
      </c>
      <c r="G839" s="7" t="s">
        <v>99</v>
      </c>
      <c r="H839" s="7" t="s">
        <v>120</v>
      </c>
      <c r="I839" s="7" t="s">
        <v>142</v>
      </c>
    </row>
    <row r="840" spans="1:9" x14ac:dyDescent="0.25">
      <c r="A840" s="7">
        <v>23</v>
      </c>
      <c r="B840" s="7" t="s">
        <v>1159</v>
      </c>
      <c r="C840" s="8">
        <v>1781882921262200</v>
      </c>
      <c r="D840" s="7" t="s">
        <v>1126</v>
      </c>
      <c r="E840" s="8">
        <v>675297</v>
      </c>
      <c r="F840" s="7" t="s">
        <v>123</v>
      </c>
      <c r="G840" s="7" t="s">
        <v>124</v>
      </c>
      <c r="H840" s="7" t="s">
        <v>120</v>
      </c>
      <c r="I840" s="7" t="s">
        <v>144</v>
      </c>
    </row>
    <row r="841" spans="1:9" x14ac:dyDescent="0.25">
      <c r="A841" s="7">
        <v>23</v>
      </c>
      <c r="B841" s="7" t="s">
        <v>1160</v>
      </c>
      <c r="C841" s="8">
        <v>1781882930639850</v>
      </c>
      <c r="D841" s="7" t="s">
        <v>1126</v>
      </c>
      <c r="E841" s="8">
        <v>684675</v>
      </c>
      <c r="F841" s="7" t="s">
        <v>123</v>
      </c>
      <c r="G841" s="7" t="s">
        <v>124</v>
      </c>
      <c r="H841" s="7" t="s">
        <v>148</v>
      </c>
      <c r="I841" s="7" t="s">
        <v>149</v>
      </c>
    </row>
    <row r="842" spans="1:9" x14ac:dyDescent="0.25">
      <c r="A842" s="7">
        <v>23</v>
      </c>
      <c r="B842" s="7" t="s">
        <v>1161</v>
      </c>
      <c r="C842" s="8">
        <v>1781882930645300</v>
      </c>
      <c r="D842" s="7" t="s">
        <v>1126</v>
      </c>
      <c r="E842" s="8">
        <v>684680</v>
      </c>
      <c r="F842" s="7" t="s">
        <v>98</v>
      </c>
      <c r="G842" s="7" t="s">
        <v>99</v>
      </c>
      <c r="H842" s="7" t="s">
        <v>148</v>
      </c>
      <c r="I842" s="7" t="s">
        <v>151</v>
      </c>
    </row>
    <row r="843" spans="1:9" x14ac:dyDescent="0.25">
      <c r="A843" s="7">
        <v>23</v>
      </c>
      <c r="B843" s="7" t="s">
        <v>1162</v>
      </c>
      <c r="C843" s="8">
        <v>1781882936560200</v>
      </c>
      <c r="D843" s="7" t="s">
        <v>1126</v>
      </c>
      <c r="E843" s="8">
        <v>690595</v>
      </c>
      <c r="F843" s="7" t="s">
        <v>98</v>
      </c>
      <c r="G843" s="7" t="s">
        <v>99</v>
      </c>
      <c r="H843" s="7" t="s">
        <v>120</v>
      </c>
      <c r="I843" s="7" t="s">
        <v>155</v>
      </c>
    </row>
    <row r="844" spans="1:9" x14ac:dyDescent="0.25">
      <c r="A844" s="7">
        <v>23</v>
      </c>
      <c r="B844" s="7" t="s">
        <v>1163</v>
      </c>
      <c r="C844" s="8">
        <v>1781882936568950</v>
      </c>
      <c r="D844" s="7" t="s">
        <v>1126</v>
      </c>
      <c r="E844" s="8">
        <v>690604</v>
      </c>
      <c r="F844" s="7" t="s">
        <v>123</v>
      </c>
      <c r="G844" s="7" t="s">
        <v>124</v>
      </c>
      <c r="H844" s="7" t="s">
        <v>120</v>
      </c>
      <c r="I844" s="7" t="s">
        <v>157</v>
      </c>
    </row>
    <row r="845" spans="1:9" x14ac:dyDescent="0.25">
      <c r="A845" s="7">
        <v>23</v>
      </c>
      <c r="B845" s="7" t="s">
        <v>1164</v>
      </c>
      <c r="C845" s="8">
        <v>1781882938143660</v>
      </c>
      <c r="D845" s="7" t="s">
        <v>1126</v>
      </c>
      <c r="E845" s="8">
        <v>692179</v>
      </c>
      <c r="F845" s="7" t="s">
        <v>123</v>
      </c>
      <c r="G845" s="7" t="s">
        <v>124</v>
      </c>
      <c r="H845" s="7" t="s">
        <v>120</v>
      </c>
      <c r="I845" s="7" t="s">
        <v>159</v>
      </c>
    </row>
    <row r="846" spans="1:9" x14ac:dyDescent="0.25">
      <c r="A846" s="7">
        <v>23</v>
      </c>
      <c r="B846" s="7" t="s">
        <v>1165</v>
      </c>
      <c r="C846" s="8">
        <v>1781882945742810</v>
      </c>
      <c r="D846" s="7" t="s">
        <v>1126</v>
      </c>
      <c r="E846" s="8">
        <v>699778</v>
      </c>
      <c r="F846" s="7" t="s">
        <v>166</v>
      </c>
      <c r="G846" s="7" t="s">
        <v>167</v>
      </c>
      <c r="H846" s="7" t="s">
        <v>1107</v>
      </c>
      <c r="I846" s="7"/>
    </row>
    <row r="847" spans="1:9" x14ac:dyDescent="0.25">
      <c r="A847" s="7">
        <v>23</v>
      </c>
      <c r="B847" s="7" t="s">
        <v>1166</v>
      </c>
      <c r="C847" s="8">
        <v>1781882983318880</v>
      </c>
      <c r="D847" s="7" t="s">
        <v>1126</v>
      </c>
      <c r="E847" s="8">
        <v>737354</v>
      </c>
      <c r="F847" s="7" t="s">
        <v>123</v>
      </c>
      <c r="G847" s="7" t="s">
        <v>124</v>
      </c>
      <c r="H847" s="7" t="s">
        <v>120</v>
      </c>
      <c r="I847" s="7" t="s">
        <v>260</v>
      </c>
    </row>
    <row r="848" spans="1:9" x14ac:dyDescent="0.25">
      <c r="A848" s="7">
        <v>23</v>
      </c>
      <c r="B848" s="7" t="s">
        <v>1167</v>
      </c>
      <c r="C848" s="8">
        <v>1781882983387780</v>
      </c>
      <c r="D848" s="7" t="s">
        <v>1126</v>
      </c>
      <c r="E848" s="8">
        <v>737423</v>
      </c>
      <c r="F848" s="7" t="s">
        <v>98</v>
      </c>
      <c r="G848" s="7" t="s">
        <v>99</v>
      </c>
      <c r="H848" s="7" t="s">
        <v>120</v>
      </c>
      <c r="I848" s="7" t="s">
        <v>262</v>
      </c>
    </row>
    <row r="849" spans="1:9" x14ac:dyDescent="0.25">
      <c r="A849" s="7">
        <v>23</v>
      </c>
      <c r="B849" s="7" t="s">
        <v>1168</v>
      </c>
      <c r="C849" s="8">
        <v>1781883003196980</v>
      </c>
      <c r="D849" s="7" t="s">
        <v>1126</v>
      </c>
      <c r="E849" s="8">
        <v>757232</v>
      </c>
      <c r="F849" s="7" t="s">
        <v>166</v>
      </c>
      <c r="G849" s="7" t="s">
        <v>167</v>
      </c>
      <c r="H849" s="7" t="s">
        <v>893</v>
      </c>
      <c r="I849" s="7"/>
    </row>
    <row r="850" spans="1:9" x14ac:dyDescent="0.25">
      <c r="A850" s="7">
        <v>23</v>
      </c>
      <c r="B850" s="7" t="s">
        <v>1169</v>
      </c>
      <c r="C850" s="8">
        <v>1781883013908120</v>
      </c>
      <c r="D850" s="7" t="s">
        <v>1126</v>
      </c>
      <c r="E850" s="8">
        <v>767943</v>
      </c>
      <c r="F850" s="7" t="s">
        <v>166</v>
      </c>
      <c r="G850" s="7" t="s">
        <v>167</v>
      </c>
      <c r="H850" s="7" t="s">
        <v>1107</v>
      </c>
      <c r="I850" s="7"/>
    </row>
    <row r="851" spans="1:9" x14ac:dyDescent="0.25">
      <c r="A851" s="7">
        <v>23</v>
      </c>
      <c r="B851" s="7" t="s">
        <v>1170</v>
      </c>
      <c r="C851" s="8">
        <v>1781883024807560</v>
      </c>
      <c r="D851" s="7" t="s">
        <v>1126</v>
      </c>
      <c r="E851" s="8">
        <v>778843</v>
      </c>
      <c r="F851" s="7" t="s">
        <v>166</v>
      </c>
      <c r="G851" s="7" t="s">
        <v>167</v>
      </c>
      <c r="H851" s="7" t="s">
        <v>893</v>
      </c>
      <c r="I851" s="7"/>
    </row>
    <row r="852" spans="1:9" x14ac:dyDescent="0.25">
      <c r="A852" s="7">
        <v>23</v>
      </c>
      <c r="B852" s="7" t="s">
        <v>1171</v>
      </c>
      <c r="C852" s="8">
        <v>1781883031267400</v>
      </c>
      <c r="D852" s="7" t="s">
        <v>1126</v>
      </c>
      <c r="E852" s="8">
        <v>785303</v>
      </c>
      <c r="F852" s="7" t="s">
        <v>98</v>
      </c>
      <c r="G852" s="7" t="s">
        <v>99</v>
      </c>
      <c r="H852" s="7" t="s">
        <v>120</v>
      </c>
      <c r="I852" s="7" t="s">
        <v>155</v>
      </c>
    </row>
    <row r="853" spans="1:9" x14ac:dyDescent="0.25">
      <c r="A853" s="7">
        <v>23</v>
      </c>
      <c r="B853" s="7" t="s">
        <v>1172</v>
      </c>
      <c r="C853" s="8">
        <v>1781883031267610</v>
      </c>
      <c r="D853" s="7" t="s">
        <v>1126</v>
      </c>
      <c r="E853" s="8">
        <v>785303</v>
      </c>
      <c r="F853" s="7" t="s">
        <v>123</v>
      </c>
      <c r="G853" s="7" t="s">
        <v>124</v>
      </c>
      <c r="H853" s="7" t="s">
        <v>120</v>
      </c>
      <c r="I853" s="7" t="s">
        <v>157</v>
      </c>
    </row>
    <row r="854" spans="1:9" x14ac:dyDescent="0.25">
      <c r="A854" s="7">
        <v>23</v>
      </c>
      <c r="B854" s="7" t="s">
        <v>1173</v>
      </c>
      <c r="C854" s="8">
        <v>1781883031482630</v>
      </c>
      <c r="D854" s="7" t="s">
        <v>1126</v>
      </c>
      <c r="E854" s="8">
        <v>785518</v>
      </c>
      <c r="F854" s="7" t="s">
        <v>93</v>
      </c>
      <c r="G854" s="7" t="s">
        <v>94</v>
      </c>
      <c r="H854" s="7" t="s">
        <v>153</v>
      </c>
      <c r="I854" s="7" t="s">
        <v>153</v>
      </c>
    </row>
    <row r="855" spans="1:9" x14ac:dyDescent="0.25">
      <c r="A855" s="7">
        <v>23</v>
      </c>
      <c r="B855" s="7" t="s">
        <v>1174</v>
      </c>
      <c r="C855" s="8">
        <v>1781883032880080</v>
      </c>
      <c r="D855" s="7" t="s">
        <v>1126</v>
      </c>
      <c r="E855" s="8">
        <v>786915</v>
      </c>
      <c r="F855" s="7" t="s">
        <v>123</v>
      </c>
      <c r="G855" s="7" t="s">
        <v>124</v>
      </c>
      <c r="H855" s="7" t="s">
        <v>120</v>
      </c>
      <c r="I855" s="7" t="s">
        <v>159</v>
      </c>
    </row>
    <row r="856" spans="1:9" x14ac:dyDescent="0.25">
      <c r="A856" s="7">
        <v>23</v>
      </c>
      <c r="B856" s="7" t="s">
        <v>1175</v>
      </c>
      <c r="C856" s="8">
        <v>1781883056446770</v>
      </c>
      <c r="D856" s="7" t="s">
        <v>1126</v>
      </c>
      <c r="E856" s="8">
        <v>810482</v>
      </c>
      <c r="F856" s="7" t="s">
        <v>98</v>
      </c>
      <c r="G856" s="7" t="s">
        <v>99</v>
      </c>
      <c r="H856" s="7" t="s">
        <v>161</v>
      </c>
      <c r="I856" s="7" t="s">
        <v>1176</v>
      </c>
    </row>
    <row r="857" spans="1:9" x14ac:dyDescent="0.25">
      <c r="A857" s="7">
        <v>23</v>
      </c>
      <c r="B857" s="7" t="s">
        <v>1177</v>
      </c>
      <c r="C857" s="8">
        <v>1781883056446960</v>
      </c>
      <c r="D857" s="7" t="s">
        <v>1126</v>
      </c>
      <c r="E857" s="8">
        <v>810482</v>
      </c>
      <c r="F857" s="7" t="s">
        <v>123</v>
      </c>
      <c r="G857" s="7" t="s">
        <v>124</v>
      </c>
      <c r="H857" s="7" t="s">
        <v>161</v>
      </c>
      <c r="I857" s="7" t="s">
        <v>1178</v>
      </c>
    </row>
    <row r="858" spans="1:9" x14ac:dyDescent="0.25">
      <c r="A858" s="7">
        <v>23</v>
      </c>
      <c r="B858" s="7" t="s">
        <v>1179</v>
      </c>
      <c r="C858" s="8">
        <v>1781883096888610</v>
      </c>
      <c r="D858" s="7" t="s">
        <v>1126</v>
      </c>
      <c r="E858" s="8">
        <v>850924</v>
      </c>
      <c r="F858" s="7" t="s">
        <v>166</v>
      </c>
      <c r="G858" s="7" t="s">
        <v>167</v>
      </c>
      <c r="H858" s="7" t="s">
        <v>1180</v>
      </c>
      <c r="I858" s="7"/>
    </row>
    <row r="859" spans="1:9" x14ac:dyDescent="0.25">
      <c r="A859" s="7">
        <v>23</v>
      </c>
      <c r="B859" s="7" t="s">
        <v>1181</v>
      </c>
      <c r="C859" s="8">
        <v>1781883169683460</v>
      </c>
      <c r="D859" s="7" t="s">
        <v>1126</v>
      </c>
      <c r="E859" s="8">
        <v>923719</v>
      </c>
      <c r="F859" s="7" t="s">
        <v>98</v>
      </c>
      <c r="G859" s="7" t="s">
        <v>99</v>
      </c>
      <c r="H859" s="7" t="s">
        <v>172</v>
      </c>
      <c r="I859" s="7" t="s">
        <v>331</v>
      </c>
    </row>
    <row r="860" spans="1:9" x14ac:dyDescent="0.25">
      <c r="A860" s="7">
        <v>23</v>
      </c>
      <c r="B860" s="7" t="s">
        <v>1182</v>
      </c>
      <c r="C860" s="8">
        <v>1781883244009140</v>
      </c>
      <c r="D860" s="7" t="s">
        <v>1126</v>
      </c>
      <c r="E860" s="8">
        <v>998044</v>
      </c>
      <c r="F860" s="7" t="s">
        <v>166</v>
      </c>
      <c r="G860" s="7" t="s">
        <v>167</v>
      </c>
      <c r="H860" s="7" t="s">
        <v>1183</v>
      </c>
      <c r="I860" s="7"/>
    </row>
    <row r="861" spans="1:9" x14ac:dyDescent="0.25">
      <c r="A861" s="7">
        <v>23</v>
      </c>
      <c r="B861" s="7" t="s">
        <v>1184</v>
      </c>
      <c r="C861" s="8">
        <v>1781883248192640</v>
      </c>
      <c r="D861" s="7" t="s">
        <v>1126</v>
      </c>
      <c r="E861" s="8">
        <v>1002228</v>
      </c>
      <c r="F861" s="7" t="s">
        <v>98</v>
      </c>
      <c r="G861" s="7" t="s">
        <v>99</v>
      </c>
      <c r="H861" s="7" t="s">
        <v>120</v>
      </c>
      <c r="I861" s="7" t="s">
        <v>177</v>
      </c>
    </row>
    <row r="862" spans="1:9" x14ac:dyDescent="0.25">
      <c r="A862" s="7">
        <v>23</v>
      </c>
      <c r="B862" s="7" t="s">
        <v>1185</v>
      </c>
      <c r="C862" s="8">
        <v>1781883255257870</v>
      </c>
      <c r="D862" s="7" t="s">
        <v>1126</v>
      </c>
      <c r="E862" s="8">
        <v>1009293</v>
      </c>
      <c r="F862" s="7" t="s">
        <v>98</v>
      </c>
      <c r="G862" s="7" t="s">
        <v>99</v>
      </c>
      <c r="H862" s="7" t="s">
        <v>179</v>
      </c>
      <c r="I862" s="7" t="s">
        <v>335</v>
      </c>
    </row>
    <row r="863" spans="1:9" x14ac:dyDescent="0.25">
      <c r="A863" s="7">
        <v>23</v>
      </c>
      <c r="B863" s="7" t="s">
        <v>1186</v>
      </c>
      <c r="C863" s="8">
        <v>1781883255258050</v>
      </c>
      <c r="D863" s="7" t="s">
        <v>1126</v>
      </c>
      <c r="E863" s="8">
        <v>1009293</v>
      </c>
      <c r="F863" s="7" t="s">
        <v>103</v>
      </c>
      <c r="G863" s="7" t="s">
        <v>89</v>
      </c>
      <c r="H863" s="7" t="s">
        <v>179</v>
      </c>
      <c r="I863" s="7"/>
    </row>
    <row r="864" spans="1:9" x14ac:dyDescent="0.25">
      <c r="B864" t="s">
        <v>1187</v>
      </c>
      <c r="C864" s="12">
        <v>1781883424978170</v>
      </c>
      <c r="D864" t="s">
        <v>1188</v>
      </c>
      <c r="E864" t="s">
        <v>87</v>
      </c>
      <c r="F864" t="s">
        <v>88</v>
      </c>
      <c r="G864" t="s">
        <v>89</v>
      </c>
      <c r="H864" t="s">
        <v>184</v>
      </c>
    </row>
    <row r="865" spans="1:9" x14ac:dyDescent="0.25">
      <c r="B865" t="s">
        <v>1189</v>
      </c>
      <c r="C865" s="12">
        <v>1781883424978630</v>
      </c>
      <c r="D865" t="s">
        <v>1188</v>
      </c>
      <c r="E865" t="s">
        <v>108</v>
      </c>
      <c r="F865" t="s">
        <v>166</v>
      </c>
      <c r="G865" t="s">
        <v>167</v>
      </c>
      <c r="H865" t="s">
        <v>711</v>
      </c>
    </row>
    <row r="866" spans="1:9" x14ac:dyDescent="0.25">
      <c r="A866" s="3">
        <v>24</v>
      </c>
      <c r="B866" s="3" t="s">
        <v>1190</v>
      </c>
      <c r="C866" s="21">
        <v>1781883475335880</v>
      </c>
      <c r="D866" s="3" t="s">
        <v>1188</v>
      </c>
      <c r="E866" s="21">
        <v>50358</v>
      </c>
      <c r="F866" s="3" t="s">
        <v>98</v>
      </c>
      <c r="G866" s="3" t="s">
        <v>99</v>
      </c>
      <c r="H866" s="3" t="s">
        <v>100</v>
      </c>
      <c r="I866" s="3" t="s">
        <v>101</v>
      </c>
    </row>
    <row r="867" spans="1:9" x14ac:dyDescent="0.25">
      <c r="A867" s="3">
        <v>24</v>
      </c>
      <c r="B867" s="3" t="s">
        <v>1191</v>
      </c>
      <c r="C867" s="21">
        <v>1781883491263610</v>
      </c>
      <c r="D867" s="3" t="s">
        <v>1188</v>
      </c>
      <c r="E867" s="21">
        <v>66285</v>
      </c>
      <c r="F867" s="3" t="s">
        <v>98</v>
      </c>
      <c r="G867" s="3" t="s">
        <v>99</v>
      </c>
      <c r="H867" s="3" t="s">
        <v>120</v>
      </c>
      <c r="I867" s="3" t="s">
        <v>121</v>
      </c>
    </row>
    <row r="868" spans="1:9" x14ac:dyDescent="0.25">
      <c r="A868" s="3">
        <v>24</v>
      </c>
      <c r="B868" s="3" t="s">
        <v>1192</v>
      </c>
      <c r="C868" s="21">
        <v>1781883491263790</v>
      </c>
      <c r="D868" s="3" t="s">
        <v>1188</v>
      </c>
      <c r="E868" s="21">
        <v>66286</v>
      </c>
      <c r="F868" s="3" t="s">
        <v>123</v>
      </c>
      <c r="G868" s="3" t="s">
        <v>124</v>
      </c>
      <c r="H868" s="3" t="s">
        <v>120</v>
      </c>
      <c r="I868" s="3" t="s">
        <v>125</v>
      </c>
    </row>
    <row r="869" spans="1:9" x14ac:dyDescent="0.25">
      <c r="A869" s="3">
        <v>24</v>
      </c>
      <c r="B869" s="3" t="s">
        <v>1193</v>
      </c>
      <c r="C869" s="21">
        <v>1781883502072200</v>
      </c>
      <c r="D869" s="3" t="s">
        <v>1188</v>
      </c>
      <c r="E869" s="21">
        <v>77094</v>
      </c>
      <c r="F869" s="3" t="s">
        <v>98</v>
      </c>
      <c r="G869" s="3" t="s">
        <v>99</v>
      </c>
      <c r="H869" s="3" t="s">
        <v>127</v>
      </c>
      <c r="I869" s="3" t="s">
        <v>1194</v>
      </c>
    </row>
    <row r="870" spans="1:9" x14ac:dyDescent="0.25">
      <c r="A870" s="3">
        <v>24</v>
      </c>
      <c r="B870" s="3" t="s">
        <v>1195</v>
      </c>
      <c r="C870" s="21">
        <v>1781883502072400</v>
      </c>
      <c r="D870" s="3" t="s">
        <v>1188</v>
      </c>
      <c r="E870" s="21">
        <v>77094</v>
      </c>
      <c r="F870" s="3" t="s">
        <v>123</v>
      </c>
      <c r="G870" s="3" t="s">
        <v>124</v>
      </c>
      <c r="H870" s="3" t="s">
        <v>127</v>
      </c>
      <c r="I870" s="3" t="s">
        <v>1196</v>
      </c>
    </row>
    <row r="871" spans="1:9" x14ac:dyDescent="0.25">
      <c r="A871" s="3">
        <v>24</v>
      </c>
      <c r="B871" s="3" t="s">
        <v>1197</v>
      </c>
      <c r="C871" s="21">
        <v>1781883503843710</v>
      </c>
      <c r="D871" s="3" t="s">
        <v>1188</v>
      </c>
      <c r="E871" s="21">
        <v>78866</v>
      </c>
      <c r="F871" s="3" t="s">
        <v>132</v>
      </c>
      <c r="G871" s="3" t="s">
        <v>133</v>
      </c>
      <c r="H871" s="3" t="s">
        <v>134</v>
      </c>
      <c r="I871" s="3" t="s">
        <v>135</v>
      </c>
    </row>
    <row r="872" spans="1:9" x14ac:dyDescent="0.25">
      <c r="A872" s="3">
        <v>24</v>
      </c>
      <c r="B872" s="3" t="s">
        <v>1198</v>
      </c>
      <c r="C872" s="21">
        <v>1781883506828530</v>
      </c>
      <c r="D872" s="3" t="s">
        <v>1188</v>
      </c>
      <c r="E872" s="21">
        <v>81850</v>
      </c>
      <c r="F872" s="3" t="s">
        <v>98</v>
      </c>
      <c r="G872" s="3" t="s">
        <v>99</v>
      </c>
      <c r="H872" s="3" t="s">
        <v>137</v>
      </c>
      <c r="I872" s="3" t="s">
        <v>138</v>
      </c>
    </row>
    <row r="873" spans="1:9" x14ac:dyDescent="0.25">
      <c r="A873" s="3">
        <v>24</v>
      </c>
      <c r="B873" s="3" t="s">
        <v>1199</v>
      </c>
      <c r="C873" s="21">
        <v>1781883519681590</v>
      </c>
      <c r="D873" s="3" t="s">
        <v>1188</v>
      </c>
      <c r="E873" s="21">
        <v>94703</v>
      </c>
      <c r="F873" s="3" t="s">
        <v>166</v>
      </c>
      <c r="G873" s="3" t="s">
        <v>167</v>
      </c>
      <c r="H873" s="3" t="s">
        <v>213</v>
      </c>
      <c r="I873" s="3"/>
    </row>
    <row r="874" spans="1:9" x14ac:dyDescent="0.25">
      <c r="A874" s="3">
        <v>24</v>
      </c>
      <c r="B874" s="3" t="s">
        <v>1200</v>
      </c>
      <c r="C874" s="21">
        <v>1781883524905750</v>
      </c>
      <c r="D874" s="3" t="s">
        <v>1188</v>
      </c>
      <c r="E874" s="21">
        <v>99928</v>
      </c>
      <c r="F874" s="3" t="s">
        <v>98</v>
      </c>
      <c r="G874" s="3" t="s">
        <v>99</v>
      </c>
      <c r="H874" s="3" t="s">
        <v>120</v>
      </c>
      <c r="I874" s="3" t="s">
        <v>142</v>
      </c>
    </row>
    <row r="875" spans="1:9" x14ac:dyDescent="0.25">
      <c r="A875" s="3">
        <v>24</v>
      </c>
      <c r="B875" s="3" t="s">
        <v>1201</v>
      </c>
      <c r="C875" s="21">
        <v>1781883524924590</v>
      </c>
      <c r="D875" s="3" t="s">
        <v>1188</v>
      </c>
      <c r="E875" s="21">
        <v>99946</v>
      </c>
      <c r="F875" s="3" t="s">
        <v>123</v>
      </c>
      <c r="G875" s="3" t="s">
        <v>124</v>
      </c>
      <c r="H875" s="3" t="s">
        <v>120</v>
      </c>
      <c r="I875" s="3" t="s">
        <v>144</v>
      </c>
    </row>
    <row r="876" spans="1:9" x14ac:dyDescent="0.25">
      <c r="A876" s="3">
        <v>24</v>
      </c>
      <c r="B876" s="3" t="s">
        <v>1202</v>
      </c>
      <c r="C876" s="21">
        <v>1781883534397470</v>
      </c>
      <c r="D876" s="3" t="s">
        <v>1188</v>
      </c>
      <c r="E876" s="21">
        <v>109419</v>
      </c>
      <c r="F876" s="3" t="s">
        <v>123</v>
      </c>
      <c r="G876" s="3" t="s">
        <v>124</v>
      </c>
      <c r="H876" s="3" t="s">
        <v>148</v>
      </c>
      <c r="I876" s="3" t="s">
        <v>149</v>
      </c>
    </row>
    <row r="877" spans="1:9" x14ac:dyDescent="0.25">
      <c r="A877" s="3">
        <v>24</v>
      </c>
      <c r="B877" s="3" t="s">
        <v>1203</v>
      </c>
      <c r="C877" s="21">
        <v>1781883534397810</v>
      </c>
      <c r="D877" s="3" t="s">
        <v>1188</v>
      </c>
      <c r="E877" s="21">
        <v>109420</v>
      </c>
      <c r="F877" s="3" t="s">
        <v>98</v>
      </c>
      <c r="G877" s="3" t="s">
        <v>99</v>
      </c>
      <c r="H877" s="3" t="s">
        <v>148</v>
      </c>
      <c r="I877" s="3" t="s">
        <v>151</v>
      </c>
    </row>
    <row r="878" spans="1:9" x14ac:dyDescent="0.25">
      <c r="A878" s="3">
        <v>24</v>
      </c>
      <c r="B878" s="3" t="s">
        <v>1204</v>
      </c>
      <c r="C878" s="21">
        <v>1781883541614230</v>
      </c>
      <c r="D878" s="3" t="s">
        <v>1188</v>
      </c>
      <c r="E878" s="21">
        <v>116636</v>
      </c>
      <c r="F878" s="3" t="s">
        <v>98</v>
      </c>
      <c r="G878" s="3" t="s">
        <v>99</v>
      </c>
      <c r="H878" s="3" t="s">
        <v>120</v>
      </c>
      <c r="I878" s="3" t="s">
        <v>155</v>
      </c>
    </row>
    <row r="879" spans="1:9" x14ac:dyDescent="0.25">
      <c r="A879" s="3">
        <v>24</v>
      </c>
      <c r="B879" s="3" t="s">
        <v>1205</v>
      </c>
      <c r="C879" s="21">
        <v>1781883541701870</v>
      </c>
      <c r="D879" s="3" t="s">
        <v>1188</v>
      </c>
      <c r="E879" s="21">
        <v>116724</v>
      </c>
      <c r="F879" s="3" t="s">
        <v>123</v>
      </c>
      <c r="G879" s="3" t="s">
        <v>124</v>
      </c>
      <c r="H879" s="3" t="s">
        <v>120</v>
      </c>
      <c r="I879" s="3" t="s">
        <v>157</v>
      </c>
    </row>
    <row r="880" spans="1:9" x14ac:dyDescent="0.25">
      <c r="A880" s="3">
        <v>24</v>
      </c>
      <c r="B880" s="3" t="s">
        <v>1206</v>
      </c>
      <c r="C880" s="21">
        <v>1781883543134370</v>
      </c>
      <c r="D880" s="3" t="s">
        <v>1188</v>
      </c>
      <c r="E880" s="21">
        <v>118156</v>
      </c>
      <c r="F880" s="3" t="s">
        <v>123</v>
      </c>
      <c r="G880" s="3" t="s">
        <v>124</v>
      </c>
      <c r="H880" s="3" t="s">
        <v>120</v>
      </c>
      <c r="I880" s="3" t="s">
        <v>159</v>
      </c>
    </row>
    <row r="881" spans="1:9" x14ac:dyDescent="0.25">
      <c r="A881" s="3">
        <v>24</v>
      </c>
      <c r="B881" s="3" t="s">
        <v>1207</v>
      </c>
      <c r="C881" s="21">
        <v>1781883557129530</v>
      </c>
      <c r="D881" s="3" t="s">
        <v>1188</v>
      </c>
      <c r="E881" s="21">
        <v>132151</v>
      </c>
      <c r="F881" s="3" t="s">
        <v>98</v>
      </c>
      <c r="G881" s="3" t="s">
        <v>99</v>
      </c>
      <c r="H881" s="3" t="s">
        <v>161</v>
      </c>
      <c r="I881" s="3" t="s">
        <v>1208</v>
      </c>
    </row>
    <row r="882" spans="1:9" x14ac:dyDescent="0.25">
      <c r="A882" s="3">
        <v>24</v>
      </c>
      <c r="B882" s="3" t="s">
        <v>1209</v>
      </c>
      <c r="C882" s="21">
        <v>1781883557132560</v>
      </c>
      <c r="D882" s="3" t="s">
        <v>1188</v>
      </c>
      <c r="E882" s="21">
        <v>132154</v>
      </c>
      <c r="F882" s="3" t="s">
        <v>123</v>
      </c>
      <c r="G882" s="3" t="s">
        <v>124</v>
      </c>
      <c r="H882" s="3" t="s">
        <v>161</v>
      </c>
      <c r="I882" s="3" t="s">
        <v>1210</v>
      </c>
    </row>
    <row r="883" spans="1:9" x14ac:dyDescent="0.25">
      <c r="A883" s="3">
        <v>24</v>
      </c>
      <c r="B883" s="3" t="s">
        <v>1211</v>
      </c>
      <c r="C883" s="21">
        <v>1781883623754620</v>
      </c>
      <c r="D883" s="3" t="s">
        <v>1188</v>
      </c>
      <c r="E883" s="21">
        <v>198777</v>
      </c>
      <c r="F883" s="3" t="s">
        <v>98</v>
      </c>
      <c r="G883" s="3" t="s">
        <v>99</v>
      </c>
      <c r="H883" s="3" t="s">
        <v>120</v>
      </c>
      <c r="I883" s="3" t="s">
        <v>155</v>
      </c>
    </row>
    <row r="884" spans="1:9" x14ac:dyDescent="0.25">
      <c r="A884" s="3">
        <v>24</v>
      </c>
      <c r="B884" s="3" t="s">
        <v>1212</v>
      </c>
      <c r="C884" s="21">
        <v>1781883623754980</v>
      </c>
      <c r="D884" s="3" t="s">
        <v>1188</v>
      </c>
      <c r="E884" s="21">
        <v>198777</v>
      </c>
      <c r="F884" s="3" t="s">
        <v>123</v>
      </c>
      <c r="G884" s="3" t="s">
        <v>124</v>
      </c>
      <c r="H884" s="3" t="s">
        <v>120</v>
      </c>
      <c r="I884" s="3" t="s">
        <v>157</v>
      </c>
    </row>
    <row r="885" spans="1:9" x14ac:dyDescent="0.25">
      <c r="A885" s="3">
        <v>24</v>
      </c>
      <c r="B885" s="3" t="s">
        <v>1213</v>
      </c>
      <c r="C885" s="21">
        <v>1781883625353630</v>
      </c>
      <c r="D885" s="3" t="s">
        <v>1188</v>
      </c>
      <c r="E885" s="21">
        <v>200376</v>
      </c>
      <c r="F885" s="3" t="s">
        <v>123</v>
      </c>
      <c r="G885" s="3" t="s">
        <v>124</v>
      </c>
      <c r="H885" s="3" t="s">
        <v>120</v>
      </c>
      <c r="I885" s="3" t="s">
        <v>159</v>
      </c>
    </row>
    <row r="886" spans="1:9" x14ac:dyDescent="0.25">
      <c r="A886" s="3">
        <v>24</v>
      </c>
      <c r="B886" s="3" t="s">
        <v>1214</v>
      </c>
      <c r="C886" s="21">
        <v>1781883628054720</v>
      </c>
      <c r="D886" s="3" t="s">
        <v>1188</v>
      </c>
      <c r="E886" s="21">
        <v>203077</v>
      </c>
      <c r="F886" s="3" t="s">
        <v>98</v>
      </c>
      <c r="G886" s="3" t="s">
        <v>99</v>
      </c>
      <c r="H886" s="3" t="s">
        <v>161</v>
      </c>
      <c r="I886" s="3" t="s">
        <v>1215</v>
      </c>
    </row>
    <row r="887" spans="1:9" x14ac:dyDescent="0.25">
      <c r="A887" s="3">
        <v>24</v>
      </c>
      <c r="B887" s="3" t="s">
        <v>1216</v>
      </c>
      <c r="C887" s="21">
        <v>1781883628055030</v>
      </c>
      <c r="D887" s="3" t="s">
        <v>1188</v>
      </c>
      <c r="E887" s="21">
        <v>203077</v>
      </c>
      <c r="F887" s="3" t="s">
        <v>123</v>
      </c>
      <c r="G887" s="3" t="s">
        <v>124</v>
      </c>
      <c r="H887" s="3" t="s">
        <v>161</v>
      </c>
      <c r="I887" s="3" t="s">
        <v>1217</v>
      </c>
    </row>
    <row r="888" spans="1:9" x14ac:dyDescent="0.25">
      <c r="A888" s="3">
        <v>24</v>
      </c>
      <c r="B888" s="3" t="s">
        <v>1218</v>
      </c>
      <c r="C888" s="21">
        <v>1781883642018810</v>
      </c>
      <c r="D888" s="3" t="s">
        <v>1188</v>
      </c>
      <c r="E888" s="21">
        <v>217041</v>
      </c>
      <c r="F888" s="3" t="s">
        <v>166</v>
      </c>
      <c r="G888" s="3" t="s">
        <v>167</v>
      </c>
      <c r="H888" s="3" t="s">
        <v>1219</v>
      </c>
      <c r="I888" s="3"/>
    </row>
    <row r="889" spans="1:9" x14ac:dyDescent="0.25">
      <c r="A889" s="3">
        <v>24</v>
      </c>
      <c r="B889" s="3" t="s">
        <v>1220</v>
      </c>
      <c r="C889" s="21">
        <v>1781883663326040</v>
      </c>
      <c r="D889" s="3" t="s">
        <v>1188</v>
      </c>
      <c r="E889" s="21">
        <v>238348</v>
      </c>
      <c r="F889" s="3" t="s">
        <v>98</v>
      </c>
      <c r="G889" s="3" t="s">
        <v>99</v>
      </c>
      <c r="H889" s="3" t="s">
        <v>172</v>
      </c>
      <c r="I889" s="3" t="s">
        <v>173</v>
      </c>
    </row>
    <row r="890" spans="1:9" x14ac:dyDescent="0.25">
      <c r="A890" s="3">
        <v>24</v>
      </c>
      <c r="B890" s="3" t="s">
        <v>1221</v>
      </c>
      <c r="C890" s="21">
        <v>1781883681600460</v>
      </c>
      <c r="D890" s="3" t="s">
        <v>1188</v>
      </c>
      <c r="E890" s="21">
        <v>256622</v>
      </c>
      <c r="F890" s="3" t="s">
        <v>93</v>
      </c>
      <c r="G890" s="3" t="s">
        <v>94</v>
      </c>
      <c r="H890" s="3" t="s">
        <v>603</v>
      </c>
      <c r="I890" s="3" t="s">
        <v>603</v>
      </c>
    </row>
    <row r="891" spans="1:9" x14ac:dyDescent="0.25">
      <c r="A891" s="3">
        <v>24</v>
      </c>
      <c r="B891" s="3" t="s">
        <v>1222</v>
      </c>
      <c r="C891" s="21">
        <v>1781883681603040</v>
      </c>
      <c r="D891" s="3" t="s">
        <v>1188</v>
      </c>
      <c r="E891" s="21">
        <v>256625</v>
      </c>
      <c r="F891" s="3" t="s">
        <v>98</v>
      </c>
      <c r="G891" s="3" t="s">
        <v>99</v>
      </c>
      <c r="H891" s="3" t="s">
        <v>120</v>
      </c>
      <c r="I891" s="3" t="s">
        <v>605</v>
      </c>
    </row>
    <row r="892" spans="1:9" x14ac:dyDescent="0.25">
      <c r="A892" s="3">
        <v>24</v>
      </c>
      <c r="B892" s="3" t="s">
        <v>1223</v>
      </c>
      <c r="C892" s="21">
        <v>1781883681706920</v>
      </c>
      <c r="D892" s="3" t="s">
        <v>1188</v>
      </c>
      <c r="E892" s="21">
        <v>256729</v>
      </c>
      <c r="F892" s="3" t="s">
        <v>123</v>
      </c>
      <c r="G892" s="3" t="s">
        <v>124</v>
      </c>
      <c r="H892" s="3" t="s">
        <v>120</v>
      </c>
      <c r="I892" s="3" t="s">
        <v>607</v>
      </c>
    </row>
    <row r="893" spans="1:9" x14ac:dyDescent="0.25">
      <c r="A893" s="3">
        <v>24</v>
      </c>
      <c r="B893" s="3" t="s">
        <v>1224</v>
      </c>
      <c r="C893" s="21">
        <v>1781883776373110</v>
      </c>
      <c r="D893" s="3" t="s">
        <v>1188</v>
      </c>
      <c r="E893" s="21">
        <v>351395</v>
      </c>
      <c r="F893" s="3" t="s">
        <v>103</v>
      </c>
      <c r="G893" s="3" t="s">
        <v>89</v>
      </c>
      <c r="H893" s="3" t="s">
        <v>619</v>
      </c>
      <c r="I893" s="3"/>
    </row>
    <row r="896" spans="1:9" x14ac:dyDescent="0.25">
      <c r="B896" t="s">
        <v>1225</v>
      </c>
      <c r="C896" s="12">
        <v>1781888489996550</v>
      </c>
      <c r="D896" t="s">
        <v>1226</v>
      </c>
      <c r="E896" t="s">
        <v>87</v>
      </c>
      <c r="F896" t="s">
        <v>88</v>
      </c>
      <c r="G896" t="s">
        <v>89</v>
      </c>
      <c r="H896" t="s">
        <v>184</v>
      </c>
    </row>
    <row r="897" spans="1:9" x14ac:dyDescent="0.25">
      <c r="B897" t="s">
        <v>1227</v>
      </c>
      <c r="C897" s="12">
        <v>1781888489997700</v>
      </c>
      <c r="D897" t="s">
        <v>1226</v>
      </c>
      <c r="E897" t="s">
        <v>108</v>
      </c>
      <c r="F897" t="s">
        <v>166</v>
      </c>
      <c r="G897" t="s">
        <v>167</v>
      </c>
      <c r="H897" t="s">
        <v>1228</v>
      </c>
    </row>
    <row r="898" spans="1:9" x14ac:dyDescent="0.25">
      <c r="B898" t="s">
        <v>1229</v>
      </c>
      <c r="C898" s="12">
        <v>1781888598623360</v>
      </c>
      <c r="D898" t="s">
        <v>1226</v>
      </c>
      <c r="E898" s="12">
        <v>108627</v>
      </c>
      <c r="F898" t="s">
        <v>98</v>
      </c>
      <c r="G898" t="s">
        <v>99</v>
      </c>
      <c r="H898" t="s">
        <v>100</v>
      </c>
      <c r="I898" t="s">
        <v>101</v>
      </c>
    </row>
    <row r="899" spans="1:9" x14ac:dyDescent="0.25">
      <c r="B899" t="s">
        <v>1230</v>
      </c>
      <c r="C899" s="12">
        <v>1781888663719230</v>
      </c>
      <c r="D899" t="s">
        <v>1226</v>
      </c>
      <c r="E899" s="12">
        <v>173723</v>
      </c>
      <c r="F899" t="s">
        <v>166</v>
      </c>
      <c r="G899" t="s">
        <v>167</v>
      </c>
      <c r="H899" t="s">
        <v>711</v>
      </c>
    </row>
    <row r="900" spans="1:9" x14ac:dyDescent="0.25">
      <c r="B900" t="s">
        <v>1231</v>
      </c>
      <c r="C900" s="12">
        <v>1781888702656610</v>
      </c>
      <c r="D900" t="s">
        <v>1226</v>
      </c>
      <c r="E900" s="12">
        <v>212660</v>
      </c>
      <c r="F900" t="s">
        <v>98</v>
      </c>
      <c r="G900" t="s">
        <v>99</v>
      </c>
      <c r="H900" t="s">
        <v>120</v>
      </c>
      <c r="I900" t="s">
        <v>121</v>
      </c>
    </row>
    <row r="901" spans="1:9" x14ac:dyDescent="0.25">
      <c r="B901" t="s">
        <v>1232</v>
      </c>
      <c r="C901" s="12">
        <v>1781888702657670</v>
      </c>
      <c r="D901" t="s">
        <v>1226</v>
      </c>
      <c r="E901" s="12">
        <v>212661</v>
      </c>
      <c r="F901" t="s">
        <v>123</v>
      </c>
      <c r="G901" t="s">
        <v>124</v>
      </c>
      <c r="H901" t="s">
        <v>120</v>
      </c>
      <c r="I901" t="s">
        <v>125</v>
      </c>
    </row>
    <row r="902" spans="1:9" x14ac:dyDescent="0.25">
      <c r="B902" t="s">
        <v>1233</v>
      </c>
      <c r="C902" s="12">
        <v>1781888730226280</v>
      </c>
      <c r="D902" t="s">
        <v>1226</v>
      </c>
      <c r="E902" s="12">
        <v>240230</v>
      </c>
      <c r="F902" t="s">
        <v>166</v>
      </c>
      <c r="G902" t="s">
        <v>167</v>
      </c>
      <c r="H902" t="s">
        <v>593</v>
      </c>
    </row>
    <row r="903" spans="1:9" x14ac:dyDescent="0.25">
      <c r="B903" t="s">
        <v>1234</v>
      </c>
      <c r="C903" s="12">
        <v>1781888758048350</v>
      </c>
      <c r="D903" t="s">
        <v>1226</v>
      </c>
      <c r="E903" s="12">
        <v>268052</v>
      </c>
      <c r="F903" t="s">
        <v>98</v>
      </c>
      <c r="G903" t="s">
        <v>99</v>
      </c>
      <c r="H903" t="s">
        <v>100</v>
      </c>
      <c r="I903" t="s">
        <v>101</v>
      </c>
    </row>
    <row r="904" spans="1:9" x14ac:dyDescent="0.25">
      <c r="B904" t="s">
        <v>1235</v>
      </c>
      <c r="C904" s="12">
        <v>1781888775729910</v>
      </c>
      <c r="D904" t="s">
        <v>1226</v>
      </c>
      <c r="E904" s="12">
        <v>285733</v>
      </c>
      <c r="F904" t="s">
        <v>98</v>
      </c>
      <c r="G904" t="s">
        <v>99</v>
      </c>
      <c r="H904" t="s">
        <v>120</v>
      </c>
      <c r="I904" t="s">
        <v>121</v>
      </c>
    </row>
    <row r="905" spans="1:9" x14ac:dyDescent="0.25">
      <c r="B905" t="s">
        <v>1236</v>
      </c>
      <c r="C905" s="12">
        <v>1781888963870720</v>
      </c>
      <c r="D905" t="s">
        <v>1226</v>
      </c>
      <c r="E905" s="12">
        <v>473874</v>
      </c>
      <c r="F905" t="s">
        <v>166</v>
      </c>
      <c r="G905" t="s">
        <v>167</v>
      </c>
      <c r="H905" t="s">
        <v>593</v>
      </c>
    </row>
    <row r="906" spans="1:9" x14ac:dyDescent="0.25">
      <c r="B906" t="s">
        <v>1237</v>
      </c>
      <c r="C906" s="12">
        <v>1781889051848140</v>
      </c>
      <c r="D906" t="s">
        <v>1226</v>
      </c>
      <c r="E906" s="12">
        <v>561852</v>
      </c>
      <c r="F906" t="s">
        <v>166</v>
      </c>
      <c r="G906" t="s">
        <v>167</v>
      </c>
      <c r="H906" t="s">
        <v>1238</v>
      </c>
    </row>
    <row r="907" spans="1:9" x14ac:dyDescent="0.25">
      <c r="A907" s="4">
        <v>25</v>
      </c>
      <c r="B907" s="4" t="s">
        <v>1239</v>
      </c>
      <c r="C907" s="18">
        <v>1781889129158640</v>
      </c>
      <c r="D907" s="4" t="s">
        <v>1226</v>
      </c>
      <c r="E907" s="18">
        <v>639162</v>
      </c>
      <c r="F907" s="4" t="s">
        <v>98</v>
      </c>
      <c r="G907" s="4" t="s">
        <v>99</v>
      </c>
      <c r="H907" s="4" t="s">
        <v>100</v>
      </c>
      <c r="I907" s="4" t="s">
        <v>101</v>
      </c>
    </row>
    <row r="908" spans="1:9" x14ac:dyDescent="0.25">
      <c r="A908" s="4">
        <v>25</v>
      </c>
      <c r="B908" s="4" t="s">
        <v>1240</v>
      </c>
      <c r="C908" s="18">
        <v>1781889145687680</v>
      </c>
      <c r="D908" s="4" t="s">
        <v>1226</v>
      </c>
      <c r="E908" s="18">
        <v>655691</v>
      </c>
      <c r="F908" s="4" t="s">
        <v>98</v>
      </c>
      <c r="G908" s="4" t="s">
        <v>99</v>
      </c>
      <c r="H908" s="4" t="s">
        <v>120</v>
      </c>
      <c r="I908" s="4" t="s">
        <v>121</v>
      </c>
    </row>
    <row r="909" spans="1:9" x14ac:dyDescent="0.25">
      <c r="A909" s="4">
        <v>25</v>
      </c>
      <c r="B909" s="4" t="s">
        <v>1241</v>
      </c>
      <c r="C909" s="18">
        <v>1781889151167340</v>
      </c>
      <c r="D909" s="4" t="s">
        <v>1226</v>
      </c>
      <c r="E909" s="18">
        <v>661171</v>
      </c>
      <c r="F909" s="4" t="s">
        <v>98</v>
      </c>
      <c r="G909" s="4" t="s">
        <v>99</v>
      </c>
      <c r="H909" s="4" t="s">
        <v>127</v>
      </c>
      <c r="I909" s="4" t="s">
        <v>1242</v>
      </c>
    </row>
    <row r="910" spans="1:9" x14ac:dyDescent="0.25">
      <c r="A910" s="4">
        <v>25</v>
      </c>
      <c r="B910" s="4" t="s">
        <v>1243</v>
      </c>
      <c r="C910" s="18">
        <v>1781889151167680</v>
      </c>
      <c r="D910" s="4" t="s">
        <v>1226</v>
      </c>
      <c r="E910" s="18">
        <v>661171</v>
      </c>
      <c r="F910" s="4" t="s">
        <v>123</v>
      </c>
      <c r="G910" s="4" t="s">
        <v>124</v>
      </c>
      <c r="H910" s="4" t="s">
        <v>127</v>
      </c>
      <c r="I910" s="4" t="s">
        <v>1244</v>
      </c>
    </row>
    <row r="911" spans="1:9" x14ac:dyDescent="0.25">
      <c r="A911" s="4">
        <v>25</v>
      </c>
      <c r="B911" s="4" t="s">
        <v>1245</v>
      </c>
      <c r="C911" s="18">
        <v>1781889153432240</v>
      </c>
      <c r="D911" s="4" t="s">
        <v>1226</v>
      </c>
      <c r="E911" s="18">
        <v>663436</v>
      </c>
      <c r="F911" s="4" t="s">
        <v>132</v>
      </c>
      <c r="G911" s="4" t="s">
        <v>133</v>
      </c>
      <c r="H911" s="4" t="s">
        <v>134</v>
      </c>
      <c r="I911" s="4" t="s">
        <v>135</v>
      </c>
    </row>
    <row r="912" spans="1:9" x14ac:dyDescent="0.25">
      <c r="A912" s="4">
        <v>25</v>
      </c>
      <c r="B912" s="4" t="s">
        <v>1246</v>
      </c>
      <c r="C912" s="18">
        <v>1781889171660940</v>
      </c>
      <c r="D912" s="4" t="s">
        <v>1226</v>
      </c>
      <c r="E912" s="18">
        <v>681664</v>
      </c>
      <c r="F912" s="4" t="s">
        <v>93</v>
      </c>
      <c r="G912" s="4" t="s">
        <v>94</v>
      </c>
      <c r="H912" s="4" t="s">
        <v>140</v>
      </c>
      <c r="I912" s="4" t="s">
        <v>140</v>
      </c>
    </row>
    <row r="913" spans="1:9" x14ac:dyDescent="0.25">
      <c r="A913" s="4">
        <v>25</v>
      </c>
      <c r="B913" s="4" t="s">
        <v>1247</v>
      </c>
      <c r="C913" s="18">
        <v>1781889171661220</v>
      </c>
      <c r="D913" s="4" t="s">
        <v>1226</v>
      </c>
      <c r="E913" s="18">
        <v>681665</v>
      </c>
      <c r="F913" s="4" t="s">
        <v>98</v>
      </c>
      <c r="G913" s="4" t="s">
        <v>99</v>
      </c>
      <c r="H913" s="4" t="s">
        <v>137</v>
      </c>
      <c r="I913" s="4" t="s">
        <v>138</v>
      </c>
    </row>
    <row r="914" spans="1:9" x14ac:dyDescent="0.25">
      <c r="A914" s="4">
        <v>25</v>
      </c>
      <c r="B914" s="4" t="s">
        <v>1248</v>
      </c>
      <c r="C914" s="18">
        <v>1781889183085390</v>
      </c>
      <c r="D914" s="4" t="s">
        <v>1226</v>
      </c>
      <c r="E914" s="18">
        <v>693089</v>
      </c>
      <c r="F914" s="4" t="s">
        <v>166</v>
      </c>
      <c r="G914" s="4" t="s">
        <v>167</v>
      </c>
      <c r="H914" s="4" t="s">
        <v>213</v>
      </c>
      <c r="I914" s="4"/>
    </row>
    <row r="915" spans="1:9" x14ac:dyDescent="0.25">
      <c r="A915" s="4">
        <v>25</v>
      </c>
      <c r="B915" s="4" t="s">
        <v>1249</v>
      </c>
      <c r="C915" s="18">
        <v>1781889189314790</v>
      </c>
      <c r="D915" s="4" t="s">
        <v>1226</v>
      </c>
      <c r="E915" s="18">
        <v>699318</v>
      </c>
      <c r="F915" s="4" t="s">
        <v>93</v>
      </c>
      <c r="G915" s="4" t="s">
        <v>94</v>
      </c>
      <c r="H915" s="4" t="s">
        <v>146</v>
      </c>
      <c r="I915" s="4" t="s">
        <v>146</v>
      </c>
    </row>
    <row r="916" spans="1:9" x14ac:dyDescent="0.25">
      <c r="A916" s="4">
        <v>25</v>
      </c>
      <c r="B916" s="4" t="s">
        <v>1250</v>
      </c>
      <c r="C916" s="18">
        <v>1781889189314980</v>
      </c>
      <c r="D916" s="4" t="s">
        <v>1226</v>
      </c>
      <c r="E916" s="18">
        <v>699319</v>
      </c>
      <c r="F916" s="4" t="s">
        <v>98</v>
      </c>
      <c r="G916" s="4" t="s">
        <v>99</v>
      </c>
      <c r="H916" s="4" t="s">
        <v>120</v>
      </c>
      <c r="I916" s="4" t="s">
        <v>142</v>
      </c>
    </row>
    <row r="917" spans="1:9" x14ac:dyDescent="0.25">
      <c r="A917" s="4">
        <v>25</v>
      </c>
      <c r="B917" s="4" t="s">
        <v>1251</v>
      </c>
      <c r="C917" s="18">
        <v>1781889189321000</v>
      </c>
      <c r="D917" s="4" t="s">
        <v>1226</v>
      </c>
      <c r="E917" s="18">
        <v>699325</v>
      </c>
      <c r="F917" s="4" t="s">
        <v>123</v>
      </c>
      <c r="G917" s="4" t="s">
        <v>124</v>
      </c>
      <c r="H917" s="4" t="s">
        <v>120</v>
      </c>
      <c r="I917" s="4" t="s">
        <v>144</v>
      </c>
    </row>
    <row r="918" spans="1:9" x14ac:dyDescent="0.25">
      <c r="A918" s="4">
        <v>25</v>
      </c>
      <c r="B918" s="4" t="s">
        <v>1252</v>
      </c>
      <c r="C918" s="18">
        <v>1781889198901680</v>
      </c>
      <c r="D918" s="4" t="s">
        <v>1226</v>
      </c>
      <c r="E918" s="18">
        <v>708905</v>
      </c>
      <c r="F918" s="4" t="s">
        <v>123</v>
      </c>
      <c r="G918" s="4" t="s">
        <v>124</v>
      </c>
      <c r="H918" s="4" t="s">
        <v>148</v>
      </c>
      <c r="I918" s="4" t="s">
        <v>149</v>
      </c>
    </row>
    <row r="919" spans="1:9" x14ac:dyDescent="0.25">
      <c r="A919" s="4">
        <v>25</v>
      </c>
      <c r="B919" s="4" t="s">
        <v>1253</v>
      </c>
      <c r="C919" s="18">
        <v>1781889198902130</v>
      </c>
      <c r="D919" s="4" t="s">
        <v>1226</v>
      </c>
      <c r="E919" s="18">
        <v>708906</v>
      </c>
      <c r="F919" s="4" t="s">
        <v>98</v>
      </c>
      <c r="G919" s="4" t="s">
        <v>99</v>
      </c>
      <c r="H919" s="4" t="s">
        <v>148</v>
      </c>
      <c r="I919" s="4" t="s">
        <v>151</v>
      </c>
    </row>
    <row r="920" spans="1:9" x14ac:dyDescent="0.25">
      <c r="A920" s="4">
        <v>25</v>
      </c>
      <c r="B920" s="4" t="s">
        <v>1254</v>
      </c>
      <c r="C920" s="18">
        <v>1781889256687170</v>
      </c>
      <c r="D920" s="4" t="s">
        <v>1226</v>
      </c>
      <c r="E920" s="18">
        <v>766691</v>
      </c>
      <c r="F920" s="4" t="s">
        <v>98</v>
      </c>
      <c r="G920" s="4" t="s">
        <v>99</v>
      </c>
      <c r="H920" s="4" t="s">
        <v>120</v>
      </c>
      <c r="I920" s="4" t="s">
        <v>155</v>
      </c>
    </row>
    <row r="921" spans="1:9" x14ac:dyDescent="0.25">
      <c r="A921" s="4">
        <v>25</v>
      </c>
      <c r="B921" s="4" t="s">
        <v>1255</v>
      </c>
      <c r="C921" s="18">
        <v>1781889256691610</v>
      </c>
      <c r="D921" s="4" t="s">
        <v>1226</v>
      </c>
      <c r="E921" s="18">
        <v>766695</v>
      </c>
      <c r="F921" s="4" t="s">
        <v>123</v>
      </c>
      <c r="G921" s="4" t="s">
        <v>124</v>
      </c>
      <c r="H921" s="4" t="s">
        <v>120</v>
      </c>
      <c r="I921" s="4" t="s">
        <v>157</v>
      </c>
    </row>
    <row r="922" spans="1:9" x14ac:dyDescent="0.25">
      <c r="A922" s="4">
        <v>25</v>
      </c>
      <c r="B922" s="4" t="s">
        <v>1256</v>
      </c>
      <c r="C922" s="18">
        <v>1781889258276690</v>
      </c>
      <c r="D922" s="4" t="s">
        <v>1226</v>
      </c>
      <c r="E922" s="18">
        <v>768280</v>
      </c>
      <c r="F922" s="4" t="s">
        <v>123</v>
      </c>
      <c r="G922" s="4" t="s">
        <v>124</v>
      </c>
      <c r="H922" s="4" t="s">
        <v>120</v>
      </c>
      <c r="I922" s="4" t="s">
        <v>159</v>
      </c>
    </row>
    <row r="923" spans="1:9" x14ac:dyDescent="0.25">
      <c r="A923" s="4">
        <v>25</v>
      </c>
      <c r="B923" s="4" t="s">
        <v>1257</v>
      </c>
      <c r="C923" s="18">
        <v>1781889258973790</v>
      </c>
      <c r="D923" s="4" t="s">
        <v>1226</v>
      </c>
      <c r="E923" s="18">
        <v>768977</v>
      </c>
      <c r="F923" s="4" t="s">
        <v>123</v>
      </c>
      <c r="G923" s="4" t="s">
        <v>124</v>
      </c>
      <c r="H923" s="4" t="s">
        <v>161</v>
      </c>
      <c r="I923" s="4" t="s">
        <v>1258</v>
      </c>
    </row>
    <row r="924" spans="1:9" x14ac:dyDescent="0.25">
      <c r="A924" s="4">
        <v>25</v>
      </c>
      <c r="B924" s="4" t="s">
        <v>1259</v>
      </c>
      <c r="C924" s="18">
        <v>1781889258974340</v>
      </c>
      <c r="D924" s="4" t="s">
        <v>1226</v>
      </c>
      <c r="E924" s="18">
        <v>768978</v>
      </c>
      <c r="F924" s="4" t="s">
        <v>98</v>
      </c>
      <c r="G924" s="4" t="s">
        <v>99</v>
      </c>
      <c r="H924" s="4" t="s">
        <v>161</v>
      </c>
      <c r="I924" s="4" t="s">
        <v>1260</v>
      </c>
    </row>
    <row r="925" spans="1:9" x14ac:dyDescent="0.25">
      <c r="A925" s="4">
        <v>25</v>
      </c>
      <c r="B925" s="4" t="s">
        <v>1261</v>
      </c>
      <c r="C925" s="18">
        <v>1781889264242750</v>
      </c>
      <c r="D925" s="4" t="s">
        <v>1226</v>
      </c>
      <c r="E925" s="18">
        <v>774246</v>
      </c>
      <c r="F925" s="4" t="s">
        <v>166</v>
      </c>
      <c r="G925" s="4" t="s">
        <v>167</v>
      </c>
      <c r="H925" s="4" t="s">
        <v>1107</v>
      </c>
      <c r="I925" s="4"/>
    </row>
    <row r="926" spans="1:9" x14ac:dyDescent="0.25">
      <c r="A926" s="4">
        <v>25</v>
      </c>
      <c r="B926" s="4" t="s">
        <v>1262</v>
      </c>
      <c r="C926" s="18">
        <v>1781889293821390</v>
      </c>
      <c r="D926" s="4" t="s">
        <v>1226</v>
      </c>
      <c r="E926" s="18">
        <v>803825</v>
      </c>
      <c r="F926" s="4" t="s">
        <v>166</v>
      </c>
      <c r="G926" s="4" t="s">
        <v>167</v>
      </c>
      <c r="H926" s="4" t="s">
        <v>168</v>
      </c>
      <c r="I926" s="4"/>
    </row>
    <row r="927" spans="1:9" x14ac:dyDescent="0.25">
      <c r="A927" s="4">
        <v>25</v>
      </c>
      <c r="B927" s="4" t="s">
        <v>1263</v>
      </c>
      <c r="C927" s="18">
        <v>1781889301487680</v>
      </c>
      <c r="D927" s="4" t="s">
        <v>1226</v>
      </c>
      <c r="E927" s="18">
        <v>811491</v>
      </c>
      <c r="F927" s="4" t="s">
        <v>98</v>
      </c>
      <c r="G927" s="4" t="s">
        <v>99</v>
      </c>
      <c r="H927" s="4" t="s">
        <v>172</v>
      </c>
      <c r="I927" s="4" t="s">
        <v>173</v>
      </c>
    </row>
    <row r="928" spans="1:9" x14ac:dyDescent="0.25">
      <c r="A928" s="4">
        <v>25</v>
      </c>
      <c r="B928" s="4" t="s">
        <v>1264</v>
      </c>
      <c r="C928" s="18">
        <v>1781889319692280</v>
      </c>
      <c r="D928" s="4" t="s">
        <v>1226</v>
      </c>
      <c r="E928" s="18">
        <v>829696</v>
      </c>
      <c r="F928" s="4" t="s">
        <v>98</v>
      </c>
      <c r="G928" s="4" t="s">
        <v>99</v>
      </c>
      <c r="H928" s="4" t="s">
        <v>120</v>
      </c>
      <c r="I928" s="4" t="s">
        <v>177</v>
      </c>
    </row>
    <row r="929" spans="1:9" x14ac:dyDescent="0.25">
      <c r="A929" s="4">
        <v>25</v>
      </c>
      <c r="B929" s="4" t="s">
        <v>1265</v>
      </c>
      <c r="C929" s="18">
        <v>1781889326672270</v>
      </c>
      <c r="D929" s="4" t="s">
        <v>1226</v>
      </c>
      <c r="E929" s="18">
        <v>836676</v>
      </c>
      <c r="F929" s="4" t="s">
        <v>98</v>
      </c>
      <c r="G929" s="4" t="s">
        <v>99</v>
      </c>
      <c r="H929" s="4" t="s">
        <v>179</v>
      </c>
      <c r="I929" s="4" t="s">
        <v>180</v>
      </c>
    </row>
    <row r="930" spans="1:9" x14ac:dyDescent="0.25">
      <c r="A930" s="4">
        <v>25</v>
      </c>
      <c r="B930" s="4" t="s">
        <v>1266</v>
      </c>
      <c r="C930" s="18">
        <v>1781889326672400</v>
      </c>
      <c r="D930" s="4" t="s">
        <v>1226</v>
      </c>
      <c r="E930" s="18">
        <v>836676</v>
      </c>
      <c r="F930" s="4" t="s">
        <v>103</v>
      </c>
      <c r="G930" s="4" t="s">
        <v>89</v>
      </c>
      <c r="H930" s="4" t="s">
        <v>179</v>
      </c>
      <c r="I930" s="4"/>
    </row>
    <row r="931" spans="1:9" x14ac:dyDescent="0.25">
      <c r="B931" t="s">
        <v>1267</v>
      </c>
      <c r="C931" s="12">
        <v>1781889492116890</v>
      </c>
      <c r="D931" t="s">
        <v>1268</v>
      </c>
      <c r="E931" t="s">
        <v>87</v>
      </c>
      <c r="F931" t="s">
        <v>88</v>
      </c>
      <c r="G931" t="s">
        <v>89</v>
      </c>
      <c r="H931" t="s">
        <v>184</v>
      </c>
    </row>
    <row r="932" spans="1:9" x14ac:dyDescent="0.25">
      <c r="B932" s="10" t="s">
        <v>1269</v>
      </c>
      <c r="C932" s="12"/>
    </row>
    <row r="933" spans="1:9" x14ac:dyDescent="0.25">
      <c r="A933" s="4">
        <v>26</v>
      </c>
      <c r="B933" s="4" t="s">
        <v>1270</v>
      </c>
      <c r="C933" s="18">
        <v>1781889492117580</v>
      </c>
      <c r="D933" s="4" t="s">
        <v>1268</v>
      </c>
      <c r="E933" s="4" t="s">
        <v>108</v>
      </c>
      <c r="F933" s="4" t="s">
        <v>166</v>
      </c>
      <c r="G933" s="4" t="s">
        <v>167</v>
      </c>
      <c r="H933" s="4" t="s">
        <v>213</v>
      </c>
      <c r="I933" s="4"/>
    </row>
    <row r="934" spans="1:9" x14ac:dyDescent="0.25">
      <c r="A934" s="4">
        <v>26</v>
      </c>
      <c r="B934" s="4" t="s">
        <v>1271</v>
      </c>
      <c r="C934" s="18">
        <v>1781889496629290</v>
      </c>
      <c r="D934" s="4" t="s">
        <v>1268</v>
      </c>
      <c r="E934" s="18">
        <v>4512</v>
      </c>
      <c r="F934" s="4" t="s">
        <v>98</v>
      </c>
      <c r="G934" s="4" t="s">
        <v>99</v>
      </c>
      <c r="H934" s="4" t="s">
        <v>120</v>
      </c>
      <c r="I934" s="4" t="s">
        <v>142</v>
      </c>
    </row>
    <row r="935" spans="1:9" x14ac:dyDescent="0.25">
      <c r="A935" s="4">
        <v>26</v>
      </c>
      <c r="B935" s="4" t="s">
        <v>1272</v>
      </c>
      <c r="C935" s="18">
        <v>1781889496716790</v>
      </c>
      <c r="D935" s="4" t="s">
        <v>1268</v>
      </c>
      <c r="E935" s="18">
        <v>4600</v>
      </c>
      <c r="F935" s="4" t="s">
        <v>123</v>
      </c>
      <c r="G935" s="4" t="s">
        <v>124</v>
      </c>
      <c r="H935" s="4" t="s">
        <v>120</v>
      </c>
      <c r="I935" s="4" t="s">
        <v>144</v>
      </c>
    </row>
    <row r="936" spans="1:9" x14ac:dyDescent="0.25">
      <c r="A936" s="4">
        <v>26</v>
      </c>
      <c r="B936" s="4" t="s">
        <v>1273</v>
      </c>
      <c r="C936" s="18">
        <v>1781889506144940</v>
      </c>
      <c r="D936" s="4" t="s">
        <v>1268</v>
      </c>
      <c r="E936" s="18">
        <v>14028</v>
      </c>
      <c r="F936" s="4" t="s">
        <v>123</v>
      </c>
      <c r="G936" s="4" t="s">
        <v>124</v>
      </c>
      <c r="H936" s="4" t="s">
        <v>1274</v>
      </c>
      <c r="I936" s="4" t="s">
        <v>1275</v>
      </c>
    </row>
    <row r="937" spans="1:9" x14ac:dyDescent="0.25">
      <c r="A937" s="4">
        <v>26</v>
      </c>
      <c r="B937" s="4" t="s">
        <v>1276</v>
      </c>
      <c r="C937" s="18">
        <v>1781889506145450</v>
      </c>
      <c r="D937" s="4" t="s">
        <v>1268</v>
      </c>
      <c r="E937" s="18">
        <v>14029</v>
      </c>
      <c r="F937" s="4" t="s">
        <v>98</v>
      </c>
      <c r="G937" s="4" t="s">
        <v>99</v>
      </c>
      <c r="H937" s="4" t="s">
        <v>148</v>
      </c>
      <c r="I937" s="4" t="s">
        <v>151</v>
      </c>
    </row>
    <row r="938" spans="1:9" x14ac:dyDescent="0.25">
      <c r="A938" s="4">
        <v>26</v>
      </c>
      <c r="B938" s="4" t="s">
        <v>1277</v>
      </c>
      <c r="C938" s="18">
        <v>1781889506145780</v>
      </c>
      <c r="D938" s="4" t="s">
        <v>1268</v>
      </c>
      <c r="E938" s="18">
        <v>14029</v>
      </c>
      <c r="F938" s="4" t="s">
        <v>123</v>
      </c>
      <c r="G938" s="4" t="s">
        <v>124</v>
      </c>
      <c r="H938" s="4" t="s">
        <v>148</v>
      </c>
      <c r="I938" s="4" t="s">
        <v>149</v>
      </c>
    </row>
    <row r="939" spans="1:9" x14ac:dyDescent="0.25">
      <c r="A939" s="4">
        <v>26</v>
      </c>
      <c r="B939" s="4" t="s">
        <v>1278</v>
      </c>
      <c r="C939" s="18">
        <v>1781889523918880</v>
      </c>
      <c r="D939" s="4" t="s">
        <v>1268</v>
      </c>
      <c r="E939" s="18">
        <v>31802</v>
      </c>
      <c r="F939" s="4" t="s">
        <v>98</v>
      </c>
      <c r="G939" s="4" t="s">
        <v>99</v>
      </c>
      <c r="H939" s="4" t="s">
        <v>120</v>
      </c>
      <c r="I939" s="4" t="s">
        <v>155</v>
      </c>
    </row>
    <row r="940" spans="1:9" x14ac:dyDescent="0.25">
      <c r="A940" s="4">
        <v>26</v>
      </c>
      <c r="B940" s="4" t="s">
        <v>1279</v>
      </c>
      <c r="C940" s="18">
        <v>1781889523934630</v>
      </c>
      <c r="D940" s="4" t="s">
        <v>1268</v>
      </c>
      <c r="E940" s="18">
        <v>31818</v>
      </c>
      <c r="F940" s="4" t="s">
        <v>123</v>
      </c>
      <c r="G940" s="4" t="s">
        <v>124</v>
      </c>
      <c r="H940" s="4" t="s">
        <v>120</v>
      </c>
      <c r="I940" s="4" t="s">
        <v>157</v>
      </c>
    </row>
    <row r="941" spans="1:9" x14ac:dyDescent="0.25">
      <c r="A941" s="4">
        <v>26</v>
      </c>
      <c r="B941" s="4" t="s">
        <v>1280</v>
      </c>
      <c r="C941" s="18">
        <v>1781889525489930</v>
      </c>
      <c r="D941" s="4" t="s">
        <v>1268</v>
      </c>
      <c r="E941" s="18">
        <v>33373</v>
      </c>
      <c r="F941" s="4" t="s">
        <v>123</v>
      </c>
      <c r="G941" s="4" t="s">
        <v>124</v>
      </c>
      <c r="H941" s="4" t="s">
        <v>120</v>
      </c>
      <c r="I941" s="4" t="s">
        <v>159</v>
      </c>
    </row>
    <row r="942" spans="1:9" x14ac:dyDescent="0.25">
      <c r="A942" s="4">
        <v>26</v>
      </c>
      <c r="B942" s="4" t="s">
        <v>1281</v>
      </c>
      <c r="C942" s="18">
        <v>1781889526187650</v>
      </c>
      <c r="D942" s="4" t="s">
        <v>1268</v>
      </c>
      <c r="E942" s="18">
        <v>34071</v>
      </c>
      <c r="F942" s="4" t="s">
        <v>123</v>
      </c>
      <c r="G942" s="4" t="s">
        <v>124</v>
      </c>
      <c r="H942" s="4" t="s">
        <v>161</v>
      </c>
      <c r="I942" s="4" t="s">
        <v>1282</v>
      </c>
    </row>
    <row r="943" spans="1:9" x14ac:dyDescent="0.25">
      <c r="A943" s="4">
        <v>26</v>
      </c>
      <c r="B943" s="4" t="s">
        <v>1283</v>
      </c>
      <c r="C943" s="18">
        <v>1781889526188230</v>
      </c>
      <c r="D943" s="4" t="s">
        <v>1268</v>
      </c>
      <c r="E943" s="18">
        <v>34071</v>
      </c>
      <c r="F943" s="4" t="s">
        <v>98</v>
      </c>
      <c r="G943" s="4" t="s">
        <v>99</v>
      </c>
      <c r="H943" s="4" t="s">
        <v>161</v>
      </c>
      <c r="I943" s="4" t="s">
        <v>1284</v>
      </c>
    </row>
    <row r="944" spans="1:9" x14ac:dyDescent="0.25">
      <c r="A944" s="4">
        <v>26</v>
      </c>
      <c r="B944" s="4" t="s">
        <v>1285</v>
      </c>
      <c r="C944" s="18">
        <v>1781889561134730</v>
      </c>
      <c r="D944" s="4" t="s">
        <v>1268</v>
      </c>
      <c r="E944" s="18">
        <v>69018</v>
      </c>
      <c r="F944" s="4" t="s">
        <v>166</v>
      </c>
      <c r="G944" s="4" t="s">
        <v>167</v>
      </c>
      <c r="H944" s="4" t="s">
        <v>1107</v>
      </c>
      <c r="I944" s="4"/>
    </row>
    <row r="945" spans="1:9" x14ac:dyDescent="0.25">
      <c r="A945" s="4">
        <v>26</v>
      </c>
      <c r="B945" s="4" t="s">
        <v>1286</v>
      </c>
      <c r="C945" s="18">
        <v>1781889590985890</v>
      </c>
      <c r="D945" s="4" t="s">
        <v>1268</v>
      </c>
      <c r="E945" s="18">
        <v>98869</v>
      </c>
      <c r="F945" s="4" t="s">
        <v>166</v>
      </c>
      <c r="G945" s="4" t="s">
        <v>167</v>
      </c>
      <c r="H945" s="4" t="s">
        <v>168</v>
      </c>
      <c r="I945" s="4"/>
    </row>
    <row r="946" spans="1:9" x14ac:dyDescent="0.25">
      <c r="A946" s="4">
        <v>26</v>
      </c>
      <c r="B946" s="4" t="s">
        <v>1287</v>
      </c>
      <c r="C946" s="18">
        <v>1781889595584920</v>
      </c>
      <c r="D946" s="4" t="s">
        <v>1268</v>
      </c>
      <c r="E946" s="18">
        <v>103468</v>
      </c>
      <c r="F946" s="4" t="s">
        <v>98</v>
      </c>
      <c r="G946" s="4" t="s">
        <v>99</v>
      </c>
      <c r="H946" s="4" t="s">
        <v>172</v>
      </c>
      <c r="I946" s="4" t="s">
        <v>173</v>
      </c>
    </row>
    <row r="947" spans="1:9" x14ac:dyDescent="0.25">
      <c r="A947" s="4">
        <v>26</v>
      </c>
      <c r="B947" s="4" t="s">
        <v>1288</v>
      </c>
      <c r="C947" s="18">
        <v>1781889595794350</v>
      </c>
      <c r="D947" s="4" t="s">
        <v>1268</v>
      </c>
      <c r="E947" s="18">
        <v>103678</v>
      </c>
      <c r="F947" s="4" t="s">
        <v>93</v>
      </c>
      <c r="G947" s="4" t="s">
        <v>94</v>
      </c>
      <c r="H947" s="4" t="s">
        <v>170</v>
      </c>
      <c r="I947" s="4" t="s">
        <v>170</v>
      </c>
    </row>
    <row r="948" spans="1:9" x14ac:dyDescent="0.25">
      <c r="A948" s="4">
        <v>26</v>
      </c>
      <c r="B948" s="4" t="s">
        <v>1289</v>
      </c>
      <c r="C948" s="18">
        <v>1781889615607240</v>
      </c>
      <c r="D948" s="4" t="s">
        <v>1268</v>
      </c>
      <c r="E948" s="18">
        <v>123490</v>
      </c>
      <c r="F948" s="4" t="s">
        <v>98</v>
      </c>
      <c r="G948" s="4" t="s">
        <v>99</v>
      </c>
      <c r="H948" s="4" t="s">
        <v>120</v>
      </c>
      <c r="I948" s="4" t="s">
        <v>177</v>
      </c>
    </row>
    <row r="949" spans="1:9" x14ac:dyDescent="0.25">
      <c r="A949" s="4">
        <v>26</v>
      </c>
      <c r="B949" s="4" t="s">
        <v>1290</v>
      </c>
      <c r="C949" s="18">
        <v>1781889615607740</v>
      </c>
      <c r="D949" s="4" t="s">
        <v>1268</v>
      </c>
      <c r="E949" s="18">
        <v>123491</v>
      </c>
      <c r="F949" s="4" t="s">
        <v>93</v>
      </c>
      <c r="G949" s="4" t="s">
        <v>94</v>
      </c>
      <c r="H949" s="4" t="s">
        <v>175</v>
      </c>
      <c r="I949" s="4" t="s">
        <v>175</v>
      </c>
    </row>
    <row r="950" spans="1:9" x14ac:dyDescent="0.25">
      <c r="A950" s="4">
        <v>26</v>
      </c>
      <c r="B950" s="4" t="s">
        <v>1291</v>
      </c>
      <c r="C950" s="18">
        <v>1781889622567720</v>
      </c>
      <c r="D950" s="4" t="s">
        <v>1268</v>
      </c>
      <c r="E950" s="18">
        <v>130451</v>
      </c>
      <c r="F950" s="4" t="s">
        <v>98</v>
      </c>
      <c r="G950" s="4" t="s">
        <v>99</v>
      </c>
      <c r="H950" s="4" t="s">
        <v>179</v>
      </c>
      <c r="I950" s="4" t="s">
        <v>180</v>
      </c>
    </row>
    <row r="951" spans="1:9" x14ac:dyDescent="0.25">
      <c r="A951" s="4">
        <v>26</v>
      </c>
      <c r="B951" s="4" t="s">
        <v>1292</v>
      </c>
      <c r="C951" s="18">
        <v>1781889622567860</v>
      </c>
      <c r="D951" s="4" t="s">
        <v>1268</v>
      </c>
      <c r="E951" s="18">
        <v>130451</v>
      </c>
      <c r="F951" s="4" t="s">
        <v>103</v>
      </c>
      <c r="G951" s="4" t="s">
        <v>89</v>
      </c>
      <c r="H951" s="4" t="s">
        <v>179</v>
      </c>
      <c r="I951" s="4"/>
    </row>
    <row r="952" spans="1:9" x14ac:dyDescent="0.25">
      <c r="B952" t="s">
        <v>1293</v>
      </c>
      <c r="C952" s="12">
        <v>1781889768491460</v>
      </c>
      <c r="D952" t="s">
        <v>1294</v>
      </c>
      <c r="E952" t="s">
        <v>87</v>
      </c>
      <c r="F952" t="s">
        <v>88</v>
      </c>
      <c r="G952" t="s">
        <v>89</v>
      </c>
      <c r="H952" t="s">
        <v>184</v>
      </c>
    </row>
    <row r="953" spans="1:9" x14ac:dyDescent="0.25">
      <c r="B953" t="s">
        <v>1295</v>
      </c>
      <c r="C953" s="12">
        <v>1781889768491980</v>
      </c>
      <c r="D953" t="s">
        <v>1294</v>
      </c>
      <c r="E953" t="s">
        <v>108</v>
      </c>
      <c r="F953" t="s">
        <v>166</v>
      </c>
      <c r="G953" t="s">
        <v>167</v>
      </c>
      <c r="H953" t="s">
        <v>711</v>
      </c>
    </row>
    <row r="954" spans="1:9" x14ac:dyDescent="0.25">
      <c r="A954" s="4">
        <v>27</v>
      </c>
      <c r="B954" s="4" t="s">
        <v>1296</v>
      </c>
      <c r="C954" s="18">
        <v>1781889788225960</v>
      </c>
      <c r="D954" s="4" t="s">
        <v>1294</v>
      </c>
      <c r="E954" s="18">
        <v>19735</v>
      </c>
      <c r="F954" s="4" t="s">
        <v>98</v>
      </c>
      <c r="G954" s="4" t="s">
        <v>99</v>
      </c>
      <c r="H954" s="4" t="s">
        <v>100</v>
      </c>
      <c r="I954" s="4" t="s">
        <v>101</v>
      </c>
    </row>
    <row r="955" spans="1:9" x14ac:dyDescent="0.25">
      <c r="A955" s="4">
        <v>27</v>
      </c>
      <c r="B955" s="4" t="s">
        <v>1297</v>
      </c>
      <c r="C955" s="18">
        <v>1781889842985100</v>
      </c>
      <c r="D955" s="4" t="s">
        <v>1294</v>
      </c>
      <c r="E955" s="18">
        <v>74494</v>
      </c>
      <c r="F955" s="4" t="s">
        <v>166</v>
      </c>
      <c r="G955" s="4" t="s">
        <v>167</v>
      </c>
      <c r="H955" s="4" t="s">
        <v>711</v>
      </c>
      <c r="I955" s="4"/>
    </row>
    <row r="956" spans="1:9" x14ac:dyDescent="0.25">
      <c r="A956" s="4">
        <v>27</v>
      </c>
      <c r="B956" s="4" t="s">
        <v>1298</v>
      </c>
      <c r="C956" s="18">
        <v>1781889867358010</v>
      </c>
      <c r="D956" s="4" t="s">
        <v>1294</v>
      </c>
      <c r="E956" s="18">
        <v>98867</v>
      </c>
      <c r="F956" s="4" t="s">
        <v>103</v>
      </c>
      <c r="G956" s="4" t="s">
        <v>89</v>
      </c>
      <c r="H956" s="4" t="s">
        <v>104</v>
      </c>
      <c r="I956" s="4"/>
    </row>
    <row r="957" spans="1:9" x14ac:dyDescent="0.25">
      <c r="A957" s="4">
        <v>27</v>
      </c>
      <c r="B957" s="4" t="s">
        <v>1299</v>
      </c>
      <c r="C957" s="18">
        <v>1781889867358790</v>
      </c>
      <c r="D957" s="4" t="s">
        <v>1300</v>
      </c>
      <c r="E957" s="4" t="s">
        <v>87</v>
      </c>
      <c r="F957" s="4" t="s">
        <v>88</v>
      </c>
      <c r="G957" s="4" t="s">
        <v>89</v>
      </c>
      <c r="H957" s="4" t="s">
        <v>90</v>
      </c>
      <c r="I957" s="4"/>
    </row>
    <row r="958" spans="1:9" x14ac:dyDescent="0.25">
      <c r="A958" s="4">
        <v>27</v>
      </c>
      <c r="B958" s="4" t="s">
        <v>1301</v>
      </c>
      <c r="C958" s="18">
        <v>1781889867359290</v>
      </c>
      <c r="D958" s="4" t="s">
        <v>1300</v>
      </c>
      <c r="E958" s="4" t="s">
        <v>108</v>
      </c>
      <c r="F958" s="4" t="s">
        <v>93</v>
      </c>
      <c r="G958" s="4" t="s">
        <v>94</v>
      </c>
      <c r="H958" s="4" t="s">
        <v>95</v>
      </c>
      <c r="I958" s="4" t="s">
        <v>95</v>
      </c>
    </row>
    <row r="959" spans="1:9" x14ac:dyDescent="0.25">
      <c r="A959" s="4">
        <v>27</v>
      </c>
      <c r="B959" s="4" t="s">
        <v>1302</v>
      </c>
      <c r="C959" s="18">
        <v>1781889867440430</v>
      </c>
      <c r="D959" s="4" t="s">
        <v>1300</v>
      </c>
      <c r="E959" s="4" t="s">
        <v>1303</v>
      </c>
      <c r="F959" s="4" t="s">
        <v>98</v>
      </c>
      <c r="G959" s="4" t="s">
        <v>99</v>
      </c>
      <c r="H959" s="4" t="s">
        <v>100</v>
      </c>
      <c r="I959" s="4" t="s">
        <v>101</v>
      </c>
    </row>
    <row r="960" spans="1:9" x14ac:dyDescent="0.25">
      <c r="A960" s="4">
        <v>27</v>
      </c>
      <c r="B960" s="4" t="s">
        <v>1304</v>
      </c>
      <c r="C960" s="18">
        <v>1781889886576530</v>
      </c>
      <c r="D960" s="4" t="s">
        <v>1300</v>
      </c>
      <c r="E960" s="18">
        <v>19218</v>
      </c>
      <c r="F960" s="4" t="s">
        <v>123</v>
      </c>
      <c r="G960" s="4" t="s">
        <v>124</v>
      </c>
      <c r="H960" s="4" t="s">
        <v>120</v>
      </c>
      <c r="I960" s="4" t="s">
        <v>125</v>
      </c>
    </row>
    <row r="961" spans="1:9" x14ac:dyDescent="0.25">
      <c r="A961" s="4">
        <v>27</v>
      </c>
      <c r="B961" s="4" t="s">
        <v>1305</v>
      </c>
      <c r="C961" s="18">
        <v>1781889886576910</v>
      </c>
      <c r="D961" s="4" t="s">
        <v>1300</v>
      </c>
      <c r="E961" s="18">
        <v>19218</v>
      </c>
      <c r="F961" s="4" t="s">
        <v>98</v>
      </c>
      <c r="G961" s="4" t="s">
        <v>99</v>
      </c>
      <c r="H961" s="4" t="s">
        <v>120</v>
      </c>
      <c r="I961" s="4" t="s">
        <v>121</v>
      </c>
    </row>
    <row r="962" spans="1:9" x14ac:dyDescent="0.25">
      <c r="A962" s="4">
        <v>27</v>
      </c>
      <c r="B962" s="4" t="s">
        <v>1306</v>
      </c>
      <c r="C962" s="18">
        <v>1781889897914110</v>
      </c>
      <c r="D962" s="4" t="s">
        <v>1300</v>
      </c>
      <c r="E962" s="18">
        <v>30555</v>
      </c>
      <c r="F962" s="4" t="s">
        <v>123</v>
      </c>
      <c r="G962" s="4" t="s">
        <v>124</v>
      </c>
      <c r="H962" s="4" t="s">
        <v>127</v>
      </c>
      <c r="I962" s="4" t="s">
        <v>1307</v>
      </c>
    </row>
    <row r="963" spans="1:9" x14ac:dyDescent="0.25">
      <c r="A963" s="4">
        <v>27</v>
      </c>
      <c r="B963" s="4" t="s">
        <v>1308</v>
      </c>
      <c r="C963" s="18">
        <v>1781889897914470</v>
      </c>
      <c r="D963" s="4" t="s">
        <v>1300</v>
      </c>
      <c r="E963" s="18">
        <v>30556</v>
      </c>
      <c r="F963" s="4" t="s">
        <v>98</v>
      </c>
      <c r="G963" s="4" t="s">
        <v>99</v>
      </c>
      <c r="H963" s="4" t="s">
        <v>127</v>
      </c>
      <c r="I963" s="4" t="s">
        <v>1309</v>
      </c>
    </row>
    <row r="964" spans="1:9" x14ac:dyDescent="0.25">
      <c r="A964" s="4">
        <v>27</v>
      </c>
      <c r="B964" s="4" t="s">
        <v>1310</v>
      </c>
      <c r="C964" s="18">
        <v>1781889899870650</v>
      </c>
      <c r="D964" s="4" t="s">
        <v>1300</v>
      </c>
      <c r="E964" s="18">
        <v>32512</v>
      </c>
      <c r="F964" s="4" t="s">
        <v>132</v>
      </c>
      <c r="G964" s="4" t="s">
        <v>133</v>
      </c>
      <c r="H964" s="4" t="s">
        <v>134</v>
      </c>
      <c r="I964" s="4" t="s">
        <v>135</v>
      </c>
    </row>
    <row r="965" spans="1:9" x14ac:dyDescent="0.25">
      <c r="A965" s="4">
        <v>27</v>
      </c>
      <c r="B965" s="4" t="s">
        <v>1311</v>
      </c>
      <c r="C965" s="18">
        <v>1781889901979390</v>
      </c>
      <c r="D965" s="4" t="s">
        <v>1300</v>
      </c>
      <c r="E965" s="18">
        <v>34621</v>
      </c>
      <c r="F965" s="4" t="s">
        <v>98</v>
      </c>
      <c r="G965" s="4" t="s">
        <v>99</v>
      </c>
      <c r="H965" s="4" t="s">
        <v>137</v>
      </c>
      <c r="I965" s="4" t="s">
        <v>138</v>
      </c>
    </row>
    <row r="966" spans="1:9" x14ac:dyDescent="0.25">
      <c r="A966" s="4">
        <v>27</v>
      </c>
      <c r="B966" s="4" t="s">
        <v>1312</v>
      </c>
      <c r="C966" s="18">
        <v>1781889912462940</v>
      </c>
      <c r="D966" s="4" t="s">
        <v>1300</v>
      </c>
      <c r="E966" s="18">
        <v>45104</v>
      </c>
      <c r="F966" s="4" t="s">
        <v>166</v>
      </c>
      <c r="G966" s="4" t="s">
        <v>167</v>
      </c>
      <c r="H966" s="4" t="s">
        <v>213</v>
      </c>
      <c r="I966" s="4"/>
    </row>
    <row r="967" spans="1:9" x14ac:dyDescent="0.25">
      <c r="A967" s="4">
        <v>27</v>
      </c>
      <c r="B967" s="4" t="s">
        <v>1313</v>
      </c>
      <c r="C967" s="18">
        <v>1781889916909000</v>
      </c>
      <c r="D967" s="4" t="s">
        <v>1300</v>
      </c>
      <c r="E967" s="18">
        <v>49550</v>
      </c>
      <c r="F967" s="4" t="s">
        <v>98</v>
      </c>
      <c r="G967" s="4" t="s">
        <v>99</v>
      </c>
      <c r="H967" s="4" t="s">
        <v>120</v>
      </c>
      <c r="I967" s="4" t="s">
        <v>142</v>
      </c>
    </row>
    <row r="968" spans="1:9" x14ac:dyDescent="0.25">
      <c r="A968" s="4">
        <v>27</v>
      </c>
      <c r="B968" s="4" t="s">
        <v>1314</v>
      </c>
      <c r="C968" s="18">
        <v>1781889916909730</v>
      </c>
      <c r="D968" s="4" t="s">
        <v>1300</v>
      </c>
      <c r="E968" s="18">
        <v>49551</v>
      </c>
      <c r="F968" s="4" t="s">
        <v>123</v>
      </c>
      <c r="G968" s="4" t="s">
        <v>124</v>
      </c>
      <c r="H968" s="4" t="s">
        <v>120</v>
      </c>
      <c r="I968" s="4" t="s">
        <v>144</v>
      </c>
    </row>
    <row r="969" spans="1:9" x14ac:dyDescent="0.25">
      <c r="A969" s="4">
        <v>27</v>
      </c>
      <c r="B969" s="4" t="s">
        <v>1315</v>
      </c>
      <c r="C969" s="18">
        <v>1781889926464860</v>
      </c>
      <c r="D969" s="4" t="s">
        <v>1300</v>
      </c>
      <c r="E969" s="18">
        <v>59106</v>
      </c>
      <c r="F969" s="4" t="s">
        <v>123</v>
      </c>
      <c r="G969" s="4" t="s">
        <v>124</v>
      </c>
      <c r="H969" s="4" t="s">
        <v>148</v>
      </c>
      <c r="I969" s="4" t="s">
        <v>149</v>
      </c>
    </row>
    <row r="970" spans="1:9" x14ac:dyDescent="0.25">
      <c r="A970" s="4">
        <v>27</v>
      </c>
      <c r="B970" s="4" t="s">
        <v>1316</v>
      </c>
      <c r="C970" s="18">
        <v>1781889926466980</v>
      </c>
      <c r="D970" s="4" t="s">
        <v>1300</v>
      </c>
      <c r="E970" s="18">
        <v>59108</v>
      </c>
      <c r="F970" s="4" t="s">
        <v>98</v>
      </c>
      <c r="G970" s="4" t="s">
        <v>99</v>
      </c>
      <c r="H970" s="4" t="s">
        <v>148</v>
      </c>
      <c r="I970" s="4" t="s">
        <v>151</v>
      </c>
    </row>
    <row r="971" spans="1:9" x14ac:dyDescent="0.25">
      <c r="A971" s="4">
        <v>27</v>
      </c>
      <c r="B971" s="4" t="s">
        <v>1317</v>
      </c>
      <c r="C971" s="18">
        <v>1781889930781780</v>
      </c>
      <c r="D971" s="4" t="s">
        <v>1300</v>
      </c>
      <c r="E971" s="18">
        <v>63423</v>
      </c>
      <c r="F971" s="4" t="s">
        <v>98</v>
      </c>
      <c r="G971" s="4" t="s">
        <v>99</v>
      </c>
      <c r="H971" s="4" t="s">
        <v>120</v>
      </c>
      <c r="I971" s="4" t="s">
        <v>155</v>
      </c>
    </row>
    <row r="972" spans="1:9" x14ac:dyDescent="0.25">
      <c r="A972" s="4">
        <v>27</v>
      </c>
      <c r="B972" s="4" t="s">
        <v>1318</v>
      </c>
      <c r="C972" s="18">
        <v>1781889930782520</v>
      </c>
      <c r="D972" s="4" t="s">
        <v>1300</v>
      </c>
      <c r="E972" s="18">
        <v>63424</v>
      </c>
      <c r="F972" s="4" t="s">
        <v>123</v>
      </c>
      <c r="G972" s="4" t="s">
        <v>124</v>
      </c>
      <c r="H972" s="4" t="s">
        <v>120</v>
      </c>
      <c r="I972" s="4" t="s">
        <v>157</v>
      </c>
    </row>
    <row r="973" spans="1:9" x14ac:dyDescent="0.25">
      <c r="A973" s="4">
        <v>27</v>
      </c>
      <c r="B973" s="4" t="s">
        <v>1319</v>
      </c>
      <c r="C973" s="18">
        <v>1781889932263230</v>
      </c>
      <c r="D973" s="4" t="s">
        <v>1300</v>
      </c>
      <c r="E973" s="18">
        <v>64905</v>
      </c>
      <c r="F973" s="4" t="s">
        <v>123</v>
      </c>
      <c r="G973" s="4" t="s">
        <v>124</v>
      </c>
      <c r="H973" s="4" t="s">
        <v>120</v>
      </c>
      <c r="I973" s="4" t="s">
        <v>159</v>
      </c>
    </row>
    <row r="974" spans="1:9" x14ac:dyDescent="0.25">
      <c r="A974" s="4">
        <v>27</v>
      </c>
      <c r="B974" s="4" t="s">
        <v>1320</v>
      </c>
      <c r="C974" s="18">
        <v>1781889933260680</v>
      </c>
      <c r="D974" s="4" t="s">
        <v>1300</v>
      </c>
      <c r="E974" s="18">
        <v>65902</v>
      </c>
      <c r="F974" s="4" t="s">
        <v>166</v>
      </c>
      <c r="G974" s="4" t="s">
        <v>167</v>
      </c>
      <c r="H974" s="4" t="s">
        <v>1107</v>
      </c>
      <c r="I974" s="4"/>
    </row>
    <row r="975" spans="1:9" x14ac:dyDescent="0.25">
      <c r="A975" s="4">
        <v>27</v>
      </c>
      <c r="B975" s="4" t="s">
        <v>1321</v>
      </c>
      <c r="C975" s="18">
        <v>1781889939659900</v>
      </c>
      <c r="D975" s="4" t="s">
        <v>1300</v>
      </c>
      <c r="E975" s="18">
        <v>72301</v>
      </c>
      <c r="F975" s="4" t="s">
        <v>123</v>
      </c>
      <c r="G975" s="4" t="s">
        <v>124</v>
      </c>
      <c r="H975" s="4" t="s">
        <v>161</v>
      </c>
      <c r="I975" s="4" t="s">
        <v>1322</v>
      </c>
    </row>
    <row r="976" spans="1:9" x14ac:dyDescent="0.25">
      <c r="A976" s="4">
        <v>27</v>
      </c>
      <c r="B976" s="4" t="s">
        <v>1323</v>
      </c>
      <c r="C976" s="18">
        <v>1781889939750550</v>
      </c>
      <c r="D976" s="4" t="s">
        <v>1300</v>
      </c>
      <c r="E976" s="18">
        <v>72392</v>
      </c>
      <c r="F976" s="4" t="s">
        <v>98</v>
      </c>
      <c r="G976" s="4" t="s">
        <v>99</v>
      </c>
      <c r="H976" s="4" t="s">
        <v>161</v>
      </c>
      <c r="I976" s="4" t="s">
        <v>1324</v>
      </c>
    </row>
    <row r="977" spans="1:9" x14ac:dyDescent="0.25">
      <c r="A977" s="4">
        <v>27</v>
      </c>
      <c r="B977" s="4" t="s">
        <v>1325</v>
      </c>
      <c r="C977" s="18">
        <v>1781889964107790</v>
      </c>
      <c r="D977" s="4" t="s">
        <v>1300</v>
      </c>
      <c r="E977" s="18">
        <v>96749</v>
      </c>
      <c r="F977" s="4" t="s">
        <v>166</v>
      </c>
      <c r="G977" s="4" t="s">
        <v>167</v>
      </c>
      <c r="H977" s="4" t="s">
        <v>168</v>
      </c>
      <c r="I977" s="4"/>
    </row>
    <row r="978" spans="1:9" x14ac:dyDescent="0.25">
      <c r="A978" s="4">
        <v>27</v>
      </c>
      <c r="B978" s="4" t="s">
        <v>1326</v>
      </c>
      <c r="C978" s="18">
        <v>1781889975447400</v>
      </c>
      <c r="D978" s="4" t="s">
        <v>1300</v>
      </c>
      <c r="E978" s="18">
        <v>108089</v>
      </c>
      <c r="F978" s="4" t="s">
        <v>93</v>
      </c>
      <c r="G978" s="4" t="s">
        <v>94</v>
      </c>
      <c r="H978" s="4" t="s">
        <v>170</v>
      </c>
      <c r="I978" s="4" t="s">
        <v>170</v>
      </c>
    </row>
    <row r="979" spans="1:9" x14ac:dyDescent="0.25">
      <c r="A979" s="4">
        <v>27</v>
      </c>
      <c r="B979" s="4" t="s">
        <v>1327</v>
      </c>
      <c r="C979" s="18">
        <v>1781889975538010</v>
      </c>
      <c r="D979" s="4" t="s">
        <v>1300</v>
      </c>
      <c r="E979" s="18">
        <v>108179</v>
      </c>
      <c r="F979" s="4" t="s">
        <v>98</v>
      </c>
      <c r="G979" s="4" t="s">
        <v>99</v>
      </c>
      <c r="H979" s="4" t="s">
        <v>172</v>
      </c>
      <c r="I979" s="4" t="s">
        <v>173</v>
      </c>
    </row>
    <row r="980" spans="1:9" x14ac:dyDescent="0.25">
      <c r="A980" s="4">
        <v>27</v>
      </c>
      <c r="B980" s="4" t="s">
        <v>1328</v>
      </c>
      <c r="C980" s="18">
        <v>1781889997368990</v>
      </c>
      <c r="D980" s="4" t="s">
        <v>1300</v>
      </c>
      <c r="E980" s="18">
        <v>130010</v>
      </c>
      <c r="F980" s="4" t="s">
        <v>98</v>
      </c>
      <c r="G980" s="4" t="s">
        <v>99</v>
      </c>
      <c r="H980" s="4" t="s">
        <v>120</v>
      </c>
      <c r="I980" s="4" t="s">
        <v>177</v>
      </c>
    </row>
    <row r="981" spans="1:9" x14ac:dyDescent="0.25">
      <c r="A981" s="4">
        <v>27</v>
      </c>
      <c r="B981" s="4" t="s">
        <v>1329</v>
      </c>
      <c r="C981" s="18">
        <v>1781890004362930</v>
      </c>
      <c r="D981" s="4" t="s">
        <v>1300</v>
      </c>
      <c r="E981" s="18">
        <v>137004</v>
      </c>
      <c r="F981" s="4" t="s">
        <v>98</v>
      </c>
      <c r="G981" s="4" t="s">
        <v>99</v>
      </c>
      <c r="H981" s="4" t="s">
        <v>179</v>
      </c>
      <c r="I981" s="4" t="s">
        <v>180</v>
      </c>
    </row>
    <row r="982" spans="1:9" x14ac:dyDescent="0.25">
      <c r="A982" s="4">
        <v>27</v>
      </c>
      <c r="B982" s="4" t="s">
        <v>1330</v>
      </c>
      <c r="C982" s="18">
        <v>1781890004363050</v>
      </c>
      <c r="D982" s="4" t="s">
        <v>1300</v>
      </c>
      <c r="E982" s="18">
        <v>137004</v>
      </c>
      <c r="F982" s="4" t="s">
        <v>103</v>
      </c>
      <c r="G982" s="4" t="s">
        <v>89</v>
      </c>
      <c r="H982" s="4" t="s">
        <v>179</v>
      </c>
      <c r="I982" s="4"/>
    </row>
    <row r="983" spans="1:9" x14ac:dyDescent="0.25">
      <c r="B983" s="10" t="s">
        <v>1269</v>
      </c>
      <c r="C983" s="12"/>
    </row>
    <row r="984" spans="1:9" x14ac:dyDescent="0.25">
      <c r="A984" s="7">
        <v>28</v>
      </c>
      <c r="B984" s="7" t="s">
        <v>1331</v>
      </c>
      <c r="C984" s="8">
        <v>1781890176776110</v>
      </c>
      <c r="D984" s="7" t="s">
        <v>1332</v>
      </c>
      <c r="E984" s="7" t="s">
        <v>87</v>
      </c>
      <c r="F984" s="7" t="s">
        <v>88</v>
      </c>
      <c r="G984" s="7" t="s">
        <v>89</v>
      </c>
      <c r="H984" s="7" t="s">
        <v>184</v>
      </c>
      <c r="I984" s="7"/>
    </row>
    <row r="985" spans="1:9" x14ac:dyDescent="0.25">
      <c r="A985" s="7">
        <v>28</v>
      </c>
      <c r="B985" s="7" t="s">
        <v>1333</v>
      </c>
      <c r="C985" s="8">
        <v>1781890176776740</v>
      </c>
      <c r="D985" s="7" t="s">
        <v>1332</v>
      </c>
      <c r="E985" s="7" t="s">
        <v>108</v>
      </c>
      <c r="F985" s="7" t="s">
        <v>166</v>
      </c>
      <c r="G985" s="7" t="s">
        <v>167</v>
      </c>
      <c r="H985" s="7" t="s">
        <v>213</v>
      </c>
      <c r="I985" s="7"/>
    </row>
    <row r="986" spans="1:9" x14ac:dyDescent="0.25">
      <c r="A986" s="7">
        <v>28</v>
      </c>
      <c r="B986" s="7" t="s">
        <v>1334</v>
      </c>
      <c r="C986" s="8">
        <v>1781890179053910</v>
      </c>
      <c r="D986" s="7" t="s">
        <v>1332</v>
      </c>
      <c r="E986" s="8">
        <v>2278</v>
      </c>
      <c r="F986" s="7" t="s">
        <v>98</v>
      </c>
      <c r="G986" s="7" t="s">
        <v>99</v>
      </c>
      <c r="H986" s="7" t="s">
        <v>120</v>
      </c>
      <c r="I986" s="7" t="s">
        <v>142</v>
      </c>
    </row>
    <row r="987" spans="1:9" x14ac:dyDescent="0.25">
      <c r="A987" s="7">
        <v>28</v>
      </c>
      <c r="B987" s="7" t="s">
        <v>1335</v>
      </c>
      <c r="C987" s="8">
        <v>1781890179054450</v>
      </c>
      <c r="D987" s="7" t="s">
        <v>1332</v>
      </c>
      <c r="E987" s="8">
        <v>2278</v>
      </c>
      <c r="F987" s="7" t="s">
        <v>123</v>
      </c>
      <c r="G987" s="7" t="s">
        <v>124</v>
      </c>
      <c r="H987" s="7" t="s">
        <v>120</v>
      </c>
      <c r="I987" s="7" t="s">
        <v>144</v>
      </c>
    </row>
    <row r="988" spans="1:9" x14ac:dyDescent="0.25">
      <c r="A988" s="7">
        <v>28</v>
      </c>
      <c r="B988" s="7" t="s">
        <v>1336</v>
      </c>
      <c r="C988" s="8">
        <v>1781890188451140</v>
      </c>
      <c r="D988" s="7" t="s">
        <v>1332</v>
      </c>
      <c r="E988" s="8">
        <v>11675</v>
      </c>
      <c r="F988" s="7" t="s">
        <v>123</v>
      </c>
      <c r="G988" s="7" t="s">
        <v>124</v>
      </c>
      <c r="H988" s="7" t="s">
        <v>148</v>
      </c>
      <c r="I988" s="7" t="s">
        <v>149</v>
      </c>
    </row>
    <row r="989" spans="1:9" x14ac:dyDescent="0.25">
      <c r="A989" s="7">
        <v>28</v>
      </c>
      <c r="B989" s="7" t="s">
        <v>1337</v>
      </c>
      <c r="C989" s="8">
        <v>1781890188453440</v>
      </c>
      <c r="D989" s="7" t="s">
        <v>1332</v>
      </c>
      <c r="E989" s="8">
        <v>11677</v>
      </c>
      <c r="F989" s="7" t="s">
        <v>98</v>
      </c>
      <c r="G989" s="7" t="s">
        <v>99</v>
      </c>
      <c r="H989" s="7" t="s">
        <v>148</v>
      </c>
      <c r="I989" s="7" t="s">
        <v>151</v>
      </c>
    </row>
    <row r="990" spans="1:9" x14ac:dyDescent="0.25">
      <c r="A990" s="7">
        <v>28</v>
      </c>
      <c r="B990" s="7" t="s">
        <v>1338</v>
      </c>
      <c r="C990" s="8">
        <v>1781890193632420</v>
      </c>
      <c r="D990" s="7" t="s">
        <v>1332</v>
      </c>
      <c r="E990" s="8">
        <v>16856</v>
      </c>
      <c r="F990" s="7" t="s">
        <v>98</v>
      </c>
      <c r="G990" s="7" t="s">
        <v>99</v>
      </c>
      <c r="H990" s="7" t="s">
        <v>120</v>
      </c>
      <c r="I990" s="7" t="s">
        <v>155</v>
      </c>
    </row>
    <row r="991" spans="1:9" x14ac:dyDescent="0.25">
      <c r="A991" s="7">
        <v>28</v>
      </c>
      <c r="B991" s="7" t="s">
        <v>1339</v>
      </c>
      <c r="C991" s="8">
        <v>1781890193632620</v>
      </c>
      <c r="D991" s="7" t="s">
        <v>1332</v>
      </c>
      <c r="E991" s="8">
        <v>16857</v>
      </c>
      <c r="F991" s="7" t="s">
        <v>123</v>
      </c>
      <c r="G991" s="7" t="s">
        <v>124</v>
      </c>
      <c r="H991" s="7" t="s">
        <v>120</v>
      </c>
      <c r="I991" s="7" t="s">
        <v>157</v>
      </c>
    </row>
    <row r="992" spans="1:9" x14ac:dyDescent="0.25">
      <c r="A992" s="7">
        <v>28</v>
      </c>
      <c r="B992" s="7" t="s">
        <v>1340</v>
      </c>
      <c r="C992" s="8">
        <v>1781890194523560</v>
      </c>
      <c r="D992" s="7" t="s">
        <v>1332</v>
      </c>
      <c r="E992" s="8">
        <v>17748</v>
      </c>
      <c r="F992" s="7" t="s">
        <v>123</v>
      </c>
      <c r="G992" s="7" t="s">
        <v>124</v>
      </c>
      <c r="H992" s="7" t="s">
        <v>120</v>
      </c>
      <c r="I992" s="7" t="s">
        <v>159</v>
      </c>
    </row>
    <row r="993" spans="1:9" x14ac:dyDescent="0.25">
      <c r="A993" s="7">
        <v>28</v>
      </c>
      <c r="B993" s="7" t="s">
        <v>1341</v>
      </c>
      <c r="C993" s="8">
        <v>1781890195229830</v>
      </c>
      <c r="D993" s="7" t="s">
        <v>1332</v>
      </c>
      <c r="E993" s="8">
        <v>18454</v>
      </c>
      <c r="F993" s="7" t="s">
        <v>166</v>
      </c>
      <c r="G993" s="7" t="s">
        <v>167</v>
      </c>
      <c r="H993" s="7" t="s">
        <v>1107</v>
      </c>
      <c r="I993" s="7"/>
    </row>
    <row r="994" spans="1:9" x14ac:dyDescent="0.25">
      <c r="A994" s="7">
        <v>28</v>
      </c>
      <c r="B994" s="7" t="s">
        <v>1342</v>
      </c>
      <c r="C994" s="8">
        <v>1781890213103310</v>
      </c>
      <c r="D994" s="7" t="s">
        <v>1332</v>
      </c>
      <c r="E994" s="8">
        <v>36327</v>
      </c>
      <c r="F994" s="7" t="s">
        <v>123</v>
      </c>
      <c r="G994" s="7" t="s">
        <v>124</v>
      </c>
      <c r="H994" s="7" t="s">
        <v>161</v>
      </c>
      <c r="I994" s="7" t="s">
        <v>1343</v>
      </c>
    </row>
    <row r="995" spans="1:9" x14ac:dyDescent="0.25">
      <c r="A995" s="7">
        <v>28</v>
      </c>
      <c r="B995" s="7" t="s">
        <v>1344</v>
      </c>
      <c r="C995" s="8">
        <v>1781890213103720</v>
      </c>
      <c r="D995" s="7" t="s">
        <v>1332</v>
      </c>
      <c r="E995" s="8">
        <v>36328</v>
      </c>
      <c r="F995" s="7" t="s">
        <v>98</v>
      </c>
      <c r="G995" s="7" t="s">
        <v>99</v>
      </c>
      <c r="H995" s="7" t="s">
        <v>161</v>
      </c>
      <c r="I995" s="7" t="s">
        <v>1345</v>
      </c>
    </row>
    <row r="996" spans="1:9" x14ac:dyDescent="0.25">
      <c r="A996" s="7">
        <v>28</v>
      </c>
      <c r="B996" s="7" t="s">
        <v>1346</v>
      </c>
      <c r="C996" s="8">
        <v>1781890236419800</v>
      </c>
      <c r="D996" s="7" t="s">
        <v>1332</v>
      </c>
      <c r="E996" s="8">
        <v>59644</v>
      </c>
      <c r="F996" s="7" t="s">
        <v>166</v>
      </c>
      <c r="G996" s="7" t="s">
        <v>167</v>
      </c>
      <c r="H996" s="7" t="s">
        <v>168</v>
      </c>
      <c r="I996" s="7"/>
    </row>
    <row r="997" spans="1:9" x14ac:dyDescent="0.25">
      <c r="A997" s="7">
        <v>28</v>
      </c>
      <c r="B997" s="7" t="s">
        <v>1347</v>
      </c>
      <c r="C997" s="8">
        <v>1781890238515990</v>
      </c>
      <c r="D997" s="7" t="s">
        <v>1332</v>
      </c>
      <c r="E997" s="8">
        <v>61740</v>
      </c>
      <c r="F997" s="7" t="s">
        <v>98</v>
      </c>
      <c r="G997" s="7" t="s">
        <v>99</v>
      </c>
      <c r="H997" s="7" t="s">
        <v>172</v>
      </c>
      <c r="I997" s="7" t="s">
        <v>173</v>
      </c>
    </row>
    <row r="998" spans="1:9" x14ac:dyDescent="0.25">
      <c r="A998" s="7">
        <v>28</v>
      </c>
      <c r="B998" s="7" t="s">
        <v>1348</v>
      </c>
      <c r="C998" s="8">
        <v>1781890258173050</v>
      </c>
      <c r="D998" s="7" t="s">
        <v>1332</v>
      </c>
      <c r="E998" s="8">
        <v>81397</v>
      </c>
      <c r="F998" s="7" t="s">
        <v>98</v>
      </c>
      <c r="G998" s="7" t="s">
        <v>99</v>
      </c>
      <c r="H998" s="7" t="s">
        <v>120</v>
      </c>
      <c r="I998" s="7" t="s">
        <v>177</v>
      </c>
    </row>
    <row r="999" spans="1:9" x14ac:dyDescent="0.25">
      <c r="A999" s="7">
        <v>28</v>
      </c>
      <c r="B999" s="7" t="s">
        <v>1349</v>
      </c>
      <c r="C999" s="8">
        <v>1781890265082010</v>
      </c>
      <c r="D999" s="7" t="s">
        <v>1332</v>
      </c>
      <c r="E999" s="8">
        <v>88306</v>
      </c>
      <c r="F999" s="7" t="s">
        <v>98</v>
      </c>
      <c r="G999" s="7" t="s">
        <v>99</v>
      </c>
      <c r="H999" s="7" t="s">
        <v>179</v>
      </c>
      <c r="I999" s="7" t="s">
        <v>180</v>
      </c>
    </row>
    <row r="1000" spans="1:9" x14ac:dyDescent="0.25">
      <c r="A1000" s="7">
        <v>28</v>
      </c>
      <c r="B1000" s="7" t="s">
        <v>1350</v>
      </c>
      <c r="C1000" s="8">
        <v>1781890265082200</v>
      </c>
      <c r="D1000" s="7" t="s">
        <v>1332</v>
      </c>
      <c r="E1000" s="8">
        <v>88306</v>
      </c>
      <c r="F1000" s="7" t="s">
        <v>103</v>
      </c>
      <c r="G1000" s="7" t="s">
        <v>89</v>
      </c>
      <c r="H1000" s="7" t="s">
        <v>179</v>
      </c>
      <c r="I1000" s="7"/>
    </row>
    <row r="1001" spans="1:9" x14ac:dyDescent="0.25">
      <c r="B1001" t="s">
        <v>1351</v>
      </c>
      <c r="C1001" s="12">
        <v>1781890350314680</v>
      </c>
      <c r="D1001" t="s">
        <v>1352</v>
      </c>
      <c r="E1001" t="s">
        <v>87</v>
      </c>
      <c r="F1001" t="s">
        <v>88</v>
      </c>
      <c r="G1001" t="s">
        <v>89</v>
      </c>
      <c r="H1001" t="s">
        <v>184</v>
      </c>
    </row>
    <row r="1002" spans="1:9" x14ac:dyDescent="0.25">
      <c r="B1002" t="s">
        <v>1353</v>
      </c>
      <c r="C1002" s="12">
        <v>1781890350315190</v>
      </c>
      <c r="D1002" t="s">
        <v>1352</v>
      </c>
      <c r="E1002" t="s">
        <v>108</v>
      </c>
      <c r="F1002" t="s">
        <v>166</v>
      </c>
      <c r="G1002" t="s">
        <v>167</v>
      </c>
      <c r="H1002" t="s">
        <v>711</v>
      </c>
    </row>
    <row r="1003" spans="1:9" x14ac:dyDescent="0.25">
      <c r="A1003" s="4">
        <v>29</v>
      </c>
      <c r="B1003" s="4" t="s">
        <v>1354</v>
      </c>
      <c r="C1003" s="18">
        <v>1781890372399610</v>
      </c>
      <c r="D1003" s="4" t="s">
        <v>1352</v>
      </c>
      <c r="E1003" s="18">
        <v>22085</v>
      </c>
      <c r="F1003" s="4" t="s">
        <v>98</v>
      </c>
      <c r="G1003" s="4" t="s">
        <v>99</v>
      </c>
      <c r="H1003" s="4" t="s">
        <v>100</v>
      </c>
      <c r="I1003" s="4" t="s">
        <v>101</v>
      </c>
    </row>
    <row r="1004" spans="1:9" x14ac:dyDescent="0.25">
      <c r="A1004" s="4">
        <v>29</v>
      </c>
      <c r="B1004" s="4" t="s">
        <v>1355</v>
      </c>
      <c r="C1004" s="18">
        <v>1781890392015600</v>
      </c>
      <c r="D1004" s="4" t="s">
        <v>1352</v>
      </c>
      <c r="E1004" s="18">
        <v>41701</v>
      </c>
      <c r="F1004" s="4" t="s">
        <v>98</v>
      </c>
      <c r="G1004" s="4" t="s">
        <v>99</v>
      </c>
      <c r="H1004" s="4" t="s">
        <v>120</v>
      </c>
      <c r="I1004" s="4" t="s">
        <v>121</v>
      </c>
    </row>
    <row r="1005" spans="1:9" x14ac:dyDescent="0.25">
      <c r="A1005" s="4">
        <v>29</v>
      </c>
      <c r="B1005" s="4" t="s">
        <v>1356</v>
      </c>
      <c r="C1005" s="18">
        <v>1781890392017840</v>
      </c>
      <c r="D1005" s="4" t="s">
        <v>1352</v>
      </c>
      <c r="E1005" s="18">
        <v>41703</v>
      </c>
      <c r="F1005" s="4" t="s">
        <v>123</v>
      </c>
      <c r="G1005" s="4" t="s">
        <v>124</v>
      </c>
      <c r="H1005" s="4" t="s">
        <v>120</v>
      </c>
      <c r="I1005" s="4" t="s">
        <v>125</v>
      </c>
    </row>
    <row r="1006" spans="1:9" x14ac:dyDescent="0.25">
      <c r="A1006" s="4">
        <v>29</v>
      </c>
      <c r="B1006" s="4" t="s">
        <v>1357</v>
      </c>
      <c r="C1006" s="18">
        <v>1781890405337440</v>
      </c>
      <c r="D1006" s="4" t="s">
        <v>1352</v>
      </c>
      <c r="E1006" s="18">
        <v>55023</v>
      </c>
      <c r="F1006" s="4" t="s">
        <v>123</v>
      </c>
      <c r="G1006" s="4" t="s">
        <v>124</v>
      </c>
      <c r="H1006" s="4" t="s">
        <v>127</v>
      </c>
      <c r="I1006" s="4" t="s">
        <v>1358</v>
      </c>
    </row>
    <row r="1007" spans="1:9" x14ac:dyDescent="0.25">
      <c r="A1007" s="4">
        <v>29</v>
      </c>
      <c r="B1007" s="4" t="s">
        <v>1359</v>
      </c>
      <c r="C1007" s="18">
        <v>1781890405338000</v>
      </c>
      <c r="D1007" s="4" t="s">
        <v>1352</v>
      </c>
      <c r="E1007" s="18">
        <v>55023</v>
      </c>
      <c r="F1007" s="4" t="s">
        <v>98</v>
      </c>
      <c r="G1007" s="4" t="s">
        <v>99</v>
      </c>
      <c r="H1007" s="4" t="s">
        <v>127</v>
      </c>
      <c r="I1007" s="4" t="s">
        <v>1360</v>
      </c>
    </row>
    <row r="1008" spans="1:9" x14ac:dyDescent="0.25">
      <c r="A1008" s="4">
        <v>29</v>
      </c>
      <c r="B1008" s="4" t="s">
        <v>1361</v>
      </c>
      <c r="C1008" s="18">
        <v>1781890407057780</v>
      </c>
      <c r="D1008" s="4" t="s">
        <v>1352</v>
      </c>
      <c r="E1008" s="18">
        <v>56743</v>
      </c>
      <c r="F1008" s="4" t="s">
        <v>132</v>
      </c>
      <c r="G1008" s="4" t="s">
        <v>133</v>
      </c>
      <c r="H1008" s="4" t="s">
        <v>134</v>
      </c>
      <c r="I1008" s="4" t="s">
        <v>135</v>
      </c>
    </row>
    <row r="1009" spans="1:9" x14ac:dyDescent="0.25">
      <c r="A1009" s="4">
        <v>29</v>
      </c>
      <c r="B1009" s="4" t="s">
        <v>1362</v>
      </c>
      <c r="C1009" s="18">
        <v>1781890420165580</v>
      </c>
      <c r="D1009" s="4" t="s">
        <v>1352</v>
      </c>
      <c r="E1009" s="18">
        <v>69851</v>
      </c>
      <c r="F1009" s="4" t="s">
        <v>98</v>
      </c>
      <c r="G1009" s="4" t="s">
        <v>99</v>
      </c>
      <c r="H1009" s="4" t="s">
        <v>137</v>
      </c>
      <c r="I1009" s="4" t="s">
        <v>138</v>
      </c>
    </row>
    <row r="1010" spans="1:9" x14ac:dyDescent="0.25">
      <c r="A1010" s="4">
        <v>29</v>
      </c>
      <c r="B1010" s="4" t="s">
        <v>1363</v>
      </c>
      <c r="C1010" s="18">
        <v>1781890431430440</v>
      </c>
      <c r="D1010" s="4" t="s">
        <v>1352</v>
      </c>
      <c r="E1010" s="18">
        <v>81116</v>
      </c>
      <c r="F1010" s="4" t="s">
        <v>166</v>
      </c>
      <c r="G1010" s="4" t="s">
        <v>167</v>
      </c>
      <c r="H1010" s="4" t="s">
        <v>213</v>
      </c>
      <c r="I1010" s="4"/>
    </row>
    <row r="1011" spans="1:9" x14ac:dyDescent="0.25">
      <c r="A1011" s="4">
        <v>29</v>
      </c>
      <c r="B1011" s="4" t="s">
        <v>1364</v>
      </c>
      <c r="C1011" s="18">
        <v>1781890433409370</v>
      </c>
      <c r="D1011" s="4" t="s">
        <v>1352</v>
      </c>
      <c r="E1011" s="18">
        <v>83095</v>
      </c>
      <c r="F1011" s="4" t="s">
        <v>98</v>
      </c>
      <c r="G1011" s="4" t="s">
        <v>99</v>
      </c>
      <c r="H1011" s="4" t="s">
        <v>120</v>
      </c>
      <c r="I1011" s="4" t="s">
        <v>142</v>
      </c>
    </row>
    <row r="1012" spans="1:9" x14ac:dyDescent="0.25">
      <c r="A1012" s="4">
        <v>29</v>
      </c>
      <c r="B1012" s="4" t="s">
        <v>1365</v>
      </c>
      <c r="C1012" s="18">
        <v>1781890433420230</v>
      </c>
      <c r="D1012" s="4" t="s">
        <v>1352</v>
      </c>
      <c r="E1012" s="18">
        <v>83106</v>
      </c>
      <c r="F1012" s="4" t="s">
        <v>123</v>
      </c>
      <c r="G1012" s="4" t="s">
        <v>124</v>
      </c>
      <c r="H1012" s="4" t="s">
        <v>120</v>
      </c>
      <c r="I1012" s="4" t="s">
        <v>144</v>
      </c>
    </row>
    <row r="1013" spans="1:9" x14ac:dyDescent="0.25">
      <c r="A1013" s="4">
        <v>29</v>
      </c>
      <c r="B1013" s="4" t="s">
        <v>1366</v>
      </c>
      <c r="C1013" s="18">
        <v>1781890442769460</v>
      </c>
      <c r="D1013" s="4" t="s">
        <v>1352</v>
      </c>
      <c r="E1013" s="18">
        <v>92455</v>
      </c>
      <c r="F1013" s="4" t="s">
        <v>123</v>
      </c>
      <c r="G1013" s="4" t="s">
        <v>124</v>
      </c>
      <c r="H1013" s="4" t="s">
        <v>1274</v>
      </c>
      <c r="I1013" s="4" t="s">
        <v>1367</v>
      </c>
    </row>
    <row r="1014" spans="1:9" x14ac:dyDescent="0.25">
      <c r="A1014" s="4">
        <v>29</v>
      </c>
      <c r="B1014" s="4" t="s">
        <v>1368</v>
      </c>
      <c r="C1014" s="18">
        <v>1781890442771380</v>
      </c>
      <c r="D1014" s="4" t="s">
        <v>1352</v>
      </c>
      <c r="E1014" s="18">
        <v>92457</v>
      </c>
      <c r="F1014" s="4" t="s">
        <v>98</v>
      </c>
      <c r="G1014" s="4" t="s">
        <v>99</v>
      </c>
      <c r="H1014" s="4" t="s">
        <v>148</v>
      </c>
      <c r="I1014" s="4" t="s">
        <v>151</v>
      </c>
    </row>
    <row r="1015" spans="1:9" x14ac:dyDescent="0.25">
      <c r="A1015" s="4">
        <v>29</v>
      </c>
      <c r="B1015" s="4" t="s">
        <v>1369</v>
      </c>
      <c r="C1015" s="18">
        <v>1781890442771560</v>
      </c>
      <c r="D1015" s="4" t="s">
        <v>1352</v>
      </c>
      <c r="E1015" s="18">
        <v>92457</v>
      </c>
      <c r="F1015" s="4" t="s">
        <v>123</v>
      </c>
      <c r="G1015" s="4" t="s">
        <v>124</v>
      </c>
      <c r="H1015" s="4" t="s">
        <v>148</v>
      </c>
      <c r="I1015" s="4" t="s">
        <v>149</v>
      </c>
    </row>
    <row r="1016" spans="1:9" x14ac:dyDescent="0.25">
      <c r="A1016" s="4">
        <v>29</v>
      </c>
      <c r="B1016" s="4" t="s">
        <v>1370</v>
      </c>
      <c r="C1016" s="18">
        <v>1781890447748490</v>
      </c>
      <c r="D1016" s="4" t="s">
        <v>1352</v>
      </c>
      <c r="E1016" s="18">
        <v>97434</v>
      </c>
      <c r="F1016" s="4" t="s">
        <v>98</v>
      </c>
      <c r="G1016" s="4" t="s">
        <v>99</v>
      </c>
      <c r="H1016" s="4" t="s">
        <v>120</v>
      </c>
      <c r="I1016" s="4" t="s">
        <v>155</v>
      </c>
    </row>
    <row r="1017" spans="1:9" x14ac:dyDescent="0.25">
      <c r="A1017" s="4">
        <v>29</v>
      </c>
      <c r="B1017" s="4" t="s">
        <v>1371</v>
      </c>
      <c r="C1017" s="18">
        <v>1781890447748760</v>
      </c>
      <c r="D1017" s="4" t="s">
        <v>1352</v>
      </c>
      <c r="E1017" s="18">
        <v>97434</v>
      </c>
      <c r="F1017" s="4" t="s">
        <v>123</v>
      </c>
      <c r="G1017" s="4" t="s">
        <v>124</v>
      </c>
      <c r="H1017" s="4" t="s">
        <v>120</v>
      </c>
      <c r="I1017" s="4" t="s">
        <v>157</v>
      </c>
    </row>
    <row r="1018" spans="1:9" x14ac:dyDescent="0.25">
      <c r="A1018" s="4">
        <v>29</v>
      </c>
      <c r="B1018" s="4" t="s">
        <v>1372</v>
      </c>
      <c r="C1018" s="18">
        <v>1781890447749500</v>
      </c>
      <c r="D1018" s="4" t="s">
        <v>1352</v>
      </c>
      <c r="E1018" s="18">
        <v>97435</v>
      </c>
      <c r="F1018" s="4" t="s">
        <v>93</v>
      </c>
      <c r="G1018" s="4" t="s">
        <v>94</v>
      </c>
      <c r="H1018" s="4" t="s">
        <v>153</v>
      </c>
      <c r="I1018" s="4" t="s">
        <v>153</v>
      </c>
    </row>
    <row r="1019" spans="1:9" x14ac:dyDescent="0.25">
      <c r="A1019" s="4">
        <v>29</v>
      </c>
      <c r="B1019" s="4" t="s">
        <v>1373</v>
      </c>
      <c r="C1019" s="18">
        <v>1781890449248270</v>
      </c>
      <c r="D1019" s="4" t="s">
        <v>1352</v>
      </c>
      <c r="E1019" s="18">
        <v>98934</v>
      </c>
      <c r="F1019" s="4" t="s">
        <v>123</v>
      </c>
      <c r="G1019" s="4" t="s">
        <v>124</v>
      </c>
      <c r="H1019" s="4" t="s">
        <v>120</v>
      </c>
      <c r="I1019" s="4" t="s">
        <v>159</v>
      </c>
    </row>
    <row r="1020" spans="1:9" x14ac:dyDescent="0.25">
      <c r="A1020" s="4">
        <v>29</v>
      </c>
      <c r="B1020" s="4" t="s">
        <v>1374</v>
      </c>
      <c r="C1020" s="18">
        <v>1781890466044900</v>
      </c>
      <c r="D1020" s="4" t="s">
        <v>1352</v>
      </c>
      <c r="E1020" s="18">
        <v>115730</v>
      </c>
      <c r="F1020" s="4" t="s">
        <v>123</v>
      </c>
      <c r="G1020" s="4" t="s">
        <v>124</v>
      </c>
      <c r="H1020" s="4" t="s">
        <v>161</v>
      </c>
      <c r="I1020" s="4" t="s">
        <v>1375</v>
      </c>
    </row>
    <row r="1021" spans="1:9" x14ac:dyDescent="0.25">
      <c r="A1021" s="4">
        <v>29</v>
      </c>
      <c r="B1021" s="4" t="s">
        <v>1376</v>
      </c>
      <c r="C1021" s="18">
        <v>1781890466045830</v>
      </c>
      <c r="D1021" s="4" t="s">
        <v>1352</v>
      </c>
      <c r="E1021" s="18">
        <v>115731</v>
      </c>
      <c r="F1021" s="4" t="s">
        <v>98</v>
      </c>
      <c r="G1021" s="4" t="s">
        <v>99</v>
      </c>
      <c r="H1021" s="4" t="s">
        <v>161</v>
      </c>
      <c r="I1021" s="4" t="s">
        <v>1377</v>
      </c>
    </row>
    <row r="1022" spans="1:9" x14ac:dyDescent="0.25">
      <c r="A1022" s="4">
        <v>29</v>
      </c>
      <c r="B1022" s="4" t="s">
        <v>1378</v>
      </c>
      <c r="C1022" s="18">
        <v>1781890470435770</v>
      </c>
      <c r="D1022" s="4" t="s">
        <v>1352</v>
      </c>
      <c r="E1022" s="18">
        <v>120121</v>
      </c>
      <c r="F1022" s="4" t="s">
        <v>166</v>
      </c>
      <c r="G1022" s="4" t="s">
        <v>167</v>
      </c>
      <c r="H1022" s="4" t="s">
        <v>1107</v>
      </c>
      <c r="I1022" s="4"/>
    </row>
    <row r="1023" spans="1:9" x14ac:dyDescent="0.25">
      <c r="A1023" s="4">
        <v>29</v>
      </c>
      <c r="B1023" s="4" t="s">
        <v>1379</v>
      </c>
      <c r="C1023" s="18">
        <v>1781890494446430</v>
      </c>
      <c r="D1023" s="4" t="s">
        <v>1352</v>
      </c>
      <c r="E1023" s="18">
        <v>144132</v>
      </c>
      <c r="F1023" s="4" t="s">
        <v>166</v>
      </c>
      <c r="G1023" s="4" t="s">
        <v>167</v>
      </c>
      <c r="H1023" s="4" t="s">
        <v>168</v>
      </c>
      <c r="I1023" s="4"/>
    </row>
    <row r="1024" spans="1:9" x14ac:dyDescent="0.25">
      <c r="A1024" s="4">
        <v>29</v>
      </c>
      <c r="B1024" s="4" t="s">
        <v>1380</v>
      </c>
      <c r="C1024" s="18">
        <v>1781890496643250</v>
      </c>
      <c r="D1024" s="4" t="s">
        <v>1352</v>
      </c>
      <c r="E1024" s="18">
        <v>146329</v>
      </c>
      <c r="F1024" s="4" t="s">
        <v>98</v>
      </c>
      <c r="G1024" s="4" t="s">
        <v>99</v>
      </c>
      <c r="H1024" s="4" t="s">
        <v>172</v>
      </c>
      <c r="I1024" s="4" t="s">
        <v>173</v>
      </c>
    </row>
    <row r="1025" spans="1:9" x14ac:dyDescent="0.25">
      <c r="A1025" s="4">
        <v>29</v>
      </c>
      <c r="B1025" s="4" t="s">
        <v>1381</v>
      </c>
      <c r="C1025" s="18">
        <v>1781890521911470</v>
      </c>
      <c r="D1025" s="4" t="s">
        <v>1352</v>
      </c>
      <c r="E1025" s="18">
        <v>171597</v>
      </c>
      <c r="F1025" s="4" t="s">
        <v>98</v>
      </c>
      <c r="G1025" s="4" t="s">
        <v>99</v>
      </c>
      <c r="H1025" s="4" t="s">
        <v>120</v>
      </c>
      <c r="I1025" s="4" t="s">
        <v>177</v>
      </c>
    </row>
    <row r="1026" spans="1:9" x14ac:dyDescent="0.25">
      <c r="A1026" s="4">
        <v>29</v>
      </c>
      <c r="B1026" s="4" t="s">
        <v>1382</v>
      </c>
      <c r="C1026" s="18">
        <v>1781890522266290</v>
      </c>
      <c r="D1026" s="4" t="s">
        <v>1352</v>
      </c>
      <c r="E1026" s="18">
        <v>171952</v>
      </c>
      <c r="F1026" s="4" t="s">
        <v>93</v>
      </c>
      <c r="G1026" s="4" t="s">
        <v>94</v>
      </c>
      <c r="H1026" s="4" t="s">
        <v>175</v>
      </c>
      <c r="I1026" s="4" t="s">
        <v>175</v>
      </c>
    </row>
    <row r="1027" spans="1:9" x14ac:dyDescent="0.25">
      <c r="A1027" s="4">
        <v>29</v>
      </c>
      <c r="B1027" s="4" t="s">
        <v>1383</v>
      </c>
      <c r="C1027" s="18">
        <v>1781890524217160</v>
      </c>
      <c r="D1027" s="4" t="s">
        <v>1352</v>
      </c>
      <c r="E1027" s="18">
        <v>173903</v>
      </c>
      <c r="F1027" s="4" t="s">
        <v>93</v>
      </c>
      <c r="G1027" s="4" t="s">
        <v>94</v>
      </c>
      <c r="H1027" s="4" t="s">
        <v>195</v>
      </c>
      <c r="I1027" s="4" t="s">
        <v>195</v>
      </c>
    </row>
    <row r="1028" spans="1:9" x14ac:dyDescent="0.25">
      <c r="A1028" s="4">
        <v>29</v>
      </c>
      <c r="B1028" s="4" t="s">
        <v>1384</v>
      </c>
      <c r="C1028" s="18">
        <v>1781890528813510</v>
      </c>
      <c r="D1028" s="4" t="s">
        <v>1352</v>
      </c>
      <c r="E1028" s="18">
        <v>178499</v>
      </c>
      <c r="F1028" s="4" t="s">
        <v>98</v>
      </c>
      <c r="G1028" s="4" t="s">
        <v>99</v>
      </c>
      <c r="H1028" s="4" t="s">
        <v>179</v>
      </c>
      <c r="I1028" s="4" t="s">
        <v>180</v>
      </c>
    </row>
    <row r="1029" spans="1:9" x14ac:dyDescent="0.25">
      <c r="A1029" s="4">
        <v>29</v>
      </c>
      <c r="B1029" s="4" t="s">
        <v>1385</v>
      </c>
      <c r="C1029" s="18">
        <v>1781890528813620</v>
      </c>
      <c r="D1029" s="4" t="s">
        <v>1352</v>
      </c>
      <c r="E1029" s="18">
        <v>178499</v>
      </c>
      <c r="F1029" s="4" t="s">
        <v>103</v>
      </c>
      <c r="G1029" s="4" t="s">
        <v>89</v>
      </c>
      <c r="H1029" s="4" t="s">
        <v>179</v>
      </c>
      <c r="I1029" s="4"/>
    </row>
    <row r="1030" spans="1:9" x14ac:dyDescent="0.25">
      <c r="B1030" t="s">
        <v>1386</v>
      </c>
      <c r="C1030" s="12">
        <v>1781890578283690</v>
      </c>
      <c r="D1030" t="s">
        <v>1387</v>
      </c>
      <c r="E1030" t="s">
        <v>87</v>
      </c>
      <c r="F1030" t="s">
        <v>88</v>
      </c>
      <c r="G1030" t="s">
        <v>89</v>
      </c>
      <c r="H1030" t="s">
        <v>184</v>
      </c>
    </row>
    <row r="1031" spans="1:9" x14ac:dyDescent="0.25">
      <c r="B1031" t="s">
        <v>1388</v>
      </c>
      <c r="C1031" s="12">
        <v>1781890578284190</v>
      </c>
      <c r="D1031" t="s">
        <v>1387</v>
      </c>
      <c r="E1031" t="s">
        <v>108</v>
      </c>
      <c r="F1031" t="s">
        <v>166</v>
      </c>
      <c r="G1031" t="s">
        <v>167</v>
      </c>
      <c r="H1031" t="s">
        <v>711</v>
      </c>
    </row>
    <row r="1032" spans="1:9" x14ac:dyDescent="0.25">
      <c r="A1032" s="4">
        <v>30</v>
      </c>
      <c r="B1032" s="4" t="s">
        <v>1389</v>
      </c>
      <c r="C1032" s="18">
        <v>1781890642166580</v>
      </c>
      <c r="D1032" s="4" t="s">
        <v>1387</v>
      </c>
      <c r="E1032" s="18">
        <v>63883</v>
      </c>
      <c r="F1032" s="4" t="s">
        <v>98</v>
      </c>
      <c r="G1032" s="4" t="s">
        <v>99</v>
      </c>
      <c r="H1032" s="4" t="s">
        <v>100</v>
      </c>
      <c r="I1032" s="4" t="s">
        <v>101</v>
      </c>
    </row>
    <row r="1033" spans="1:9" x14ac:dyDescent="0.25">
      <c r="A1033" s="4">
        <v>30</v>
      </c>
      <c r="B1033" s="4" t="s">
        <v>1390</v>
      </c>
      <c r="C1033" s="18">
        <v>1781890659627540</v>
      </c>
      <c r="D1033" s="4" t="s">
        <v>1387</v>
      </c>
      <c r="E1033" s="18">
        <v>81344</v>
      </c>
      <c r="F1033" s="4" t="s">
        <v>98</v>
      </c>
      <c r="G1033" s="4" t="s">
        <v>99</v>
      </c>
      <c r="H1033" s="4" t="s">
        <v>120</v>
      </c>
      <c r="I1033" s="4" t="s">
        <v>121</v>
      </c>
    </row>
    <row r="1034" spans="1:9" x14ac:dyDescent="0.25">
      <c r="A1034" s="4">
        <v>30</v>
      </c>
      <c r="B1034" s="4" t="s">
        <v>1391</v>
      </c>
      <c r="C1034" s="18">
        <v>1781890659718350</v>
      </c>
      <c r="D1034" s="4" t="s">
        <v>1387</v>
      </c>
      <c r="E1034" s="18">
        <v>81435</v>
      </c>
      <c r="F1034" s="4" t="s">
        <v>123</v>
      </c>
      <c r="G1034" s="4" t="s">
        <v>124</v>
      </c>
      <c r="H1034" s="4" t="s">
        <v>120</v>
      </c>
      <c r="I1034" s="4" t="s">
        <v>125</v>
      </c>
    </row>
    <row r="1035" spans="1:9" x14ac:dyDescent="0.25">
      <c r="A1035" s="4">
        <v>30</v>
      </c>
      <c r="B1035" s="4" t="s">
        <v>1392</v>
      </c>
      <c r="C1035" s="18">
        <v>1781890672670220</v>
      </c>
      <c r="D1035" s="4" t="s">
        <v>1387</v>
      </c>
      <c r="E1035" s="18">
        <v>94387</v>
      </c>
      <c r="F1035" s="4" t="s">
        <v>123</v>
      </c>
      <c r="G1035" s="4" t="s">
        <v>124</v>
      </c>
      <c r="H1035" s="4" t="s">
        <v>127</v>
      </c>
      <c r="I1035" s="4" t="s">
        <v>1393</v>
      </c>
    </row>
    <row r="1036" spans="1:9" x14ac:dyDescent="0.25">
      <c r="A1036" s="4">
        <v>30</v>
      </c>
      <c r="B1036" s="4" t="s">
        <v>1394</v>
      </c>
      <c r="C1036" s="18">
        <v>1781890672670590</v>
      </c>
      <c r="D1036" s="4" t="s">
        <v>1387</v>
      </c>
      <c r="E1036" s="18">
        <v>94387</v>
      </c>
      <c r="F1036" s="4" t="s">
        <v>98</v>
      </c>
      <c r="G1036" s="4" t="s">
        <v>99</v>
      </c>
      <c r="H1036" s="4" t="s">
        <v>127</v>
      </c>
      <c r="I1036" s="4" t="s">
        <v>1395</v>
      </c>
    </row>
    <row r="1037" spans="1:9" x14ac:dyDescent="0.25">
      <c r="A1037" s="4">
        <v>30</v>
      </c>
      <c r="B1037" s="4" t="s">
        <v>1396</v>
      </c>
      <c r="C1037" s="18">
        <v>1781890674521790</v>
      </c>
      <c r="D1037" s="4" t="s">
        <v>1387</v>
      </c>
      <c r="E1037" s="18">
        <v>96238</v>
      </c>
      <c r="F1037" s="4" t="s">
        <v>132</v>
      </c>
      <c r="G1037" s="4" t="s">
        <v>133</v>
      </c>
      <c r="H1037" s="4" t="s">
        <v>134</v>
      </c>
      <c r="I1037" s="4" t="s">
        <v>135</v>
      </c>
    </row>
    <row r="1038" spans="1:9" x14ac:dyDescent="0.25">
      <c r="A1038" s="4">
        <v>30</v>
      </c>
      <c r="B1038" s="4" t="s">
        <v>1397</v>
      </c>
      <c r="C1038" s="18">
        <v>1781890677696060</v>
      </c>
      <c r="D1038" s="4" t="s">
        <v>1387</v>
      </c>
      <c r="E1038" s="18">
        <v>99412</v>
      </c>
      <c r="F1038" s="4" t="s">
        <v>98</v>
      </c>
      <c r="G1038" s="4" t="s">
        <v>99</v>
      </c>
      <c r="H1038" s="4" t="s">
        <v>137</v>
      </c>
      <c r="I1038" s="4" t="s">
        <v>138</v>
      </c>
    </row>
    <row r="1039" spans="1:9" x14ac:dyDescent="0.25">
      <c r="A1039" s="4">
        <v>30</v>
      </c>
      <c r="B1039" s="4" t="s">
        <v>1398</v>
      </c>
      <c r="C1039" s="18">
        <v>1781890677696510</v>
      </c>
      <c r="D1039" s="4" t="s">
        <v>1387</v>
      </c>
      <c r="E1039" s="18">
        <v>99413</v>
      </c>
      <c r="F1039" s="4" t="s">
        <v>93</v>
      </c>
      <c r="G1039" s="4" t="s">
        <v>94</v>
      </c>
      <c r="H1039" s="4" t="s">
        <v>140</v>
      </c>
      <c r="I1039" s="4" t="s">
        <v>140</v>
      </c>
    </row>
    <row r="1040" spans="1:9" x14ac:dyDescent="0.25">
      <c r="A1040" s="4">
        <v>30</v>
      </c>
      <c r="B1040" s="4" t="s">
        <v>1399</v>
      </c>
      <c r="C1040" s="18">
        <v>1781890692597380</v>
      </c>
      <c r="D1040" s="4" t="s">
        <v>1387</v>
      </c>
      <c r="E1040" s="18">
        <v>114314</v>
      </c>
      <c r="F1040" s="4" t="s">
        <v>166</v>
      </c>
      <c r="G1040" s="4" t="s">
        <v>167</v>
      </c>
      <c r="H1040" s="4" t="s">
        <v>213</v>
      </c>
      <c r="I1040" s="4"/>
    </row>
    <row r="1041" spans="1:9" x14ac:dyDescent="0.25">
      <c r="A1041" s="4">
        <v>30</v>
      </c>
      <c r="B1041" s="4" t="s">
        <v>1400</v>
      </c>
      <c r="C1041" s="18">
        <v>1781890694621870</v>
      </c>
      <c r="D1041" s="4" t="s">
        <v>1387</v>
      </c>
      <c r="E1041" s="18">
        <v>116338</v>
      </c>
      <c r="F1041" s="4" t="s">
        <v>98</v>
      </c>
      <c r="G1041" s="4" t="s">
        <v>99</v>
      </c>
      <c r="H1041" s="4" t="s">
        <v>120</v>
      </c>
      <c r="I1041" s="4" t="s">
        <v>142</v>
      </c>
    </row>
    <row r="1042" spans="1:9" x14ac:dyDescent="0.25">
      <c r="A1042" s="4">
        <v>30</v>
      </c>
      <c r="B1042" s="4" t="s">
        <v>1401</v>
      </c>
      <c r="C1042" s="18">
        <v>1781890694622700</v>
      </c>
      <c r="D1042" s="4" t="s">
        <v>1387</v>
      </c>
      <c r="E1042" s="18">
        <v>116339</v>
      </c>
      <c r="F1042" s="4" t="s">
        <v>123</v>
      </c>
      <c r="G1042" s="4" t="s">
        <v>124</v>
      </c>
      <c r="H1042" s="4" t="s">
        <v>120</v>
      </c>
      <c r="I1042" s="4" t="s">
        <v>144</v>
      </c>
    </row>
    <row r="1043" spans="1:9" x14ac:dyDescent="0.25">
      <c r="A1043" s="4">
        <v>30</v>
      </c>
      <c r="B1043" s="4" t="s">
        <v>1402</v>
      </c>
      <c r="C1043" s="18">
        <v>1781890704045510</v>
      </c>
      <c r="D1043" s="4" t="s">
        <v>1387</v>
      </c>
      <c r="E1043" s="18">
        <v>125762</v>
      </c>
      <c r="F1043" s="4" t="s">
        <v>123</v>
      </c>
      <c r="G1043" s="4" t="s">
        <v>124</v>
      </c>
      <c r="H1043" s="4" t="s">
        <v>1274</v>
      </c>
      <c r="I1043" s="4" t="s">
        <v>1403</v>
      </c>
    </row>
    <row r="1044" spans="1:9" x14ac:dyDescent="0.25">
      <c r="A1044" s="4">
        <v>30</v>
      </c>
      <c r="B1044" s="4" t="s">
        <v>1404</v>
      </c>
      <c r="C1044" s="18">
        <v>1781890704052230</v>
      </c>
      <c r="D1044" s="4" t="s">
        <v>1387</v>
      </c>
      <c r="E1044" s="18">
        <v>125769</v>
      </c>
      <c r="F1044" s="4" t="s">
        <v>123</v>
      </c>
      <c r="G1044" s="4" t="s">
        <v>124</v>
      </c>
      <c r="H1044" s="4" t="s">
        <v>148</v>
      </c>
      <c r="I1044" s="4" t="s">
        <v>149</v>
      </c>
    </row>
    <row r="1045" spans="1:9" x14ac:dyDescent="0.25">
      <c r="A1045" s="4">
        <v>30</v>
      </c>
      <c r="B1045" s="4" t="s">
        <v>1405</v>
      </c>
      <c r="C1045" s="18">
        <v>1781890704053790</v>
      </c>
      <c r="D1045" s="4" t="s">
        <v>1387</v>
      </c>
      <c r="E1045" s="18">
        <v>125770</v>
      </c>
      <c r="F1045" s="4" t="s">
        <v>98</v>
      </c>
      <c r="G1045" s="4" t="s">
        <v>99</v>
      </c>
      <c r="H1045" s="4" t="s">
        <v>148</v>
      </c>
      <c r="I1045" s="4" t="s">
        <v>151</v>
      </c>
    </row>
    <row r="1046" spans="1:9" x14ac:dyDescent="0.25">
      <c r="A1046" s="4">
        <v>30</v>
      </c>
      <c r="B1046" s="4" t="s">
        <v>1406</v>
      </c>
      <c r="C1046" s="18">
        <v>1781890712512060</v>
      </c>
      <c r="D1046" s="4" t="s">
        <v>1387</v>
      </c>
      <c r="E1046" s="18">
        <v>134228</v>
      </c>
      <c r="F1046" s="4" t="s">
        <v>98</v>
      </c>
      <c r="G1046" s="4" t="s">
        <v>99</v>
      </c>
      <c r="H1046" s="4" t="s">
        <v>120</v>
      </c>
      <c r="I1046" s="4" t="s">
        <v>155</v>
      </c>
    </row>
    <row r="1047" spans="1:9" x14ac:dyDescent="0.25">
      <c r="A1047" s="4">
        <v>30</v>
      </c>
      <c r="B1047" s="4" t="s">
        <v>1407</v>
      </c>
      <c r="C1047" s="18">
        <v>1781890712514180</v>
      </c>
      <c r="D1047" s="4" t="s">
        <v>1387</v>
      </c>
      <c r="E1047" s="18">
        <v>134231</v>
      </c>
      <c r="F1047" s="4" t="s">
        <v>123</v>
      </c>
      <c r="G1047" s="4" t="s">
        <v>124</v>
      </c>
      <c r="H1047" s="4" t="s">
        <v>120</v>
      </c>
      <c r="I1047" s="4" t="s">
        <v>157</v>
      </c>
    </row>
    <row r="1048" spans="1:9" x14ac:dyDescent="0.25">
      <c r="A1048" s="4">
        <v>30</v>
      </c>
      <c r="B1048" s="4" t="s">
        <v>1408</v>
      </c>
      <c r="C1048" s="18">
        <v>1781890714258390</v>
      </c>
      <c r="D1048" s="4" t="s">
        <v>1387</v>
      </c>
      <c r="E1048" s="18">
        <v>135975</v>
      </c>
      <c r="F1048" s="4" t="s">
        <v>123</v>
      </c>
      <c r="G1048" s="4" t="s">
        <v>124</v>
      </c>
      <c r="H1048" s="4" t="s">
        <v>120</v>
      </c>
      <c r="I1048" s="4" t="s">
        <v>159</v>
      </c>
    </row>
    <row r="1049" spans="1:9" x14ac:dyDescent="0.25">
      <c r="A1049" s="4">
        <v>30</v>
      </c>
      <c r="B1049" s="4" t="s">
        <v>1409</v>
      </c>
      <c r="C1049" s="18">
        <v>1781890716351000</v>
      </c>
      <c r="D1049" s="4" t="s">
        <v>1387</v>
      </c>
      <c r="E1049" s="18">
        <v>138067</v>
      </c>
      <c r="F1049" s="4" t="s">
        <v>166</v>
      </c>
      <c r="G1049" s="4" t="s">
        <v>167</v>
      </c>
      <c r="H1049" s="4" t="s">
        <v>1107</v>
      </c>
      <c r="I1049" s="4"/>
    </row>
    <row r="1050" spans="1:9" x14ac:dyDescent="0.25">
      <c r="A1050" s="4">
        <v>30</v>
      </c>
      <c r="B1050" s="4" t="s">
        <v>1410</v>
      </c>
      <c r="C1050" s="18">
        <v>1781890718350430</v>
      </c>
      <c r="D1050" s="4" t="s">
        <v>1387</v>
      </c>
      <c r="E1050" s="18">
        <v>140067</v>
      </c>
      <c r="F1050" s="4" t="s">
        <v>123</v>
      </c>
      <c r="G1050" s="4" t="s">
        <v>124</v>
      </c>
      <c r="H1050" s="4" t="s">
        <v>161</v>
      </c>
      <c r="I1050" s="4" t="s">
        <v>1411</v>
      </c>
    </row>
    <row r="1051" spans="1:9" x14ac:dyDescent="0.25">
      <c r="A1051" s="4">
        <v>30</v>
      </c>
      <c r="B1051" s="4" t="s">
        <v>1412</v>
      </c>
      <c r="C1051" s="18">
        <v>1781890718350810</v>
      </c>
      <c r="D1051" s="4" t="s">
        <v>1387</v>
      </c>
      <c r="E1051" s="18">
        <v>140067</v>
      </c>
      <c r="F1051" s="4" t="s">
        <v>98</v>
      </c>
      <c r="G1051" s="4" t="s">
        <v>99</v>
      </c>
      <c r="H1051" s="4" t="s">
        <v>161</v>
      </c>
      <c r="I1051" s="4" t="s">
        <v>1413</v>
      </c>
    </row>
    <row r="1052" spans="1:9" x14ac:dyDescent="0.25">
      <c r="A1052" s="4">
        <v>30</v>
      </c>
      <c r="B1052" s="4" t="s">
        <v>1414</v>
      </c>
      <c r="C1052" s="18">
        <v>1781890740302140</v>
      </c>
      <c r="D1052" s="4" t="s">
        <v>1387</v>
      </c>
      <c r="E1052" s="18">
        <v>162019</v>
      </c>
      <c r="F1052" s="4" t="s">
        <v>166</v>
      </c>
      <c r="G1052" s="4" t="s">
        <v>167</v>
      </c>
      <c r="H1052" s="4" t="s">
        <v>168</v>
      </c>
      <c r="I1052" s="4"/>
    </row>
    <row r="1053" spans="1:9" x14ac:dyDescent="0.25">
      <c r="A1053" s="4">
        <v>30</v>
      </c>
      <c r="B1053" s="4" t="s">
        <v>1415</v>
      </c>
      <c r="C1053" s="18">
        <v>1781890742672850</v>
      </c>
      <c r="D1053" s="4" t="s">
        <v>1387</v>
      </c>
      <c r="E1053" s="18">
        <v>164389</v>
      </c>
      <c r="F1053" s="4" t="s">
        <v>98</v>
      </c>
      <c r="G1053" s="4" t="s">
        <v>99</v>
      </c>
      <c r="H1053" s="4" t="s">
        <v>172</v>
      </c>
      <c r="I1053" s="4" t="s">
        <v>173</v>
      </c>
    </row>
    <row r="1054" spans="1:9" x14ac:dyDescent="0.25">
      <c r="A1054" s="4">
        <v>30</v>
      </c>
      <c r="B1054" s="4" t="s">
        <v>1416</v>
      </c>
      <c r="C1054" s="18">
        <v>1781890764975480</v>
      </c>
      <c r="D1054" s="4" t="s">
        <v>1387</v>
      </c>
      <c r="E1054" s="18">
        <v>186692</v>
      </c>
      <c r="F1054" s="4" t="s">
        <v>98</v>
      </c>
      <c r="G1054" s="4" t="s">
        <v>99</v>
      </c>
      <c r="H1054" s="4" t="s">
        <v>120</v>
      </c>
      <c r="I1054" s="4" t="s">
        <v>177</v>
      </c>
    </row>
    <row r="1055" spans="1:9" x14ac:dyDescent="0.25">
      <c r="A1055" s="4">
        <v>30</v>
      </c>
      <c r="B1055" s="4" t="s">
        <v>1417</v>
      </c>
      <c r="C1055" s="18">
        <v>1781890765073200</v>
      </c>
      <c r="D1055" s="4" t="s">
        <v>1387</v>
      </c>
      <c r="E1055" s="18">
        <v>186790</v>
      </c>
      <c r="F1055" s="4" t="s">
        <v>93</v>
      </c>
      <c r="G1055" s="4" t="s">
        <v>94</v>
      </c>
      <c r="H1055" s="4" t="s">
        <v>175</v>
      </c>
      <c r="I1055" s="4" t="s">
        <v>175</v>
      </c>
    </row>
    <row r="1056" spans="1:9" x14ac:dyDescent="0.25">
      <c r="A1056" s="4">
        <v>30</v>
      </c>
      <c r="B1056" s="4" t="s">
        <v>1418</v>
      </c>
      <c r="C1056" s="18">
        <v>1781890771906720</v>
      </c>
      <c r="D1056" s="4" t="s">
        <v>1387</v>
      </c>
      <c r="E1056" s="18">
        <v>193623</v>
      </c>
      <c r="F1056" s="4" t="s">
        <v>98</v>
      </c>
      <c r="G1056" s="4" t="s">
        <v>99</v>
      </c>
      <c r="H1056" s="4" t="s">
        <v>179</v>
      </c>
      <c r="I1056" s="4" t="s">
        <v>180</v>
      </c>
    </row>
    <row r="1057" spans="1:9" x14ac:dyDescent="0.25">
      <c r="A1057" s="4">
        <v>30</v>
      </c>
      <c r="B1057" s="4" t="s">
        <v>1419</v>
      </c>
      <c r="C1057" s="18">
        <v>1781890771906840</v>
      </c>
      <c r="D1057" s="4" t="s">
        <v>1387</v>
      </c>
      <c r="E1057" s="18">
        <v>193623</v>
      </c>
      <c r="F1057" s="4" t="s">
        <v>103</v>
      </c>
      <c r="G1057" s="4" t="s">
        <v>89</v>
      </c>
      <c r="H1057" s="4" t="s">
        <v>179</v>
      </c>
      <c r="I1057" s="4"/>
    </row>
    <row r="1058" spans="1:9" x14ac:dyDescent="0.25">
      <c r="B1058" t="s">
        <v>1420</v>
      </c>
      <c r="C1058" s="12">
        <v>1781890848803940</v>
      </c>
      <c r="D1058" t="s">
        <v>1421</v>
      </c>
      <c r="E1058" t="s">
        <v>87</v>
      </c>
      <c r="F1058" t="s">
        <v>88</v>
      </c>
      <c r="G1058" t="s">
        <v>89</v>
      </c>
      <c r="H1058" t="s">
        <v>184</v>
      </c>
    </row>
    <row r="1059" spans="1:9" x14ac:dyDescent="0.25">
      <c r="B1059" t="s">
        <v>1422</v>
      </c>
      <c r="C1059" s="12">
        <v>1781890848804480</v>
      </c>
      <c r="D1059" t="s">
        <v>1421</v>
      </c>
      <c r="E1059" t="s">
        <v>108</v>
      </c>
      <c r="F1059" t="s">
        <v>166</v>
      </c>
      <c r="G1059" t="s">
        <v>167</v>
      </c>
      <c r="H1059" t="s">
        <v>711</v>
      </c>
    </row>
    <row r="1060" spans="1:9" x14ac:dyDescent="0.25">
      <c r="B1060" t="s">
        <v>1423</v>
      </c>
      <c r="C1060" s="12">
        <v>1781890906553850</v>
      </c>
      <c r="D1060" t="s">
        <v>1421</v>
      </c>
      <c r="E1060" s="12">
        <v>57750</v>
      </c>
      <c r="F1060" t="s">
        <v>98</v>
      </c>
      <c r="G1060" t="s">
        <v>99</v>
      </c>
      <c r="H1060" t="s">
        <v>100</v>
      </c>
      <c r="I1060" t="s">
        <v>101</v>
      </c>
    </row>
    <row r="1061" spans="1:9" x14ac:dyDescent="0.25">
      <c r="B1061" t="s">
        <v>1424</v>
      </c>
      <c r="C1061" s="12">
        <v>1781890950558770</v>
      </c>
      <c r="D1061" t="s">
        <v>1421</v>
      </c>
      <c r="E1061" s="12">
        <v>101755</v>
      </c>
      <c r="F1061" t="s">
        <v>166</v>
      </c>
      <c r="G1061" t="s">
        <v>167</v>
      </c>
      <c r="H1061" t="s">
        <v>1425</v>
      </c>
    </row>
    <row r="1062" spans="1:9" x14ac:dyDescent="0.25">
      <c r="A1062" s="7">
        <v>31</v>
      </c>
      <c r="B1062" s="7" t="s">
        <v>1426</v>
      </c>
      <c r="C1062" s="8">
        <v>1781891041111670</v>
      </c>
      <c r="D1062" s="7" t="s">
        <v>1421</v>
      </c>
      <c r="E1062" s="8">
        <v>192308</v>
      </c>
      <c r="F1062" s="7" t="s">
        <v>166</v>
      </c>
      <c r="G1062" s="7" t="s">
        <v>167</v>
      </c>
      <c r="H1062" s="7" t="s">
        <v>711</v>
      </c>
      <c r="I1062" s="7"/>
    </row>
    <row r="1063" spans="1:9" x14ac:dyDescent="0.25">
      <c r="A1063" s="7">
        <v>31</v>
      </c>
      <c r="B1063" s="7" t="s">
        <v>1427</v>
      </c>
      <c r="C1063" s="8">
        <v>1781891073675140</v>
      </c>
      <c r="D1063" s="7" t="s">
        <v>1421</v>
      </c>
      <c r="E1063" s="8">
        <v>224871</v>
      </c>
      <c r="F1063" s="7" t="s">
        <v>93</v>
      </c>
      <c r="G1063" s="7" t="s">
        <v>94</v>
      </c>
      <c r="H1063" s="7" t="s">
        <v>118</v>
      </c>
      <c r="I1063" s="7" t="s">
        <v>118</v>
      </c>
    </row>
    <row r="1064" spans="1:9" x14ac:dyDescent="0.25">
      <c r="A1064" s="7">
        <v>31</v>
      </c>
      <c r="B1064" s="7" t="s">
        <v>1428</v>
      </c>
      <c r="C1064" s="8">
        <v>1781891073677480</v>
      </c>
      <c r="D1064" s="7" t="s">
        <v>1421</v>
      </c>
      <c r="E1064" s="8">
        <v>224874</v>
      </c>
      <c r="F1064" s="7" t="s">
        <v>98</v>
      </c>
      <c r="G1064" s="7" t="s">
        <v>99</v>
      </c>
      <c r="H1064" s="7" t="s">
        <v>120</v>
      </c>
      <c r="I1064" s="7" t="s">
        <v>121</v>
      </c>
    </row>
    <row r="1065" spans="1:9" x14ac:dyDescent="0.25">
      <c r="A1065" s="7">
        <v>31</v>
      </c>
      <c r="B1065" s="7" t="s">
        <v>1429</v>
      </c>
      <c r="C1065" s="8">
        <v>1781891073677680</v>
      </c>
      <c r="D1065" s="7" t="s">
        <v>1421</v>
      </c>
      <c r="E1065" s="8">
        <v>224874</v>
      </c>
      <c r="F1065" s="7" t="s">
        <v>123</v>
      </c>
      <c r="G1065" s="7" t="s">
        <v>124</v>
      </c>
      <c r="H1065" s="7" t="s">
        <v>120</v>
      </c>
      <c r="I1065" s="7" t="s">
        <v>125</v>
      </c>
    </row>
    <row r="1066" spans="1:9" x14ac:dyDescent="0.25">
      <c r="A1066" s="7">
        <v>31</v>
      </c>
      <c r="B1066" s="7" t="s">
        <v>1430</v>
      </c>
      <c r="C1066" s="8">
        <v>1781891084516030</v>
      </c>
      <c r="D1066" s="7" t="s">
        <v>1421</v>
      </c>
      <c r="E1066" s="8">
        <v>235712</v>
      </c>
      <c r="F1066" s="7" t="s">
        <v>123</v>
      </c>
      <c r="G1066" s="7" t="s">
        <v>124</v>
      </c>
      <c r="H1066" s="7" t="s">
        <v>127</v>
      </c>
      <c r="I1066" s="7" t="s">
        <v>1431</v>
      </c>
    </row>
    <row r="1067" spans="1:9" x14ac:dyDescent="0.25">
      <c r="A1067" s="7">
        <v>31</v>
      </c>
      <c r="B1067" s="7" t="s">
        <v>1432</v>
      </c>
      <c r="C1067" s="8">
        <v>1781891084516810</v>
      </c>
      <c r="D1067" s="7" t="s">
        <v>1421</v>
      </c>
      <c r="E1067" s="8">
        <v>235713</v>
      </c>
      <c r="F1067" s="7" t="s">
        <v>98</v>
      </c>
      <c r="G1067" s="7" t="s">
        <v>99</v>
      </c>
      <c r="H1067" s="7" t="s">
        <v>127</v>
      </c>
      <c r="I1067" s="7" t="s">
        <v>1433</v>
      </c>
    </row>
    <row r="1068" spans="1:9" x14ac:dyDescent="0.25">
      <c r="A1068" s="7">
        <v>31</v>
      </c>
      <c r="B1068" s="7" t="s">
        <v>1434</v>
      </c>
      <c r="C1068" s="8">
        <v>1781891086255290</v>
      </c>
      <c r="D1068" s="7" t="s">
        <v>1421</v>
      </c>
      <c r="E1068" s="8">
        <v>237451</v>
      </c>
      <c r="F1068" s="7" t="s">
        <v>132</v>
      </c>
      <c r="G1068" s="7" t="s">
        <v>133</v>
      </c>
      <c r="H1068" s="7" t="s">
        <v>134</v>
      </c>
      <c r="I1068" s="7" t="s">
        <v>135</v>
      </c>
    </row>
    <row r="1069" spans="1:9" x14ac:dyDescent="0.25">
      <c r="A1069" s="7">
        <v>31</v>
      </c>
      <c r="B1069" s="7" t="s">
        <v>1435</v>
      </c>
      <c r="C1069" s="8">
        <v>1781891089754890</v>
      </c>
      <c r="D1069" s="7" t="s">
        <v>1421</v>
      </c>
      <c r="E1069" s="8">
        <v>240951</v>
      </c>
      <c r="F1069" s="7" t="s">
        <v>98</v>
      </c>
      <c r="G1069" s="7" t="s">
        <v>99</v>
      </c>
      <c r="H1069" s="7" t="s">
        <v>137</v>
      </c>
      <c r="I1069" s="7" t="s">
        <v>138</v>
      </c>
    </row>
    <row r="1070" spans="1:9" x14ac:dyDescent="0.25">
      <c r="A1070" s="7">
        <v>31</v>
      </c>
      <c r="B1070" s="7" t="s">
        <v>1436</v>
      </c>
      <c r="C1070" s="8">
        <v>1781891100335120</v>
      </c>
      <c r="D1070" s="7" t="s">
        <v>1421</v>
      </c>
      <c r="E1070" s="8">
        <v>251531</v>
      </c>
      <c r="F1070" s="7" t="s">
        <v>166</v>
      </c>
      <c r="G1070" s="7" t="s">
        <v>167</v>
      </c>
      <c r="H1070" s="7" t="s">
        <v>213</v>
      </c>
      <c r="I1070" s="7"/>
    </row>
    <row r="1071" spans="1:9" x14ac:dyDescent="0.25">
      <c r="A1071" s="7">
        <v>31</v>
      </c>
      <c r="B1071" s="7" t="s">
        <v>1437</v>
      </c>
      <c r="C1071" s="8">
        <v>1781891102506380</v>
      </c>
      <c r="D1071" s="7" t="s">
        <v>1421</v>
      </c>
      <c r="E1071" s="8">
        <v>253702</v>
      </c>
      <c r="F1071" s="7" t="s">
        <v>98</v>
      </c>
      <c r="G1071" s="7" t="s">
        <v>99</v>
      </c>
      <c r="H1071" s="7" t="s">
        <v>120</v>
      </c>
      <c r="I1071" s="7" t="s">
        <v>142</v>
      </c>
    </row>
    <row r="1072" spans="1:9" x14ac:dyDescent="0.25">
      <c r="A1072" s="7">
        <v>31</v>
      </c>
      <c r="B1072" s="7" t="s">
        <v>1438</v>
      </c>
      <c r="C1072" s="8">
        <v>1781891102506590</v>
      </c>
      <c r="D1072" s="7" t="s">
        <v>1421</v>
      </c>
      <c r="E1072" s="8">
        <v>253703</v>
      </c>
      <c r="F1072" s="7" t="s">
        <v>123</v>
      </c>
      <c r="G1072" s="7" t="s">
        <v>124</v>
      </c>
      <c r="H1072" s="7" t="s">
        <v>120</v>
      </c>
      <c r="I1072" s="7" t="s">
        <v>144</v>
      </c>
    </row>
    <row r="1073" spans="1:9" x14ac:dyDescent="0.25">
      <c r="A1073" s="7">
        <v>31</v>
      </c>
      <c r="B1073" s="7" t="s">
        <v>1439</v>
      </c>
      <c r="C1073" s="8">
        <v>1781891111855600</v>
      </c>
      <c r="D1073" s="7" t="s">
        <v>1421</v>
      </c>
      <c r="E1073" s="8">
        <v>263052</v>
      </c>
      <c r="F1073" s="7" t="s">
        <v>123</v>
      </c>
      <c r="G1073" s="7" t="s">
        <v>124</v>
      </c>
      <c r="H1073" s="7" t="s">
        <v>148</v>
      </c>
      <c r="I1073" s="7" t="s">
        <v>149</v>
      </c>
    </row>
    <row r="1074" spans="1:9" x14ac:dyDescent="0.25">
      <c r="A1074" s="7">
        <v>31</v>
      </c>
      <c r="B1074" s="7" t="s">
        <v>1440</v>
      </c>
      <c r="C1074" s="8">
        <v>1781891111857460</v>
      </c>
      <c r="D1074" s="7" t="s">
        <v>1421</v>
      </c>
      <c r="E1074" s="8">
        <v>263054</v>
      </c>
      <c r="F1074" s="7" t="s">
        <v>98</v>
      </c>
      <c r="G1074" s="7" t="s">
        <v>99</v>
      </c>
      <c r="H1074" s="7" t="s">
        <v>148</v>
      </c>
      <c r="I1074" s="7" t="s">
        <v>151</v>
      </c>
    </row>
    <row r="1075" spans="1:9" x14ac:dyDescent="0.25">
      <c r="A1075" s="7">
        <v>31</v>
      </c>
      <c r="B1075" s="7" t="s">
        <v>1441</v>
      </c>
      <c r="C1075" s="8">
        <v>1781891118229100</v>
      </c>
      <c r="D1075" s="7" t="s">
        <v>1421</v>
      </c>
      <c r="E1075" s="8">
        <v>269425</v>
      </c>
      <c r="F1075" s="7" t="s">
        <v>93</v>
      </c>
      <c r="G1075" s="7" t="s">
        <v>94</v>
      </c>
      <c r="H1075" s="7" t="s">
        <v>153</v>
      </c>
      <c r="I1075" s="7" t="s">
        <v>153</v>
      </c>
    </row>
    <row r="1076" spans="1:9" x14ac:dyDescent="0.25">
      <c r="A1076" s="7">
        <v>31</v>
      </c>
      <c r="B1076" s="7" t="s">
        <v>1442</v>
      </c>
      <c r="C1076" s="8">
        <v>1781891118231270</v>
      </c>
      <c r="D1076" s="7" t="s">
        <v>1421</v>
      </c>
      <c r="E1076" s="8">
        <v>269427</v>
      </c>
      <c r="F1076" s="7" t="s">
        <v>98</v>
      </c>
      <c r="G1076" s="7" t="s">
        <v>99</v>
      </c>
      <c r="H1076" s="7" t="s">
        <v>120</v>
      </c>
      <c r="I1076" s="7" t="s">
        <v>155</v>
      </c>
    </row>
    <row r="1077" spans="1:9" x14ac:dyDescent="0.25">
      <c r="A1077" s="7">
        <v>31</v>
      </c>
      <c r="B1077" s="7" t="s">
        <v>1443</v>
      </c>
      <c r="C1077" s="8">
        <v>1781891118231420</v>
      </c>
      <c r="D1077" s="7" t="s">
        <v>1421</v>
      </c>
      <c r="E1077" s="8">
        <v>269428</v>
      </c>
      <c r="F1077" s="7" t="s">
        <v>123</v>
      </c>
      <c r="G1077" s="7" t="s">
        <v>124</v>
      </c>
      <c r="H1077" s="7" t="s">
        <v>120</v>
      </c>
      <c r="I1077" s="7" t="s">
        <v>157</v>
      </c>
    </row>
    <row r="1078" spans="1:9" x14ac:dyDescent="0.25">
      <c r="A1078" s="7">
        <v>31</v>
      </c>
      <c r="B1078" s="7" t="s">
        <v>1444</v>
      </c>
      <c r="C1078" s="8">
        <v>1781891119820710</v>
      </c>
      <c r="D1078" s="7" t="s">
        <v>1421</v>
      </c>
      <c r="E1078" s="8">
        <v>271017</v>
      </c>
      <c r="F1078" s="7" t="s">
        <v>123</v>
      </c>
      <c r="G1078" s="7" t="s">
        <v>124</v>
      </c>
      <c r="H1078" s="7" t="s">
        <v>120</v>
      </c>
      <c r="I1078" s="7" t="s">
        <v>159</v>
      </c>
    </row>
    <row r="1079" spans="1:9" x14ac:dyDescent="0.25">
      <c r="A1079" s="7">
        <v>31</v>
      </c>
      <c r="B1079" s="7" t="s">
        <v>1445</v>
      </c>
      <c r="C1079" s="8">
        <v>1781891120519270</v>
      </c>
      <c r="D1079" s="7" t="s">
        <v>1421</v>
      </c>
      <c r="E1079" s="8">
        <v>271715</v>
      </c>
      <c r="F1079" s="7" t="s">
        <v>166</v>
      </c>
      <c r="G1079" s="7" t="s">
        <v>167</v>
      </c>
      <c r="H1079" s="7" t="s">
        <v>1107</v>
      </c>
      <c r="I1079" s="7"/>
    </row>
    <row r="1080" spans="1:9" x14ac:dyDescent="0.25">
      <c r="A1080" s="7">
        <v>31</v>
      </c>
      <c r="B1080" s="7" t="s">
        <v>1446</v>
      </c>
      <c r="C1080" s="8">
        <v>1781891138548360</v>
      </c>
      <c r="D1080" s="7" t="s">
        <v>1421</v>
      </c>
      <c r="E1080" s="8">
        <v>289744</v>
      </c>
      <c r="F1080" s="7" t="s">
        <v>123</v>
      </c>
      <c r="G1080" s="7" t="s">
        <v>124</v>
      </c>
      <c r="H1080" s="7" t="s">
        <v>161</v>
      </c>
      <c r="I1080" s="7" t="s">
        <v>1447</v>
      </c>
    </row>
    <row r="1081" spans="1:9" x14ac:dyDescent="0.25">
      <c r="A1081" s="7">
        <v>31</v>
      </c>
      <c r="B1081" s="7" t="s">
        <v>1448</v>
      </c>
      <c r="C1081" s="8">
        <v>1781891138548890</v>
      </c>
      <c r="D1081" s="7" t="s">
        <v>1421</v>
      </c>
      <c r="E1081" s="8">
        <v>289745</v>
      </c>
      <c r="F1081" s="7" t="s">
        <v>98</v>
      </c>
      <c r="G1081" s="7" t="s">
        <v>99</v>
      </c>
      <c r="H1081" s="7" t="s">
        <v>161</v>
      </c>
      <c r="I1081" s="7" t="s">
        <v>1449</v>
      </c>
    </row>
    <row r="1082" spans="1:9" x14ac:dyDescent="0.25">
      <c r="A1082" s="7">
        <v>31</v>
      </c>
      <c r="B1082" s="7" t="s">
        <v>1450</v>
      </c>
      <c r="C1082" s="8">
        <v>1781891187608000</v>
      </c>
      <c r="D1082" s="7" t="s">
        <v>1421</v>
      </c>
      <c r="E1082" s="8">
        <v>338804</v>
      </c>
      <c r="F1082" s="7" t="s">
        <v>166</v>
      </c>
      <c r="G1082" s="7" t="s">
        <v>167</v>
      </c>
      <c r="H1082" s="7" t="s">
        <v>893</v>
      </c>
      <c r="I1082" s="7"/>
    </row>
    <row r="1083" spans="1:9" x14ac:dyDescent="0.25">
      <c r="A1083" s="7">
        <v>31</v>
      </c>
      <c r="B1083" s="7" t="s">
        <v>1451</v>
      </c>
      <c r="C1083" s="8">
        <v>1781891202212360</v>
      </c>
      <c r="D1083" s="7" t="s">
        <v>1421</v>
      </c>
      <c r="E1083" s="8">
        <v>353408</v>
      </c>
      <c r="F1083" s="7" t="s">
        <v>98</v>
      </c>
      <c r="G1083" s="7" t="s">
        <v>99</v>
      </c>
      <c r="H1083" s="7" t="s">
        <v>120</v>
      </c>
      <c r="I1083" s="7" t="s">
        <v>155</v>
      </c>
    </row>
    <row r="1084" spans="1:9" x14ac:dyDescent="0.25">
      <c r="A1084" s="7">
        <v>31</v>
      </c>
      <c r="B1084" s="7" t="s">
        <v>1452</v>
      </c>
      <c r="C1084" s="8">
        <v>1781891202219400</v>
      </c>
      <c r="D1084" s="7" t="s">
        <v>1421</v>
      </c>
      <c r="E1084" s="8">
        <v>353416</v>
      </c>
      <c r="F1084" s="7" t="s">
        <v>123</v>
      </c>
      <c r="G1084" s="7" t="s">
        <v>124</v>
      </c>
      <c r="H1084" s="7" t="s">
        <v>120</v>
      </c>
      <c r="I1084" s="7" t="s">
        <v>157</v>
      </c>
    </row>
    <row r="1085" spans="1:9" x14ac:dyDescent="0.25">
      <c r="A1085" s="7">
        <v>31</v>
      </c>
      <c r="B1085" s="7" t="s">
        <v>1453</v>
      </c>
      <c r="C1085" s="8">
        <v>1781891203794440</v>
      </c>
      <c r="D1085" s="7" t="s">
        <v>1421</v>
      </c>
      <c r="E1085" s="8">
        <v>354991</v>
      </c>
      <c r="F1085" s="7" t="s">
        <v>123</v>
      </c>
      <c r="G1085" s="7" t="s">
        <v>124</v>
      </c>
      <c r="H1085" s="7" t="s">
        <v>120</v>
      </c>
      <c r="I1085" s="7" t="s">
        <v>159</v>
      </c>
    </row>
    <row r="1086" spans="1:9" x14ac:dyDescent="0.25">
      <c r="A1086" s="7">
        <v>31</v>
      </c>
      <c r="B1086" s="7" t="s">
        <v>1454</v>
      </c>
      <c r="C1086" s="8">
        <v>1781891204483900</v>
      </c>
      <c r="D1086" s="7" t="s">
        <v>1421</v>
      </c>
      <c r="E1086" s="8">
        <v>355680</v>
      </c>
      <c r="F1086" s="7" t="s">
        <v>98</v>
      </c>
      <c r="G1086" s="7" t="s">
        <v>99</v>
      </c>
      <c r="H1086" s="7" t="s">
        <v>161</v>
      </c>
      <c r="I1086" s="7" t="s">
        <v>1455</v>
      </c>
    </row>
    <row r="1087" spans="1:9" x14ac:dyDescent="0.25">
      <c r="A1087" s="7">
        <v>31</v>
      </c>
      <c r="B1087" s="7" t="s">
        <v>1456</v>
      </c>
      <c r="C1087" s="8">
        <v>1781891204484630</v>
      </c>
      <c r="D1087" s="7" t="s">
        <v>1421</v>
      </c>
      <c r="E1087" s="8">
        <v>355681</v>
      </c>
      <c r="F1087" s="7" t="s">
        <v>123</v>
      </c>
      <c r="G1087" s="7" t="s">
        <v>124</v>
      </c>
      <c r="H1087" s="7" t="s">
        <v>161</v>
      </c>
      <c r="I1087" s="7" t="s">
        <v>1457</v>
      </c>
    </row>
    <row r="1088" spans="1:9" x14ac:dyDescent="0.25">
      <c r="A1088" s="7">
        <v>31</v>
      </c>
      <c r="B1088" s="7" t="s">
        <v>1458</v>
      </c>
      <c r="C1088" s="8">
        <v>1781891229465000</v>
      </c>
      <c r="D1088" s="7" t="s">
        <v>1421</v>
      </c>
      <c r="E1088" s="8">
        <v>380661</v>
      </c>
      <c r="F1088" s="7" t="s">
        <v>98</v>
      </c>
      <c r="G1088" s="7" t="s">
        <v>99</v>
      </c>
      <c r="H1088" s="7" t="s">
        <v>172</v>
      </c>
      <c r="I1088" s="7" t="s">
        <v>173</v>
      </c>
    </row>
    <row r="1089" spans="1:9" x14ac:dyDescent="0.25">
      <c r="A1089" s="7">
        <v>31</v>
      </c>
      <c r="B1089" s="7" t="s">
        <v>1459</v>
      </c>
      <c r="C1089" s="8">
        <v>1781891229674390</v>
      </c>
      <c r="D1089" s="7" t="s">
        <v>1421</v>
      </c>
      <c r="E1089" s="8">
        <v>380871</v>
      </c>
      <c r="F1089" s="7" t="s">
        <v>93</v>
      </c>
      <c r="G1089" s="7" t="s">
        <v>94</v>
      </c>
      <c r="H1089" s="7" t="s">
        <v>170</v>
      </c>
      <c r="I1089" s="7" t="s">
        <v>170</v>
      </c>
    </row>
    <row r="1090" spans="1:9" x14ac:dyDescent="0.25">
      <c r="A1090" s="7">
        <v>31</v>
      </c>
      <c r="B1090" s="7" t="s">
        <v>1460</v>
      </c>
      <c r="C1090" s="8">
        <v>1781891250738630</v>
      </c>
      <c r="D1090" s="7" t="s">
        <v>1421</v>
      </c>
      <c r="E1090" s="8">
        <v>401935</v>
      </c>
      <c r="F1090" s="7" t="s">
        <v>93</v>
      </c>
      <c r="G1090" s="7" t="s">
        <v>94</v>
      </c>
      <c r="H1090" s="7" t="s">
        <v>175</v>
      </c>
      <c r="I1090" s="7" t="s">
        <v>175</v>
      </c>
    </row>
    <row r="1091" spans="1:9" x14ac:dyDescent="0.25">
      <c r="A1091" s="7">
        <v>31</v>
      </c>
      <c r="B1091" s="7" t="s">
        <v>1461</v>
      </c>
      <c r="C1091" s="8">
        <v>1781891250818990</v>
      </c>
      <c r="D1091" s="7" t="s">
        <v>1421</v>
      </c>
      <c r="E1091" s="8">
        <v>402015</v>
      </c>
      <c r="F1091" s="7" t="s">
        <v>98</v>
      </c>
      <c r="G1091" s="7" t="s">
        <v>99</v>
      </c>
      <c r="H1091" s="7" t="s">
        <v>120</v>
      </c>
      <c r="I1091" s="7" t="s">
        <v>177</v>
      </c>
    </row>
    <row r="1092" spans="1:9" x14ac:dyDescent="0.25">
      <c r="A1092" s="7">
        <v>31</v>
      </c>
      <c r="B1092" s="7" t="s">
        <v>1462</v>
      </c>
      <c r="C1092" s="8">
        <v>1781891257744780</v>
      </c>
      <c r="D1092" s="7" t="s">
        <v>1421</v>
      </c>
      <c r="E1092" s="8">
        <v>408941</v>
      </c>
      <c r="F1092" s="7" t="s">
        <v>98</v>
      </c>
      <c r="G1092" s="7" t="s">
        <v>99</v>
      </c>
      <c r="H1092" s="7" t="s">
        <v>179</v>
      </c>
      <c r="I1092" s="7" t="s">
        <v>180</v>
      </c>
    </row>
    <row r="1093" spans="1:9" x14ac:dyDescent="0.25">
      <c r="A1093" s="7">
        <v>31</v>
      </c>
      <c r="B1093" s="7" t="s">
        <v>1463</v>
      </c>
      <c r="C1093" s="8">
        <v>1781891257744900</v>
      </c>
      <c r="D1093" s="7" t="s">
        <v>1421</v>
      </c>
      <c r="E1093" s="8">
        <v>408941</v>
      </c>
      <c r="F1093" s="7" t="s">
        <v>103</v>
      </c>
      <c r="G1093" s="7" t="s">
        <v>89</v>
      </c>
      <c r="H1093" s="7" t="s">
        <v>179</v>
      </c>
      <c r="I1093" s="7"/>
    </row>
    <row r="1094" spans="1:9" x14ac:dyDescent="0.25">
      <c r="B1094" t="s">
        <v>1464</v>
      </c>
      <c r="C1094" s="12">
        <v>1781891481553230</v>
      </c>
      <c r="D1094" t="s">
        <v>1465</v>
      </c>
      <c r="E1094" t="s">
        <v>87</v>
      </c>
      <c r="F1094" t="s">
        <v>88</v>
      </c>
      <c r="G1094" t="s">
        <v>89</v>
      </c>
      <c r="H1094" t="s">
        <v>184</v>
      </c>
    </row>
    <row r="1095" spans="1:9" x14ac:dyDescent="0.25">
      <c r="B1095" t="s">
        <v>1466</v>
      </c>
      <c r="C1095" s="12">
        <v>1781891481553760</v>
      </c>
      <c r="D1095" t="s">
        <v>1465</v>
      </c>
      <c r="E1095" t="s">
        <v>108</v>
      </c>
      <c r="F1095" t="s">
        <v>166</v>
      </c>
      <c r="G1095" t="s">
        <v>167</v>
      </c>
      <c r="H1095" t="s">
        <v>711</v>
      </c>
    </row>
    <row r="1096" spans="1:9" x14ac:dyDescent="0.25">
      <c r="A1096" s="7">
        <v>32</v>
      </c>
      <c r="B1096" s="7" t="s">
        <v>1467</v>
      </c>
      <c r="C1096" s="8">
        <v>1781891503550860</v>
      </c>
      <c r="D1096" s="7" t="s">
        <v>1465</v>
      </c>
      <c r="E1096" s="8">
        <v>21998</v>
      </c>
      <c r="F1096" s="7" t="s">
        <v>98</v>
      </c>
      <c r="G1096" s="7" t="s">
        <v>99</v>
      </c>
      <c r="H1096" s="7" t="s">
        <v>100</v>
      </c>
      <c r="I1096" s="7" t="s">
        <v>101</v>
      </c>
    </row>
    <row r="1097" spans="1:9" x14ac:dyDescent="0.25">
      <c r="A1097" s="7">
        <v>32</v>
      </c>
      <c r="B1097" s="7" t="s">
        <v>1468</v>
      </c>
      <c r="C1097" s="8">
        <v>1781891523246470</v>
      </c>
      <c r="D1097" s="7" t="s">
        <v>1465</v>
      </c>
      <c r="E1097" s="8">
        <v>41693</v>
      </c>
      <c r="F1097" s="7" t="s">
        <v>98</v>
      </c>
      <c r="G1097" s="7" t="s">
        <v>99</v>
      </c>
      <c r="H1097" s="7" t="s">
        <v>120</v>
      </c>
      <c r="I1097" s="7" t="s">
        <v>121</v>
      </c>
    </row>
    <row r="1098" spans="1:9" x14ac:dyDescent="0.25">
      <c r="A1098" s="7">
        <v>32</v>
      </c>
      <c r="B1098" s="7" t="s">
        <v>1469</v>
      </c>
      <c r="C1098" s="8">
        <v>1781891523246890</v>
      </c>
      <c r="D1098" s="7" t="s">
        <v>1465</v>
      </c>
      <c r="E1098" s="8">
        <v>41694</v>
      </c>
      <c r="F1098" s="7" t="s">
        <v>123</v>
      </c>
      <c r="G1098" s="7" t="s">
        <v>124</v>
      </c>
      <c r="H1098" s="7" t="s">
        <v>120</v>
      </c>
      <c r="I1098" s="7" t="s">
        <v>125</v>
      </c>
    </row>
    <row r="1099" spans="1:9" x14ac:dyDescent="0.25">
      <c r="A1099" s="7">
        <v>32</v>
      </c>
      <c r="B1099" s="7" t="s">
        <v>1470</v>
      </c>
      <c r="C1099" s="8">
        <v>1781891533457000</v>
      </c>
      <c r="D1099" s="7" t="s">
        <v>1465</v>
      </c>
      <c r="E1099" s="8">
        <v>51904</v>
      </c>
      <c r="F1099" s="7" t="s">
        <v>98</v>
      </c>
      <c r="G1099" s="7" t="s">
        <v>99</v>
      </c>
      <c r="H1099" s="7" t="s">
        <v>127</v>
      </c>
      <c r="I1099" s="7" t="s">
        <v>1471</v>
      </c>
    </row>
    <row r="1100" spans="1:9" x14ac:dyDescent="0.25">
      <c r="A1100" s="7">
        <v>32</v>
      </c>
      <c r="B1100" s="7" t="s">
        <v>1472</v>
      </c>
      <c r="C1100" s="8">
        <v>1781891533457190</v>
      </c>
      <c r="D1100" s="7" t="s">
        <v>1465</v>
      </c>
      <c r="E1100" s="8">
        <v>51904</v>
      </c>
      <c r="F1100" s="7" t="s">
        <v>123</v>
      </c>
      <c r="G1100" s="7" t="s">
        <v>124</v>
      </c>
      <c r="H1100" s="7" t="s">
        <v>127</v>
      </c>
      <c r="I1100" s="7" t="s">
        <v>1473</v>
      </c>
    </row>
    <row r="1101" spans="1:9" x14ac:dyDescent="0.25">
      <c r="A1101" s="7">
        <v>32</v>
      </c>
      <c r="B1101" s="7" t="s">
        <v>1474</v>
      </c>
      <c r="C1101" s="8">
        <v>1781891535422170</v>
      </c>
      <c r="D1101" s="7" t="s">
        <v>1465</v>
      </c>
      <c r="E1101" s="8">
        <v>53869</v>
      </c>
      <c r="F1101" s="7" t="s">
        <v>132</v>
      </c>
      <c r="G1101" s="7" t="s">
        <v>133</v>
      </c>
      <c r="H1101" s="7" t="s">
        <v>309</v>
      </c>
      <c r="I1101" s="7" t="s">
        <v>310</v>
      </c>
    </row>
    <row r="1102" spans="1:9" x14ac:dyDescent="0.25">
      <c r="A1102" s="7">
        <v>32</v>
      </c>
      <c r="B1102" s="7" t="s">
        <v>1475</v>
      </c>
      <c r="C1102" s="8">
        <v>1781891538676900</v>
      </c>
      <c r="D1102" s="7" t="s">
        <v>1465</v>
      </c>
      <c r="E1102" s="8">
        <v>57124</v>
      </c>
      <c r="F1102" s="7" t="s">
        <v>93</v>
      </c>
      <c r="G1102" s="7" t="s">
        <v>94</v>
      </c>
      <c r="H1102" s="7" t="s">
        <v>140</v>
      </c>
      <c r="I1102" s="7" t="s">
        <v>140</v>
      </c>
    </row>
    <row r="1103" spans="1:9" x14ac:dyDescent="0.25">
      <c r="A1103" s="7">
        <v>32</v>
      </c>
      <c r="B1103" s="7" t="s">
        <v>1476</v>
      </c>
      <c r="C1103" s="8">
        <v>1781891538677150</v>
      </c>
      <c r="D1103" s="7" t="s">
        <v>1465</v>
      </c>
      <c r="E1103" s="8">
        <v>57124</v>
      </c>
      <c r="F1103" s="7" t="s">
        <v>98</v>
      </c>
      <c r="G1103" s="7" t="s">
        <v>99</v>
      </c>
      <c r="H1103" s="7" t="s">
        <v>137</v>
      </c>
      <c r="I1103" s="7" t="s">
        <v>313</v>
      </c>
    </row>
    <row r="1104" spans="1:9" x14ac:dyDescent="0.25">
      <c r="A1104" s="7">
        <v>32</v>
      </c>
      <c r="B1104" s="7" t="s">
        <v>1477</v>
      </c>
      <c r="C1104" s="8">
        <v>1781891550655840</v>
      </c>
      <c r="D1104" s="7" t="s">
        <v>1465</v>
      </c>
      <c r="E1104" s="8">
        <v>69103</v>
      </c>
      <c r="F1104" s="7" t="s">
        <v>166</v>
      </c>
      <c r="G1104" s="7" t="s">
        <v>167</v>
      </c>
      <c r="H1104" s="7" t="s">
        <v>213</v>
      </c>
      <c r="I1104" s="7"/>
    </row>
    <row r="1105" spans="1:9" x14ac:dyDescent="0.25">
      <c r="A1105" s="7">
        <v>32</v>
      </c>
      <c r="B1105" s="7" t="s">
        <v>1478</v>
      </c>
      <c r="C1105" s="8">
        <v>1781891552753970</v>
      </c>
      <c r="D1105" s="7" t="s">
        <v>1465</v>
      </c>
      <c r="E1105" s="8">
        <v>71201</v>
      </c>
      <c r="F1105" s="7" t="s">
        <v>123</v>
      </c>
      <c r="G1105" s="7" t="s">
        <v>124</v>
      </c>
      <c r="H1105" s="7" t="s">
        <v>120</v>
      </c>
      <c r="I1105" s="7" t="s">
        <v>144</v>
      </c>
    </row>
    <row r="1106" spans="1:9" x14ac:dyDescent="0.25">
      <c r="A1106" s="7">
        <v>32</v>
      </c>
      <c r="B1106" s="7" t="s">
        <v>1479</v>
      </c>
      <c r="C1106" s="8">
        <v>1781891552754510</v>
      </c>
      <c r="D1106" s="7" t="s">
        <v>1465</v>
      </c>
      <c r="E1106" s="8">
        <v>71201</v>
      </c>
      <c r="F1106" s="7" t="s">
        <v>98</v>
      </c>
      <c r="G1106" s="7" t="s">
        <v>99</v>
      </c>
      <c r="H1106" s="7" t="s">
        <v>120</v>
      </c>
      <c r="I1106" s="7" t="s">
        <v>142</v>
      </c>
    </row>
    <row r="1107" spans="1:9" x14ac:dyDescent="0.25">
      <c r="A1107" s="7">
        <v>32</v>
      </c>
      <c r="B1107" s="7" t="s">
        <v>1480</v>
      </c>
      <c r="C1107" s="8">
        <v>1781891562201750</v>
      </c>
      <c r="D1107" s="7" t="s">
        <v>1465</v>
      </c>
      <c r="E1107" s="8">
        <v>80649</v>
      </c>
      <c r="F1107" s="7" t="s">
        <v>98</v>
      </c>
      <c r="G1107" s="7" t="s">
        <v>99</v>
      </c>
      <c r="H1107" s="7" t="s">
        <v>148</v>
      </c>
      <c r="I1107" s="7" t="s">
        <v>151</v>
      </c>
    </row>
    <row r="1108" spans="1:9" x14ac:dyDescent="0.25">
      <c r="A1108" s="7">
        <v>32</v>
      </c>
      <c r="B1108" s="7" t="s">
        <v>1481</v>
      </c>
      <c r="C1108" s="8">
        <v>1781891562202050</v>
      </c>
      <c r="D1108" s="7" t="s">
        <v>1465</v>
      </c>
      <c r="E1108" s="8">
        <v>80649</v>
      </c>
      <c r="F1108" s="7" t="s">
        <v>123</v>
      </c>
      <c r="G1108" s="7" t="s">
        <v>124</v>
      </c>
      <c r="H1108" s="7" t="s">
        <v>148</v>
      </c>
      <c r="I1108" s="7" t="s">
        <v>149</v>
      </c>
    </row>
    <row r="1109" spans="1:9" x14ac:dyDescent="0.25">
      <c r="A1109" s="7">
        <v>32</v>
      </c>
      <c r="B1109" s="7" t="s">
        <v>1482</v>
      </c>
      <c r="C1109" s="8">
        <v>1781891566556250</v>
      </c>
      <c r="D1109" s="7" t="s">
        <v>1465</v>
      </c>
      <c r="E1109" s="8">
        <v>85003</v>
      </c>
      <c r="F1109" s="7" t="s">
        <v>123</v>
      </c>
      <c r="G1109" s="7" t="s">
        <v>124</v>
      </c>
      <c r="H1109" s="7" t="s">
        <v>120</v>
      </c>
      <c r="I1109" s="7" t="s">
        <v>157</v>
      </c>
    </row>
    <row r="1110" spans="1:9" x14ac:dyDescent="0.25">
      <c r="A1110" s="7">
        <v>32</v>
      </c>
      <c r="B1110" s="7" t="s">
        <v>1483</v>
      </c>
      <c r="C1110" s="8">
        <v>1781891566559730</v>
      </c>
      <c r="D1110" s="7" t="s">
        <v>1465</v>
      </c>
      <c r="E1110" s="8">
        <v>85007</v>
      </c>
      <c r="F1110" s="7" t="s">
        <v>98</v>
      </c>
      <c r="G1110" s="7" t="s">
        <v>99</v>
      </c>
      <c r="H1110" s="7" t="s">
        <v>120</v>
      </c>
      <c r="I1110" s="7" t="s">
        <v>155</v>
      </c>
    </row>
    <row r="1111" spans="1:9" x14ac:dyDescent="0.25">
      <c r="A1111" s="7">
        <v>32</v>
      </c>
      <c r="B1111" s="7" t="s">
        <v>1484</v>
      </c>
      <c r="C1111" s="8">
        <v>1781891568060500</v>
      </c>
      <c r="D1111" s="7" t="s">
        <v>1465</v>
      </c>
      <c r="E1111" s="8">
        <v>86507</v>
      </c>
      <c r="F1111" s="7" t="s">
        <v>123</v>
      </c>
      <c r="G1111" s="7" t="s">
        <v>124</v>
      </c>
      <c r="H1111" s="7" t="s">
        <v>120</v>
      </c>
      <c r="I1111" s="7" t="s">
        <v>159</v>
      </c>
    </row>
    <row r="1112" spans="1:9" x14ac:dyDescent="0.25">
      <c r="A1112" s="7">
        <v>32</v>
      </c>
      <c r="B1112" s="7" t="s">
        <v>1485</v>
      </c>
      <c r="C1112" s="8">
        <v>1781891568765840</v>
      </c>
      <c r="D1112" s="7" t="s">
        <v>1465</v>
      </c>
      <c r="E1112" s="8">
        <v>87213</v>
      </c>
      <c r="F1112" s="7" t="s">
        <v>166</v>
      </c>
      <c r="G1112" s="7" t="s">
        <v>167</v>
      </c>
      <c r="H1112" s="7" t="s">
        <v>1107</v>
      </c>
      <c r="I1112" s="7"/>
    </row>
    <row r="1113" spans="1:9" x14ac:dyDescent="0.25">
      <c r="A1113" s="7">
        <v>32</v>
      </c>
      <c r="B1113" s="7" t="s">
        <v>1486</v>
      </c>
      <c r="C1113" s="8">
        <v>1781891607580150</v>
      </c>
      <c r="D1113" s="7" t="s">
        <v>1465</v>
      </c>
      <c r="E1113" s="8">
        <v>126027</v>
      </c>
      <c r="F1113" s="7" t="s">
        <v>166</v>
      </c>
      <c r="G1113" s="7" t="s">
        <v>167</v>
      </c>
      <c r="H1113" s="7" t="s">
        <v>823</v>
      </c>
      <c r="I1113" s="7"/>
    </row>
    <row r="1114" spans="1:9" x14ac:dyDescent="0.25">
      <c r="A1114" s="7">
        <v>32</v>
      </c>
      <c r="B1114" s="7" t="s">
        <v>1487</v>
      </c>
      <c r="C1114" s="8">
        <v>1781891613164680</v>
      </c>
      <c r="D1114" s="7" t="s">
        <v>1465</v>
      </c>
      <c r="E1114" s="8">
        <v>131611</v>
      </c>
      <c r="F1114" s="7" t="s">
        <v>98</v>
      </c>
      <c r="G1114" s="7" t="s">
        <v>99</v>
      </c>
      <c r="H1114" s="7" t="s">
        <v>120</v>
      </c>
      <c r="I1114" s="7" t="s">
        <v>262</v>
      </c>
    </row>
    <row r="1115" spans="1:9" x14ac:dyDescent="0.25">
      <c r="A1115" s="7">
        <v>32</v>
      </c>
      <c r="B1115" s="7" t="s">
        <v>1488</v>
      </c>
      <c r="C1115" s="8">
        <v>1781891613164880</v>
      </c>
      <c r="D1115" s="7" t="s">
        <v>1465</v>
      </c>
      <c r="E1115" s="8">
        <v>131612</v>
      </c>
      <c r="F1115" s="7" t="s">
        <v>123</v>
      </c>
      <c r="G1115" s="7" t="s">
        <v>124</v>
      </c>
      <c r="H1115" s="7" t="s">
        <v>120</v>
      </c>
      <c r="I1115" s="7" t="s">
        <v>260</v>
      </c>
    </row>
    <row r="1116" spans="1:9" x14ac:dyDescent="0.25">
      <c r="A1116" s="7">
        <v>32</v>
      </c>
      <c r="B1116" s="7" t="s">
        <v>1489</v>
      </c>
      <c r="C1116" s="8">
        <v>1781891628762200</v>
      </c>
      <c r="D1116" s="7" t="s">
        <v>1465</v>
      </c>
      <c r="E1116" s="8">
        <v>147209</v>
      </c>
      <c r="F1116" s="7" t="s">
        <v>123</v>
      </c>
      <c r="G1116" s="7" t="s">
        <v>124</v>
      </c>
      <c r="H1116" s="7" t="s">
        <v>120</v>
      </c>
      <c r="I1116" s="7" t="s">
        <v>157</v>
      </c>
    </row>
    <row r="1117" spans="1:9" x14ac:dyDescent="0.25">
      <c r="A1117" s="7">
        <v>32</v>
      </c>
      <c r="B1117" s="7" t="s">
        <v>1490</v>
      </c>
      <c r="C1117" s="8">
        <v>1781891628762580</v>
      </c>
      <c r="D1117" s="7" t="s">
        <v>1465</v>
      </c>
      <c r="E1117" s="8">
        <v>147209</v>
      </c>
      <c r="F1117" s="7" t="s">
        <v>98</v>
      </c>
      <c r="G1117" s="7" t="s">
        <v>99</v>
      </c>
      <c r="H1117" s="7" t="s">
        <v>120</v>
      </c>
      <c r="I1117" s="7" t="s">
        <v>155</v>
      </c>
    </row>
    <row r="1118" spans="1:9" x14ac:dyDescent="0.25">
      <c r="A1118" s="7">
        <v>32</v>
      </c>
      <c r="B1118" s="7" t="s">
        <v>1491</v>
      </c>
      <c r="C1118" s="8">
        <v>1781891628964240</v>
      </c>
      <c r="D1118" s="7" t="s">
        <v>1465</v>
      </c>
      <c r="E1118" s="8">
        <v>147411</v>
      </c>
      <c r="F1118" s="7" t="s">
        <v>93</v>
      </c>
      <c r="G1118" s="7" t="s">
        <v>94</v>
      </c>
      <c r="H1118" s="7" t="s">
        <v>153</v>
      </c>
      <c r="I1118" s="7" t="s">
        <v>153</v>
      </c>
    </row>
    <row r="1119" spans="1:9" x14ac:dyDescent="0.25">
      <c r="A1119" s="7">
        <v>32</v>
      </c>
      <c r="B1119" s="7" t="s">
        <v>1492</v>
      </c>
      <c r="C1119" s="8">
        <v>1781891630367540</v>
      </c>
      <c r="D1119" s="7" t="s">
        <v>1465</v>
      </c>
      <c r="E1119" s="8">
        <v>148814</v>
      </c>
      <c r="F1119" s="7" t="s">
        <v>123</v>
      </c>
      <c r="G1119" s="7" t="s">
        <v>124</v>
      </c>
      <c r="H1119" s="7" t="s">
        <v>120</v>
      </c>
      <c r="I1119" s="7" t="s">
        <v>159</v>
      </c>
    </row>
    <row r="1120" spans="1:9" x14ac:dyDescent="0.25">
      <c r="A1120" s="7">
        <v>32</v>
      </c>
      <c r="B1120" s="7" t="s">
        <v>1493</v>
      </c>
      <c r="C1120" s="8">
        <v>1781891658770500</v>
      </c>
      <c r="D1120" s="7" t="s">
        <v>1465</v>
      </c>
      <c r="E1120" s="8">
        <v>177217</v>
      </c>
      <c r="F1120" s="7" t="s">
        <v>123</v>
      </c>
      <c r="G1120" s="7" t="s">
        <v>124</v>
      </c>
      <c r="H1120" s="7" t="s">
        <v>161</v>
      </c>
      <c r="I1120" s="7" t="s">
        <v>1494</v>
      </c>
    </row>
    <row r="1121" spans="1:9" x14ac:dyDescent="0.25">
      <c r="A1121" s="7">
        <v>32</v>
      </c>
      <c r="B1121" s="7" t="s">
        <v>1495</v>
      </c>
      <c r="C1121" s="8">
        <v>1781891658771460</v>
      </c>
      <c r="D1121" s="7" t="s">
        <v>1465</v>
      </c>
      <c r="E1121" s="8">
        <v>177218</v>
      </c>
      <c r="F1121" s="7" t="s">
        <v>98</v>
      </c>
      <c r="G1121" s="7" t="s">
        <v>99</v>
      </c>
      <c r="H1121" s="7" t="s">
        <v>161</v>
      </c>
      <c r="I1121" s="7" t="s">
        <v>1496</v>
      </c>
    </row>
    <row r="1122" spans="1:9" x14ac:dyDescent="0.25">
      <c r="A1122" s="7">
        <v>32</v>
      </c>
      <c r="B1122" s="7" t="s">
        <v>1497</v>
      </c>
      <c r="C1122" s="8">
        <v>1781891698712950</v>
      </c>
      <c r="D1122" s="7" t="s">
        <v>1465</v>
      </c>
      <c r="E1122" s="8">
        <v>217160</v>
      </c>
      <c r="F1122" s="7" t="s">
        <v>166</v>
      </c>
      <c r="G1122" s="7" t="s">
        <v>167</v>
      </c>
      <c r="H1122" s="7" t="s">
        <v>1498</v>
      </c>
      <c r="I1122" s="7"/>
    </row>
    <row r="1123" spans="1:9" x14ac:dyDescent="0.25">
      <c r="A1123" s="7">
        <v>32</v>
      </c>
      <c r="B1123" s="7" t="s">
        <v>1499</v>
      </c>
      <c r="C1123" s="8">
        <v>1781891718790540</v>
      </c>
      <c r="D1123" s="7" t="s">
        <v>1465</v>
      </c>
      <c r="E1123" s="8">
        <v>237237</v>
      </c>
      <c r="F1123" s="7" t="s">
        <v>98</v>
      </c>
      <c r="G1123" s="7" t="s">
        <v>99</v>
      </c>
      <c r="H1123" s="7" t="s">
        <v>172</v>
      </c>
      <c r="I1123" s="7" t="s">
        <v>331</v>
      </c>
    </row>
    <row r="1124" spans="1:9" x14ac:dyDescent="0.25">
      <c r="A1124" s="7">
        <v>32</v>
      </c>
      <c r="B1124" s="7" t="s">
        <v>1500</v>
      </c>
      <c r="C1124" s="8">
        <v>1781891745425760</v>
      </c>
      <c r="D1124" s="7" t="s">
        <v>1465</v>
      </c>
      <c r="E1124" s="8">
        <v>263873</v>
      </c>
      <c r="F1124" s="7" t="s">
        <v>98</v>
      </c>
      <c r="G1124" s="7" t="s">
        <v>99</v>
      </c>
      <c r="H1124" s="7" t="s">
        <v>120</v>
      </c>
      <c r="I1124" s="7" t="s">
        <v>177</v>
      </c>
    </row>
    <row r="1125" spans="1:9" x14ac:dyDescent="0.25">
      <c r="A1125" s="7">
        <v>32</v>
      </c>
      <c r="B1125" s="7" t="s">
        <v>1501</v>
      </c>
      <c r="C1125" s="8">
        <v>1781891745426100</v>
      </c>
      <c r="D1125" s="7" t="s">
        <v>1465</v>
      </c>
      <c r="E1125" s="8">
        <v>263873</v>
      </c>
      <c r="F1125" s="7" t="s">
        <v>93</v>
      </c>
      <c r="G1125" s="7" t="s">
        <v>94</v>
      </c>
      <c r="H1125" s="7" t="s">
        <v>175</v>
      </c>
      <c r="I1125" s="7" t="s">
        <v>175</v>
      </c>
    </row>
    <row r="1126" spans="1:9" x14ac:dyDescent="0.25">
      <c r="A1126" s="7">
        <v>32</v>
      </c>
      <c r="B1126" s="7" t="s">
        <v>1502</v>
      </c>
      <c r="C1126" s="8">
        <v>1781891752437380</v>
      </c>
      <c r="D1126" s="7" t="s">
        <v>1465</v>
      </c>
      <c r="E1126" s="8">
        <v>270884</v>
      </c>
      <c r="F1126" s="7" t="s">
        <v>98</v>
      </c>
      <c r="G1126" s="7" t="s">
        <v>99</v>
      </c>
      <c r="H1126" s="7" t="s">
        <v>179</v>
      </c>
      <c r="I1126" s="7" t="s">
        <v>335</v>
      </c>
    </row>
    <row r="1127" spans="1:9" x14ac:dyDescent="0.25">
      <c r="A1127" s="7">
        <v>32</v>
      </c>
      <c r="B1127" s="7" t="s">
        <v>1503</v>
      </c>
      <c r="C1127" s="8">
        <v>1781891752437550</v>
      </c>
      <c r="D1127" s="7" t="s">
        <v>1465</v>
      </c>
      <c r="E1127" s="8">
        <v>270884</v>
      </c>
      <c r="F1127" s="7" t="s">
        <v>103</v>
      </c>
      <c r="G1127" s="7" t="s">
        <v>89</v>
      </c>
      <c r="H1127" s="7" t="s">
        <v>179</v>
      </c>
      <c r="I1127" s="7"/>
    </row>
    <row r="1128" spans="1:9" x14ac:dyDescent="0.25">
      <c r="B1128" t="s">
        <v>1504</v>
      </c>
      <c r="C1128" s="12">
        <v>1781891803108030</v>
      </c>
      <c r="D1128" t="s">
        <v>1505</v>
      </c>
      <c r="E1128" t="s">
        <v>87</v>
      </c>
      <c r="F1128" t="s">
        <v>88</v>
      </c>
      <c r="G1128" t="s">
        <v>89</v>
      </c>
      <c r="H1128" t="s">
        <v>184</v>
      </c>
    </row>
    <row r="1129" spans="1:9" x14ac:dyDescent="0.25">
      <c r="B1129" t="s">
        <v>1506</v>
      </c>
      <c r="C1129" s="12">
        <v>1781891803108710</v>
      </c>
      <c r="D1129" t="s">
        <v>1505</v>
      </c>
      <c r="E1129" t="s">
        <v>108</v>
      </c>
      <c r="F1129" t="s">
        <v>166</v>
      </c>
      <c r="G1129" t="s">
        <v>167</v>
      </c>
      <c r="H1129" t="s">
        <v>711</v>
      </c>
    </row>
    <row r="1130" spans="1:9" x14ac:dyDescent="0.25">
      <c r="A1130" s="3">
        <v>33</v>
      </c>
      <c r="B1130" s="3" t="s">
        <v>1507</v>
      </c>
      <c r="C1130" s="21">
        <v>1781891964124800</v>
      </c>
      <c r="D1130" s="3" t="s">
        <v>1505</v>
      </c>
      <c r="E1130" s="21">
        <v>161017</v>
      </c>
      <c r="F1130" s="3" t="s">
        <v>98</v>
      </c>
      <c r="G1130" s="3" t="s">
        <v>99</v>
      </c>
      <c r="H1130" s="3" t="s">
        <v>100</v>
      </c>
      <c r="I1130" s="3" t="s">
        <v>101</v>
      </c>
    </row>
    <row r="1131" spans="1:9" x14ac:dyDescent="0.25">
      <c r="A1131" s="3">
        <v>33</v>
      </c>
      <c r="B1131" s="3" t="s">
        <v>1508</v>
      </c>
      <c r="C1131" s="21">
        <v>1781891980199260</v>
      </c>
      <c r="D1131" s="3" t="s">
        <v>1505</v>
      </c>
      <c r="E1131" s="21">
        <v>177091</v>
      </c>
      <c r="F1131" s="3" t="s">
        <v>123</v>
      </c>
      <c r="G1131" s="3" t="s">
        <v>124</v>
      </c>
      <c r="H1131" s="3" t="s">
        <v>120</v>
      </c>
      <c r="I1131" s="3" t="s">
        <v>125</v>
      </c>
    </row>
    <row r="1132" spans="1:9" x14ac:dyDescent="0.25">
      <c r="A1132" s="3">
        <v>33</v>
      </c>
      <c r="B1132" s="3" t="s">
        <v>1509</v>
      </c>
      <c r="C1132" s="21">
        <v>1781891980307650</v>
      </c>
      <c r="D1132" s="3" t="s">
        <v>1505</v>
      </c>
      <c r="E1132" s="21">
        <v>177200</v>
      </c>
      <c r="F1132" s="3" t="s">
        <v>98</v>
      </c>
      <c r="G1132" s="3" t="s">
        <v>99</v>
      </c>
      <c r="H1132" s="3" t="s">
        <v>120</v>
      </c>
      <c r="I1132" s="3" t="s">
        <v>121</v>
      </c>
    </row>
    <row r="1133" spans="1:9" x14ac:dyDescent="0.25">
      <c r="A1133" s="3">
        <v>33</v>
      </c>
      <c r="B1133" s="3" t="s">
        <v>1510</v>
      </c>
      <c r="C1133" s="21">
        <v>1781891980993190</v>
      </c>
      <c r="D1133" s="3" t="s">
        <v>1505</v>
      </c>
      <c r="E1133" s="21">
        <v>177885</v>
      </c>
      <c r="F1133" s="3" t="s">
        <v>93</v>
      </c>
      <c r="G1133" s="3" t="s">
        <v>94</v>
      </c>
      <c r="H1133" s="3" t="s">
        <v>118</v>
      </c>
      <c r="I1133" s="3" t="s">
        <v>118</v>
      </c>
    </row>
    <row r="1134" spans="1:9" x14ac:dyDescent="0.25">
      <c r="A1134" s="3">
        <v>33</v>
      </c>
      <c r="B1134" s="3" t="s">
        <v>1511</v>
      </c>
      <c r="C1134" s="21">
        <v>1781891991087640</v>
      </c>
      <c r="D1134" s="3" t="s">
        <v>1505</v>
      </c>
      <c r="E1134" s="21">
        <v>187980</v>
      </c>
      <c r="F1134" s="3" t="s">
        <v>123</v>
      </c>
      <c r="G1134" s="3" t="s">
        <v>124</v>
      </c>
      <c r="H1134" s="3" t="s">
        <v>127</v>
      </c>
      <c r="I1134" s="3" t="s">
        <v>1512</v>
      </c>
    </row>
    <row r="1135" spans="1:9" x14ac:dyDescent="0.25">
      <c r="A1135" s="3">
        <v>33</v>
      </c>
      <c r="B1135" s="3" t="s">
        <v>1513</v>
      </c>
      <c r="C1135" s="21">
        <v>1781891991088010</v>
      </c>
      <c r="D1135" s="3" t="s">
        <v>1505</v>
      </c>
      <c r="E1135" s="21">
        <v>187980</v>
      </c>
      <c r="F1135" s="3" t="s">
        <v>98</v>
      </c>
      <c r="G1135" s="3" t="s">
        <v>99</v>
      </c>
      <c r="H1135" s="3" t="s">
        <v>127</v>
      </c>
      <c r="I1135" s="3" t="s">
        <v>1514</v>
      </c>
    </row>
    <row r="1136" spans="1:9" x14ac:dyDescent="0.25">
      <c r="A1136" s="3">
        <v>33</v>
      </c>
      <c r="B1136" s="3" t="s">
        <v>1515</v>
      </c>
      <c r="C1136" s="21">
        <v>1781891992828540</v>
      </c>
      <c r="D1136" s="3" t="s">
        <v>1505</v>
      </c>
      <c r="E1136" s="21">
        <v>189721</v>
      </c>
      <c r="F1136" s="3" t="s">
        <v>132</v>
      </c>
      <c r="G1136" s="3" t="s">
        <v>133</v>
      </c>
      <c r="H1136" s="3" t="s">
        <v>309</v>
      </c>
      <c r="I1136" s="3" t="s">
        <v>310</v>
      </c>
    </row>
    <row r="1137" spans="1:9" x14ac:dyDescent="0.25">
      <c r="A1137" s="3">
        <v>33</v>
      </c>
      <c r="B1137" s="3" t="s">
        <v>1516</v>
      </c>
      <c r="C1137" s="21">
        <v>1781891997480050</v>
      </c>
      <c r="D1137" s="3" t="s">
        <v>1505</v>
      </c>
      <c r="E1137" s="21">
        <v>194372</v>
      </c>
      <c r="F1137" s="3" t="s">
        <v>98</v>
      </c>
      <c r="G1137" s="3" t="s">
        <v>99</v>
      </c>
      <c r="H1137" s="3" t="s">
        <v>137</v>
      </c>
      <c r="I1137" s="3" t="s">
        <v>313</v>
      </c>
    </row>
    <row r="1138" spans="1:9" x14ac:dyDescent="0.25">
      <c r="A1138" s="3">
        <v>33</v>
      </c>
      <c r="B1138" s="3" t="s">
        <v>1517</v>
      </c>
      <c r="C1138" s="21">
        <v>1781892009636040</v>
      </c>
      <c r="D1138" s="3" t="s">
        <v>1505</v>
      </c>
      <c r="E1138" s="21">
        <v>206528</v>
      </c>
      <c r="F1138" s="3" t="s">
        <v>166</v>
      </c>
      <c r="G1138" s="3" t="s">
        <v>167</v>
      </c>
      <c r="H1138" s="3" t="s">
        <v>213</v>
      </c>
      <c r="I1138" s="3"/>
    </row>
    <row r="1139" spans="1:9" x14ac:dyDescent="0.25">
      <c r="A1139" s="3">
        <v>33</v>
      </c>
      <c r="B1139" s="3" t="s">
        <v>1518</v>
      </c>
      <c r="C1139" s="21">
        <v>1781892011846020</v>
      </c>
      <c r="D1139" s="3" t="s">
        <v>1505</v>
      </c>
      <c r="E1139" s="21">
        <v>208738</v>
      </c>
      <c r="F1139" s="3" t="s">
        <v>98</v>
      </c>
      <c r="G1139" s="3" t="s">
        <v>99</v>
      </c>
      <c r="H1139" s="3" t="s">
        <v>120</v>
      </c>
      <c r="I1139" s="3" t="s">
        <v>142</v>
      </c>
    </row>
    <row r="1140" spans="1:9" x14ac:dyDescent="0.25">
      <c r="A1140" s="3">
        <v>33</v>
      </c>
      <c r="B1140" s="3" t="s">
        <v>1519</v>
      </c>
      <c r="C1140" s="21">
        <v>1781892011847530</v>
      </c>
      <c r="D1140" s="3" t="s">
        <v>1505</v>
      </c>
      <c r="E1140" s="21">
        <v>208740</v>
      </c>
      <c r="F1140" s="3" t="s">
        <v>123</v>
      </c>
      <c r="G1140" s="3" t="s">
        <v>124</v>
      </c>
      <c r="H1140" s="3" t="s">
        <v>120</v>
      </c>
      <c r="I1140" s="3" t="s">
        <v>144</v>
      </c>
    </row>
    <row r="1141" spans="1:9" x14ac:dyDescent="0.25">
      <c r="A1141" s="3">
        <v>33</v>
      </c>
      <c r="B1141" s="3" t="s">
        <v>1520</v>
      </c>
      <c r="C1141" s="21">
        <v>1781892021254620</v>
      </c>
      <c r="D1141" s="3" t="s">
        <v>1505</v>
      </c>
      <c r="E1141" s="21">
        <v>218147</v>
      </c>
      <c r="F1141" s="3" t="s">
        <v>123</v>
      </c>
      <c r="G1141" s="3" t="s">
        <v>124</v>
      </c>
      <c r="H1141" s="3" t="s">
        <v>148</v>
      </c>
      <c r="I1141" s="3" t="s">
        <v>149</v>
      </c>
    </row>
    <row r="1142" spans="1:9" x14ac:dyDescent="0.25">
      <c r="A1142" s="3">
        <v>33</v>
      </c>
      <c r="B1142" s="3" t="s">
        <v>1521</v>
      </c>
      <c r="C1142" s="21">
        <v>1781892021256670</v>
      </c>
      <c r="D1142" s="3" t="s">
        <v>1505</v>
      </c>
      <c r="E1142" s="21">
        <v>218149</v>
      </c>
      <c r="F1142" s="3" t="s">
        <v>98</v>
      </c>
      <c r="G1142" s="3" t="s">
        <v>99</v>
      </c>
      <c r="H1142" s="3" t="s">
        <v>148</v>
      </c>
      <c r="I1142" s="3" t="s">
        <v>151</v>
      </c>
    </row>
    <row r="1143" spans="1:9" x14ac:dyDescent="0.25">
      <c r="A1143" s="3">
        <v>33</v>
      </c>
      <c r="B1143" s="3" t="s">
        <v>1522</v>
      </c>
      <c r="C1143" s="21">
        <v>1781892028945930</v>
      </c>
      <c r="D1143" s="3" t="s">
        <v>1505</v>
      </c>
      <c r="E1143" s="21">
        <v>225838</v>
      </c>
      <c r="F1143" s="3" t="s">
        <v>98</v>
      </c>
      <c r="G1143" s="3" t="s">
        <v>99</v>
      </c>
      <c r="H1143" s="3" t="s">
        <v>120</v>
      </c>
      <c r="I1143" s="3" t="s">
        <v>155</v>
      </c>
    </row>
    <row r="1144" spans="1:9" x14ac:dyDescent="0.25">
      <c r="A1144" s="3">
        <v>33</v>
      </c>
      <c r="B1144" s="3" t="s">
        <v>1523</v>
      </c>
      <c r="C1144" s="21">
        <v>1781892028946450</v>
      </c>
      <c r="D1144" s="3" t="s">
        <v>1505</v>
      </c>
      <c r="E1144" s="21">
        <v>225838</v>
      </c>
      <c r="F1144" s="3" t="s">
        <v>123</v>
      </c>
      <c r="G1144" s="3" t="s">
        <v>124</v>
      </c>
      <c r="H1144" s="3" t="s">
        <v>120</v>
      </c>
      <c r="I1144" s="3" t="s">
        <v>157</v>
      </c>
    </row>
    <row r="1145" spans="1:9" x14ac:dyDescent="0.25">
      <c r="A1145" s="3">
        <v>33</v>
      </c>
      <c r="B1145" s="3" t="s">
        <v>1524</v>
      </c>
      <c r="C1145" s="21">
        <v>1781892030534300</v>
      </c>
      <c r="D1145" s="3" t="s">
        <v>1505</v>
      </c>
      <c r="E1145" s="21">
        <v>227426</v>
      </c>
      <c r="F1145" s="3" t="s">
        <v>123</v>
      </c>
      <c r="G1145" s="3" t="s">
        <v>124</v>
      </c>
      <c r="H1145" s="3" t="s">
        <v>120</v>
      </c>
      <c r="I1145" s="3" t="s">
        <v>159</v>
      </c>
    </row>
    <row r="1146" spans="1:9" x14ac:dyDescent="0.25">
      <c r="A1146" s="3">
        <v>33</v>
      </c>
      <c r="B1146" s="3" t="s">
        <v>1525</v>
      </c>
      <c r="C1146" s="21">
        <v>1781892075551630</v>
      </c>
      <c r="D1146" s="3" t="s">
        <v>1505</v>
      </c>
      <c r="E1146" s="21">
        <v>272444</v>
      </c>
      <c r="F1146" s="3" t="s">
        <v>123</v>
      </c>
      <c r="G1146" s="3" t="s">
        <v>124</v>
      </c>
      <c r="H1146" s="3" t="s">
        <v>120</v>
      </c>
      <c r="I1146" s="53" t="s">
        <v>260</v>
      </c>
    </row>
    <row r="1147" spans="1:9" x14ac:dyDescent="0.25">
      <c r="A1147" s="3">
        <v>33</v>
      </c>
      <c r="B1147" s="3" t="s">
        <v>1526</v>
      </c>
      <c r="C1147" s="21">
        <v>1781892075552190</v>
      </c>
      <c r="D1147" s="3" t="s">
        <v>1505</v>
      </c>
      <c r="E1147" s="21">
        <v>272444</v>
      </c>
      <c r="F1147" s="3" t="s">
        <v>98</v>
      </c>
      <c r="G1147" s="3" t="s">
        <v>99</v>
      </c>
      <c r="H1147" s="3" t="s">
        <v>120</v>
      </c>
      <c r="I1147" s="3" t="s">
        <v>262</v>
      </c>
    </row>
    <row r="1148" spans="1:9" x14ac:dyDescent="0.25">
      <c r="A1148" s="3">
        <v>33</v>
      </c>
      <c r="B1148" s="3" t="s">
        <v>1527</v>
      </c>
      <c r="C1148" s="21">
        <v>1781892081579140</v>
      </c>
      <c r="D1148" s="3" t="s">
        <v>1505</v>
      </c>
      <c r="E1148" s="21">
        <v>278471</v>
      </c>
      <c r="F1148" s="3" t="s">
        <v>166</v>
      </c>
      <c r="G1148" s="3" t="s">
        <v>167</v>
      </c>
      <c r="H1148" s="3" t="s">
        <v>1528</v>
      </c>
      <c r="I1148" s="3"/>
    </row>
    <row r="1149" spans="1:9" x14ac:dyDescent="0.25">
      <c r="A1149" s="3">
        <v>33</v>
      </c>
      <c r="B1149" s="3" t="s">
        <v>1529</v>
      </c>
      <c r="C1149" s="21">
        <v>1781892087403460</v>
      </c>
      <c r="D1149" s="3" t="s">
        <v>1505</v>
      </c>
      <c r="E1149" s="21">
        <v>284296</v>
      </c>
      <c r="F1149" s="3" t="s">
        <v>123</v>
      </c>
      <c r="G1149" s="3" t="s">
        <v>124</v>
      </c>
      <c r="H1149" s="3" t="s">
        <v>120</v>
      </c>
      <c r="I1149" s="3" t="s">
        <v>157</v>
      </c>
    </row>
    <row r="1150" spans="1:9" x14ac:dyDescent="0.25">
      <c r="A1150" s="3">
        <v>33</v>
      </c>
      <c r="B1150" s="3" t="s">
        <v>1530</v>
      </c>
      <c r="C1150" s="21">
        <v>1781892087403870</v>
      </c>
      <c r="D1150" s="3" t="s">
        <v>1505</v>
      </c>
      <c r="E1150" s="21">
        <v>284296</v>
      </c>
      <c r="F1150" s="3" t="s">
        <v>98</v>
      </c>
      <c r="G1150" s="3" t="s">
        <v>99</v>
      </c>
      <c r="H1150" s="3" t="s">
        <v>120</v>
      </c>
      <c r="I1150" s="3" t="s">
        <v>155</v>
      </c>
    </row>
    <row r="1151" spans="1:9" x14ac:dyDescent="0.25">
      <c r="A1151" s="3">
        <v>33</v>
      </c>
      <c r="B1151" s="3" t="s">
        <v>1531</v>
      </c>
      <c r="C1151" s="21">
        <v>1781892088895470</v>
      </c>
      <c r="D1151" s="3" t="s">
        <v>1505</v>
      </c>
      <c r="E1151" s="21">
        <v>285788</v>
      </c>
      <c r="F1151" s="3" t="s">
        <v>123</v>
      </c>
      <c r="G1151" s="3" t="s">
        <v>124</v>
      </c>
      <c r="H1151" s="3" t="s">
        <v>120</v>
      </c>
      <c r="I1151" s="3" t="s">
        <v>159</v>
      </c>
    </row>
    <row r="1152" spans="1:9" x14ac:dyDescent="0.25">
      <c r="A1152" s="3">
        <v>33</v>
      </c>
      <c r="B1152" s="3" t="s">
        <v>1532</v>
      </c>
      <c r="C1152" s="21">
        <v>1781892120595040</v>
      </c>
      <c r="D1152" s="3" t="s">
        <v>1505</v>
      </c>
      <c r="E1152" s="21">
        <v>317487</v>
      </c>
      <c r="F1152" s="3" t="s">
        <v>166</v>
      </c>
      <c r="G1152" s="3" t="s">
        <v>167</v>
      </c>
      <c r="H1152" s="3" t="s">
        <v>893</v>
      </c>
      <c r="I1152" s="3"/>
    </row>
    <row r="1153" spans="1:9" x14ac:dyDescent="0.25">
      <c r="A1153" s="3">
        <v>33</v>
      </c>
      <c r="B1153" s="3" t="s">
        <v>1533</v>
      </c>
      <c r="C1153" s="21">
        <v>1781892134007390</v>
      </c>
      <c r="D1153" s="3" t="s">
        <v>1505</v>
      </c>
      <c r="E1153" s="21">
        <v>330899</v>
      </c>
      <c r="F1153" s="3" t="s">
        <v>123</v>
      </c>
      <c r="G1153" s="3" t="s">
        <v>124</v>
      </c>
      <c r="H1153" s="3" t="s">
        <v>120</v>
      </c>
      <c r="I1153" s="3" t="s">
        <v>260</v>
      </c>
    </row>
    <row r="1154" spans="1:9" x14ac:dyDescent="0.25">
      <c r="A1154" s="3">
        <v>33</v>
      </c>
      <c r="B1154" s="3" t="s">
        <v>1534</v>
      </c>
      <c r="C1154" s="21">
        <v>1781892134007740</v>
      </c>
      <c r="D1154" s="3" t="s">
        <v>1505</v>
      </c>
      <c r="E1154" s="21">
        <v>330900</v>
      </c>
      <c r="F1154" s="3" t="s">
        <v>98</v>
      </c>
      <c r="G1154" s="3" t="s">
        <v>99</v>
      </c>
      <c r="H1154" s="3" t="s">
        <v>120</v>
      </c>
      <c r="I1154" s="3" t="s">
        <v>262</v>
      </c>
    </row>
    <row r="1155" spans="1:9" x14ac:dyDescent="0.25">
      <c r="A1155" s="3">
        <v>33</v>
      </c>
      <c r="B1155" s="3" t="s">
        <v>1535</v>
      </c>
      <c r="C1155" s="21">
        <v>1781892172997430</v>
      </c>
      <c r="D1155" s="3" t="s">
        <v>1505</v>
      </c>
      <c r="E1155" s="21">
        <v>369889</v>
      </c>
      <c r="F1155" s="3" t="s">
        <v>98</v>
      </c>
      <c r="G1155" s="3" t="s">
        <v>99</v>
      </c>
      <c r="H1155" s="3" t="s">
        <v>120</v>
      </c>
      <c r="I1155" s="3" t="s">
        <v>155</v>
      </c>
    </row>
    <row r="1156" spans="1:9" x14ac:dyDescent="0.25">
      <c r="A1156" s="3">
        <v>33</v>
      </c>
      <c r="B1156" s="3" t="s">
        <v>1536</v>
      </c>
      <c r="C1156" s="21">
        <v>1781892172997900</v>
      </c>
      <c r="D1156" s="3" t="s">
        <v>1505</v>
      </c>
      <c r="E1156" s="21">
        <v>369890</v>
      </c>
      <c r="F1156" s="3" t="s">
        <v>123</v>
      </c>
      <c r="G1156" s="3" t="s">
        <v>124</v>
      </c>
      <c r="H1156" s="3" t="s">
        <v>120</v>
      </c>
      <c r="I1156" s="3" t="s">
        <v>157</v>
      </c>
    </row>
    <row r="1157" spans="1:9" x14ac:dyDescent="0.25">
      <c r="A1157" s="3">
        <v>33</v>
      </c>
      <c r="B1157" s="3" t="s">
        <v>1537</v>
      </c>
      <c r="C1157" s="21">
        <v>1781892174395750</v>
      </c>
      <c r="D1157" s="3" t="s">
        <v>1505</v>
      </c>
      <c r="E1157" s="21">
        <v>371288</v>
      </c>
      <c r="F1157" s="3" t="s">
        <v>123</v>
      </c>
      <c r="G1157" s="3" t="s">
        <v>124</v>
      </c>
      <c r="H1157" s="3" t="s">
        <v>120</v>
      </c>
      <c r="I1157" s="3" t="s">
        <v>159</v>
      </c>
    </row>
    <row r="1158" spans="1:9" x14ac:dyDescent="0.25">
      <c r="A1158" s="3">
        <v>33</v>
      </c>
      <c r="B1158" s="3" t="s">
        <v>1538</v>
      </c>
      <c r="C1158" s="21">
        <v>1781892175095360</v>
      </c>
      <c r="D1158" s="3" t="s">
        <v>1505</v>
      </c>
      <c r="E1158" s="21">
        <v>371987</v>
      </c>
      <c r="F1158" s="3" t="s">
        <v>98</v>
      </c>
      <c r="G1158" s="3" t="s">
        <v>99</v>
      </c>
      <c r="H1158" s="3" t="s">
        <v>161</v>
      </c>
      <c r="I1158" s="3" t="s">
        <v>1539</v>
      </c>
    </row>
    <row r="1159" spans="1:9" x14ac:dyDescent="0.25">
      <c r="A1159" s="3">
        <v>33</v>
      </c>
      <c r="B1159" s="3" t="s">
        <v>1540</v>
      </c>
      <c r="C1159" s="21">
        <v>1781892175095700</v>
      </c>
      <c r="D1159" s="3" t="s">
        <v>1505</v>
      </c>
      <c r="E1159" s="21">
        <v>371988</v>
      </c>
      <c r="F1159" s="3" t="s">
        <v>123</v>
      </c>
      <c r="G1159" s="3" t="s">
        <v>124</v>
      </c>
      <c r="H1159" s="3" t="s">
        <v>161</v>
      </c>
      <c r="I1159" s="3" t="s">
        <v>1541</v>
      </c>
    </row>
    <row r="1160" spans="1:9" x14ac:dyDescent="0.25">
      <c r="A1160" s="3">
        <v>33</v>
      </c>
      <c r="B1160" s="3" t="s">
        <v>1542</v>
      </c>
      <c r="C1160" s="21">
        <v>1781892191419340</v>
      </c>
      <c r="D1160" s="3" t="s">
        <v>1505</v>
      </c>
      <c r="E1160" s="21">
        <v>388311</v>
      </c>
      <c r="F1160" s="3" t="s">
        <v>98</v>
      </c>
      <c r="G1160" s="3" t="s">
        <v>99</v>
      </c>
      <c r="H1160" s="3" t="s">
        <v>172</v>
      </c>
      <c r="I1160" s="3" t="s">
        <v>331</v>
      </c>
    </row>
    <row r="1161" spans="1:9" x14ac:dyDescent="0.25">
      <c r="A1161" s="3">
        <v>33</v>
      </c>
      <c r="B1161" s="3" t="s">
        <v>1543</v>
      </c>
      <c r="C1161" s="21">
        <v>1781892208963990</v>
      </c>
      <c r="D1161" s="3" t="s">
        <v>1505</v>
      </c>
      <c r="E1161" s="21">
        <v>405856</v>
      </c>
      <c r="F1161" s="3" t="s">
        <v>98</v>
      </c>
      <c r="G1161" s="3" t="s">
        <v>99</v>
      </c>
      <c r="H1161" s="3" t="s">
        <v>120</v>
      </c>
      <c r="I1161" s="3" t="s">
        <v>177</v>
      </c>
    </row>
    <row r="1162" spans="1:9" x14ac:dyDescent="0.25">
      <c r="A1162" s="3">
        <v>33</v>
      </c>
      <c r="B1162" s="3" t="s">
        <v>1544</v>
      </c>
      <c r="C1162" s="21">
        <v>1781892215848560</v>
      </c>
      <c r="D1162" s="3" t="s">
        <v>1505</v>
      </c>
      <c r="E1162" s="21">
        <v>412741</v>
      </c>
      <c r="F1162" s="3" t="s">
        <v>98</v>
      </c>
      <c r="G1162" s="3" t="s">
        <v>99</v>
      </c>
      <c r="H1162" s="3" t="s">
        <v>179</v>
      </c>
      <c r="I1162" s="3" t="s">
        <v>335</v>
      </c>
    </row>
    <row r="1163" spans="1:9" x14ac:dyDescent="0.25">
      <c r="A1163" s="3">
        <v>33</v>
      </c>
      <c r="B1163" s="3" t="s">
        <v>1545</v>
      </c>
      <c r="C1163" s="21">
        <v>1781892215848680</v>
      </c>
      <c r="D1163" s="3" t="s">
        <v>1505</v>
      </c>
      <c r="E1163" s="21">
        <v>412741</v>
      </c>
      <c r="F1163" s="3" t="s">
        <v>103</v>
      </c>
      <c r="G1163" s="3" t="s">
        <v>89</v>
      </c>
      <c r="H1163" s="3" t="s">
        <v>179</v>
      </c>
      <c r="I1163" s="3"/>
    </row>
    <row r="1164" spans="1:9" x14ac:dyDescent="0.25">
      <c r="B1164" t="s">
        <v>1546</v>
      </c>
      <c r="C1164" s="12">
        <v>1781892320699420</v>
      </c>
      <c r="D1164" t="s">
        <v>1547</v>
      </c>
      <c r="E1164" t="s">
        <v>87</v>
      </c>
      <c r="F1164" t="s">
        <v>88</v>
      </c>
      <c r="G1164" t="s">
        <v>89</v>
      </c>
      <c r="H1164" t="s">
        <v>184</v>
      </c>
    </row>
    <row r="1165" spans="1:9" x14ac:dyDescent="0.25">
      <c r="B1165" t="s">
        <v>1548</v>
      </c>
      <c r="C1165" s="12">
        <v>1781892320700110</v>
      </c>
      <c r="D1165" t="s">
        <v>1547</v>
      </c>
      <c r="E1165" t="s">
        <v>108</v>
      </c>
      <c r="F1165" t="s">
        <v>166</v>
      </c>
      <c r="G1165" t="s">
        <v>167</v>
      </c>
      <c r="H1165" t="s">
        <v>711</v>
      </c>
    </row>
    <row r="1166" spans="1:9" x14ac:dyDescent="0.25">
      <c r="A1166" s="3">
        <v>34</v>
      </c>
      <c r="B1166" s="3" t="s">
        <v>1549</v>
      </c>
      <c r="C1166" s="21">
        <v>1781892331703920</v>
      </c>
      <c r="D1166" s="3" t="s">
        <v>1547</v>
      </c>
      <c r="E1166" s="21">
        <v>11005</v>
      </c>
      <c r="F1166" s="3" t="s">
        <v>98</v>
      </c>
      <c r="G1166" s="3" t="s">
        <v>99</v>
      </c>
      <c r="H1166" s="3" t="s">
        <v>100</v>
      </c>
      <c r="I1166" s="3" t="s">
        <v>101</v>
      </c>
    </row>
    <row r="1167" spans="1:9" x14ac:dyDescent="0.25">
      <c r="A1167" s="3">
        <v>34</v>
      </c>
      <c r="B1167" s="3" t="s">
        <v>1550</v>
      </c>
      <c r="C1167" s="21">
        <v>1781892369568270</v>
      </c>
      <c r="D1167" s="3" t="s">
        <v>1547</v>
      </c>
      <c r="E1167" s="21">
        <v>48869</v>
      </c>
      <c r="F1167" s="3" t="s">
        <v>166</v>
      </c>
      <c r="G1167" s="3" t="s">
        <v>167</v>
      </c>
      <c r="H1167" s="3" t="s">
        <v>711</v>
      </c>
      <c r="I1167" s="3"/>
    </row>
    <row r="1168" spans="1:9" x14ac:dyDescent="0.25">
      <c r="A1168" s="3">
        <v>34</v>
      </c>
      <c r="B1168" s="3" t="s">
        <v>1551</v>
      </c>
      <c r="C1168" s="21">
        <v>1781892430257320</v>
      </c>
      <c r="D1168" s="3" t="s">
        <v>1547</v>
      </c>
      <c r="E1168" s="21">
        <v>109558</v>
      </c>
      <c r="F1168" s="3" t="s">
        <v>98</v>
      </c>
      <c r="G1168" s="3" t="s">
        <v>99</v>
      </c>
      <c r="H1168" s="3" t="s">
        <v>120</v>
      </c>
      <c r="I1168" s="3" t="s">
        <v>121</v>
      </c>
    </row>
    <row r="1169" spans="1:9" x14ac:dyDescent="0.25">
      <c r="A1169" s="3">
        <v>34</v>
      </c>
      <c r="B1169" s="3" t="s">
        <v>1552</v>
      </c>
      <c r="C1169" s="21">
        <v>1781892430257570</v>
      </c>
      <c r="D1169" s="3" t="s">
        <v>1547</v>
      </c>
      <c r="E1169" s="21">
        <v>109558</v>
      </c>
      <c r="F1169" s="3" t="s">
        <v>123</v>
      </c>
      <c r="G1169" s="3" t="s">
        <v>124</v>
      </c>
      <c r="H1169" s="3" t="s">
        <v>120</v>
      </c>
      <c r="I1169" s="3" t="s">
        <v>125</v>
      </c>
    </row>
    <row r="1170" spans="1:9" x14ac:dyDescent="0.25">
      <c r="A1170" s="3">
        <v>34</v>
      </c>
      <c r="B1170" s="3" t="s">
        <v>1553</v>
      </c>
      <c r="C1170" s="21">
        <v>1781892430260150</v>
      </c>
      <c r="D1170" s="3" t="s">
        <v>1547</v>
      </c>
      <c r="E1170" s="21">
        <v>109561</v>
      </c>
      <c r="F1170" s="3" t="s">
        <v>93</v>
      </c>
      <c r="G1170" s="3" t="s">
        <v>94</v>
      </c>
      <c r="H1170" s="3" t="s">
        <v>118</v>
      </c>
      <c r="I1170" s="3" t="s">
        <v>118</v>
      </c>
    </row>
    <row r="1171" spans="1:9" x14ac:dyDescent="0.25">
      <c r="A1171" s="3">
        <v>34</v>
      </c>
      <c r="B1171" s="3" t="s">
        <v>1554</v>
      </c>
      <c r="C1171" s="21">
        <v>1781892462569560</v>
      </c>
      <c r="D1171" s="3" t="s">
        <v>1547</v>
      </c>
      <c r="E1171" s="21">
        <v>141870</v>
      </c>
      <c r="F1171" s="3" t="s">
        <v>98</v>
      </c>
      <c r="G1171" s="3" t="s">
        <v>99</v>
      </c>
      <c r="H1171" s="3" t="s">
        <v>127</v>
      </c>
      <c r="I1171" s="3" t="s">
        <v>1555</v>
      </c>
    </row>
    <row r="1172" spans="1:9" x14ac:dyDescent="0.25">
      <c r="A1172" s="3">
        <v>34</v>
      </c>
      <c r="B1172" s="3" t="s">
        <v>1556</v>
      </c>
      <c r="C1172" s="21">
        <v>1781892462569760</v>
      </c>
      <c r="D1172" s="3" t="s">
        <v>1547</v>
      </c>
      <c r="E1172" s="21">
        <v>141870</v>
      </c>
      <c r="F1172" s="3" t="s">
        <v>123</v>
      </c>
      <c r="G1172" s="3" t="s">
        <v>124</v>
      </c>
      <c r="H1172" s="3" t="s">
        <v>127</v>
      </c>
      <c r="I1172" s="3" t="s">
        <v>1557</v>
      </c>
    </row>
    <row r="1173" spans="1:9" x14ac:dyDescent="0.25">
      <c r="A1173" s="3">
        <v>34</v>
      </c>
      <c r="B1173" s="3" t="s">
        <v>1558</v>
      </c>
      <c r="C1173" s="21">
        <v>1781892464443490</v>
      </c>
      <c r="D1173" s="3" t="s">
        <v>1547</v>
      </c>
      <c r="E1173" s="21">
        <v>143744</v>
      </c>
      <c r="F1173" s="3" t="s">
        <v>132</v>
      </c>
      <c r="G1173" s="3" t="s">
        <v>133</v>
      </c>
      <c r="H1173" s="3" t="s">
        <v>309</v>
      </c>
      <c r="I1173" s="3" t="s">
        <v>310</v>
      </c>
    </row>
    <row r="1174" spans="1:9" x14ac:dyDescent="0.25">
      <c r="A1174" s="3">
        <v>34</v>
      </c>
      <c r="B1174" s="3" t="s">
        <v>1559</v>
      </c>
      <c r="C1174" s="21">
        <v>1781892495184200</v>
      </c>
      <c r="D1174" s="3" t="s">
        <v>1547</v>
      </c>
      <c r="E1174" s="21">
        <v>174485</v>
      </c>
      <c r="F1174" s="3" t="s">
        <v>103</v>
      </c>
      <c r="G1174" s="3" t="s">
        <v>89</v>
      </c>
      <c r="H1174" s="3" t="s">
        <v>619</v>
      </c>
      <c r="I1174" s="3"/>
    </row>
    <row r="1177" spans="1:9" x14ac:dyDescent="0.25">
      <c r="B1177" t="s">
        <v>1560</v>
      </c>
      <c r="C1177" s="12">
        <v>1781893302349410</v>
      </c>
      <c r="D1177" t="s">
        <v>1561</v>
      </c>
      <c r="E1177" t="s">
        <v>87</v>
      </c>
      <c r="F1177" t="s">
        <v>88</v>
      </c>
      <c r="G1177" t="s">
        <v>89</v>
      </c>
      <c r="H1177" t="s">
        <v>184</v>
      </c>
    </row>
    <row r="1178" spans="1:9" x14ac:dyDescent="0.25">
      <c r="B1178" t="s">
        <v>1562</v>
      </c>
      <c r="C1178" s="12">
        <v>1781893302349940</v>
      </c>
      <c r="D1178" t="s">
        <v>1561</v>
      </c>
      <c r="E1178" t="s">
        <v>108</v>
      </c>
      <c r="F1178" t="s">
        <v>166</v>
      </c>
      <c r="G1178" t="s">
        <v>167</v>
      </c>
      <c r="H1178" t="s">
        <v>711</v>
      </c>
    </row>
    <row r="1179" spans="1:9" x14ac:dyDescent="0.25">
      <c r="A1179" s="4">
        <v>35</v>
      </c>
      <c r="B1179" s="4" t="s">
        <v>1563</v>
      </c>
      <c r="C1179" s="18">
        <v>1781893332527790</v>
      </c>
      <c r="D1179" s="4" t="s">
        <v>1561</v>
      </c>
      <c r="E1179" s="18">
        <v>30178</v>
      </c>
      <c r="F1179" s="4" t="s">
        <v>98</v>
      </c>
      <c r="G1179" s="4" t="s">
        <v>99</v>
      </c>
      <c r="H1179" s="4" t="s">
        <v>100</v>
      </c>
      <c r="I1179" s="4" t="s">
        <v>101</v>
      </c>
    </row>
    <row r="1180" spans="1:9" x14ac:dyDescent="0.25">
      <c r="A1180" s="4">
        <v>35</v>
      </c>
      <c r="B1180" s="4" t="s">
        <v>1564</v>
      </c>
      <c r="C1180" s="18">
        <v>1781893349939660</v>
      </c>
      <c r="D1180" s="4" t="s">
        <v>1561</v>
      </c>
      <c r="E1180" s="18">
        <v>47590</v>
      </c>
      <c r="F1180" s="4" t="s">
        <v>123</v>
      </c>
      <c r="G1180" s="4" t="s">
        <v>124</v>
      </c>
      <c r="H1180" s="4" t="s">
        <v>120</v>
      </c>
      <c r="I1180" s="4" t="s">
        <v>125</v>
      </c>
    </row>
    <row r="1181" spans="1:9" x14ac:dyDescent="0.25">
      <c r="A1181" s="4">
        <v>35</v>
      </c>
      <c r="B1181" s="4" t="s">
        <v>1565</v>
      </c>
      <c r="C1181" s="18">
        <v>1781893349942680</v>
      </c>
      <c r="D1181" s="4" t="s">
        <v>1561</v>
      </c>
      <c r="E1181" s="18">
        <v>47593</v>
      </c>
      <c r="F1181" s="4" t="s">
        <v>98</v>
      </c>
      <c r="G1181" s="4" t="s">
        <v>99</v>
      </c>
      <c r="H1181" s="4" t="s">
        <v>120</v>
      </c>
      <c r="I1181" s="4" t="s">
        <v>121</v>
      </c>
    </row>
    <row r="1182" spans="1:9" x14ac:dyDescent="0.25">
      <c r="A1182" s="4">
        <v>35</v>
      </c>
      <c r="B1182" s="4" t="s">
        <v>1566</v>
      </c>
      <c r="C1182" s="18">
        <v>1781893350341340</v>
      </c>
      <c r="D1182" s="4" t="s">
        <v>1561</v>
      </c>
      <c r="E1182" s="18">
        <v>47992</v>
      </c>
      <c r="F1182" s="4" t="s">
        <v>93</v>
      </c>
      <c r="G1182" s="4" t="s">
        <v>94</v>
      </c>
      <c r="H1182" s="4" t="s">
        <v>118</v>
      </c>
      <c r="I1182" s="4" t="s">
        <v>118</v>
      </c>
    </row>
    <row r="1183" spans="1:9" x14ac:dyDescent="0.25">
      <c r="A1183" s="4">
        <v>35</v>
      </c>
      <c r="B1183" s="4" t="s">
        <v>1567</v>
      </c>
      <c r="C1183" s="18">
        <v>1781893363466440</v>
      </c>
      <c r="D1183" s="4" t="s">
        <v>1561</v>
      </c>
      <c r="E1183" s="18">
        <v>61117</v>
      </c>
      <c r="F1183" s="4" t="s">
        <v>123</v>
      </c>
      <c r="G1183" s="4" t="s">
        <v>124</v>
      </c>
      <c r="H1183" s="4" t="s">
        <v>127</v>
      </c>
      <c r="I1183" s="4" t="s">
        <v>1568</v>
      </c>
    </row>
    <row r="1184" spans="1:9" x14ac:dyDescent="0.25">
      <c r="A1184" s="4">
        <v>35</v>
      </c>
      <c r="B1184" s="4" t="s">
        <v>1569</v>
      </c>
      <c r="C1184" s="18">
        <v>1781893363466800</v>
      </c>
      <c r="D1184" s="4" t="s">
        <v>1561</v>
      </c>
      <c r="E1184" s="18">
        <v>61117</v>
      </c>
      <c r="F1184" s="4" t="s">
        <v>98</v>
      </c>
      <c r="G1184" s="4" t="s">
        <v>99</v>
      </c>
      <c r="H1184" s="4" t="s">
        <v>127</v>
      </c>
      <c r="I1184" s="4" t="s">
        <v>1570</v>
      </c>
    </row>
    <row r="1185" spans="1:9" x14ac:dyDescent="0.25">
      <c r="A1185" s="4">
        <v>35</v>
      </c>
      <c r="B1185" s="4" t="s">
        <v>1571</v>
      </c>
      <c r="C1185" s="18">
        <v>1781893365881830</v>
      </c>
      <c r="D1185" s="4" t="s">
        <v>1561</v>
      </c>
      <c r="E1185" s="18">
        <v>63532</v>
      </c>
      <c r="F1185" s="4" t="s">
        <v>132</v>
      </c>
      <c r="G1185" s="4" t="s">
        <v>133</v>
      </c>
      <c r="H1185" s="4" t="s">
        <v>309</v>
      </c>
      <c r="I1185" s="4" t="s">
        <v>310</v>
      </c>
    </row>
    <row r="1186" spans="1:9" x14ac:dyDescent="0.25">
      <c r="A1186" s="4">
        <v>35</v>
      </c>
      <c r="B1186" s="4" t="s">
        <v>1572</v>
      </c>
      <c r="C1186" s="18">
        <v>1781893370185640</v>
      </c>
      <c r="D1186" s="4" t="s">
        <v>1561</v>
      </c>
      <c r="E1186" s="18">
        <v>67836</v>
      </c>
      <c r="F1186" s="4" t="s">
        <v>98</v>
      </c>
      <c r="G1186" s="4" t="s">
        <v>99</v>
      </c>
      <c r="H1186" s="4" t="s">
        <v>137</v>
      </c>
      <c r="I1186" s="4" t="s">
        <v>313</v>
      </c>
    </row>
    <row r="1187" spans="1:9" x14ac:dyDescent="0.25">
      <c r="A1187" s="4">
        <v>35</v>
      </c>
      <c r="B1187" s="4" t="s">
        <v>1573</v>
      </c>
      <c r="C1187" s="18">
        <v>1781893380553230</v>
      </c>
      <c r="D1187" s="4" t="s">
        <v>1561</v>
      </c>
      <c r="E1187" s="18">
        <v>78204</v>
      </c>
      <c r="F1187" s="4" t="s">
        <v>166</v>
      </c>
      <c r="G1187" s="4" t="s">
        <v>167</v>
      </c>
      <c r="H1187" s="4" t="s">
        <v>213</v>
      </c>
      <c r="I1187" s="4"/>
    </row>
    <row r="1188" spans="1:9" x14ac:dyDescent="0.25">
      <c r="A1188" s="4">
        <v>35</v>
      </c>
      <c r="B1188" s="4" t="s">
        <v>1574</v>
      </c>
      <c r="C1188" s="18">
        <v>1781893427724310</v>
      </c>
      <c r="D1188" s="4" t="s">
        <v>1561</v>
      </c>
      <c r="E1188" s="18">
        <v>125375</v>
      </c>
      <c r="F1188" s="4" t="s">
        <v>123</v>
      </c>
      <c r="G1188" s="4" t="s">
        <v>124</v>
      </c>
      <c r="H1188" s="4" t="s">
        <v>120</v>
      </c>
      <c r="I1188" s="4" t="s">
        <v>144</v>
      </c>
    </row>
    <row r="1189" spans="1:9" x14ac:dyDescent="0.25">
      <c r="A1189" s="4">
        <v>35</v>
      </c>
      <c r="B1189" s="4" t="s">
        <v>1575</v>
      </c>
      <c r="C1189" s="18">
        <v>1781893427871260</v>
      </c>
      <c r="D1189" s="4" t="s">
        <v>1561</v>
      </c>
      <c r="E1189" s="18">
        <v>125522</v>
      </c>
      <c r="F1189" s="4" t="s">
        <v>98</v>
      </c>
      <c r="G1189" s="4" t="s">
        <v>99</v>
      </c>
      <c r="H1189" s="4" t="s">
        <v>120</v>
      </c>
      <c r="I1189" s="4" t="s">
        <v>142</v>
      </c>
    </row>
    <row r="1190" spans="1:9" x14ac:dyDescent="0.25">
      <c r="A1190" s="4">
        <v>35</v>
      </c>
      <c r="B1190" s="4" t="s">
        <v>1576</v>
      </c>
      <c r="C1190" s="18">
        <v>1781893437111450</v>
      </c>
      <c r="D1190" s="4" t="s">
        <v>1561</v>
      </c>
      <c r="E1190" s="18">
        <v>134762</v>
      </c>
      <c r="F1190" s="4" t="s">
        <v>123</v>
      </c>
      <c r="G1190" s="4" t="s">
        <v>124</v>
      </c>
      <c r="H1190" s="4" t="s">
        <v>148</v>
      </c>
      <c r="I1190" s="4" t="s">
        <v>149</v>
      </c>
    </row>
    <row r="1191" spans="1:9" x14ac:dyDescent="0.25">
      <c r="A1191" s="4">
        <v>35</v>
      </c>
      <c r="B1191" s="4" t="s">
        <v>1577</v>
      </c>
      <c r="C1191" s="18">
        <v>1781893437116060</v>
      </c>
      <c r="D1191" s="4" t="s">
        <v>1561</v>
      </c>
      <c r="E1191" s="18">
        <v>134767</v>
      </c>
      <c r="F1191" s="4" t="s">
        <v>98</v>
      </c>
      <c r="G1191" s="4" t="s">
        <v>99</v>
      </c>
      <c r="H1191" s="4" t="s">
        <v>148</v>
      </c>
      <c r="I1191" s="4" t="s">
        <v>151</v>
      </c>
    </row>
    <row r="1192" spans="1:9" x14ac:dyDescent="0.25">
      <c r="A1192" s="4">
        <v>35</v>
      </c>
      <c r="B1192" s="4" t="s">
        <v>1578</v>
      </c>
      <c r="C1192" s="18">
        <v>1781893440723950</v>
      </c>
      <c r="D1192" s="4" t="s">
        <v>1561</v>
      </c>
      <c r="E1192" s="18">
        <v>138375</v>
      </c>
      <c r="F1192" s="4" t="s">
        <v>123</v>
      </c>
      <c r="G1192" s="4" t="s">
        <v>124</v>
      </c>
      <c r="H1192" s="4" t="s">
        <v>120</v>
      </c>
      <c r="I1192" s="4" t="s">
        <v>157</v>
      </c>
    </row>
    <row r="1193" spans="1:9" x14ac:dyDescent="0.25">
      <c r="A1193" s="4">
        <v>35</v>
      </c>
      <c r="B1193" s="4" t="s">
        <v>1579</v>
      </c>
      <c r="C1193" s="18">
        <v>1781893440725670</v>
      </c>
      <c r="D1193" s="4" t="s">
        <v>1561</v>
      </c>
      <c r="E1193" s="18">
        <v>138376</v>
      </c>
      <c r="F1193" s="4" t="s">
        <v>98</v>
      </c>
      <c r="G1193" s="4" t="s">
        <v>99</v>
      </c>
      <c r="H1193" s="4" t="s">
        <v>120</v>
      </c>
      <c r="I1193" s="4" t="s">
        <v>155</v>
      </c>
    </row>
    <row r="1194" spans="1:9" x14ac:dyDescent="0.25">
      <c r="A1194" s="4">
        <v>35</v>
      </c>
      <c r="B1194" s="4" t="s">
        <v>1580</v>
      </c>
      <c r="C1194" s="18">
        <v>1781893442134970</v>
      </c>
      <c r="D1194" s="4" t="s">
        <v>1561</v>
      </c>
      <c r="E1194" s="18">
        <v>139786</v>
      </c>
      <c r="F1194" s="4" t="s">
        <v>123</v>
      </c>
      <c r="G1194" s="4" t="s">
        <v>124</v>
      </c>
      <c r="H1194" s="4" t="s">
        <v>120</v>
      </c>
      <c r="I1194" s="4" t="s">
        <v>159</v>
      </c>
    </row>
    <row r="1195" spans="1:9" x14ac:dyDescent="0.25">
      <c r="A1195" s="4">
        <v>35</v>
      </c>
      <c r="B1195" s="4" t="s">
        <v>1581</v>
      </c>
      <c r="C1195" s="18">
        <v>1781893455756070</v>
      </c>
      <c r="D1195" s="4" t="s">
        <v>1561</v>
      </c>
      <c r="E1195" s="18">
        <v>153407</v>
      </c>
      <c r="F1195" s="4" t="s">
        <v>166</v>
      </c>
      <c r="G1195" s="4" t="s">
        <v>167</v>
      </c>
      <c r="H1195" s="4" t="s">
        <v>1107</v>
      </c>
      <c r="I1195" s="4"/>
    </row>
    <row r="1196" spans="1:9" x14ac:dyDescent="0.25">
      <c r="A1196" s="4">
        <v>35</v>
      </c>
      <c r="B1196" s="4" t="s">
        <v>1582</v>
      </c>
      <c r="C1196" s="18">
        <v>1781893463914220</v>
      </c>
      <c r="D1196" s="4" t="s">
        <v>1561</v>
      </c>
      <c r="E1196" s="18">
        <v>161565</v>
      </c>
      <c r="F1196" s="4" t="s">
        <v>98</v>
      </c>
      <c r="G1196" s="4" t="s">
        <v>99</v>
      </c>
      <c r="H1196" s="4" t="s">
        <v>161</v>
      </c>
      <c r="I1196" s="4" t="s">
        <v>1583</v>
      </c>
    </row>
    <row r="1197" spans="1:9" x14ac:dyDescent="0.25">
      <c r="A1197" s="4">
        <v>35</v>
      </c>
      <c r="B1197" s="4" t="s">
        <v>1584</v>
      </c>
      <c r="C1197" s="18">
        <v>1781893463914430</v>
      </c>
      <c r="D1197" s="4" t="s">
        <v>1561</v>
      </c>
      <c r="E1197" s="18">
        <v>161565</v>
      </c>
      <c r="F1197" s="4" t="s">
        <v>123</v>
      </c>
      <c r="G1197" s="4" t="s">
        <v>124</v>
      </c>
      <c r="H1197" s="4" t="s">
        <v>161</v>
      </c>
      <c r="I1197" s="4" t="s">
        <v>1585</v>
      </c>
    </row>
    <row r="1198" spans="1:9" x14ac:dyDescent="0.25">
      <c r="A1198" s="4">
        <v>35</v>
      </c>
      <c r="B1198" s="4" t="s">
        <v>1586</v>
      </c>
      <c r="C1198" s="18">
        <v>1781893489011420</v>
      </c>
      <c r="D1198" s="4" t="s">
        <v>1561</v>
      </c>
      <c r="E1198" s="18">
        <v>186662</v>
      </c>
      <c r="F1198" s="4" t="s">
        <v>98</v>
      </c>
      <c r="G1198" s="4" t="s">
        <v>99</v>
      </c>
      <c r="H1198" s="4" t="s">
        <v>172</v>
      </c>
      <c r="I1198" s="4" t="s">
        <v>331</v>
      </c>
    </row>
    <row r="1199" spans="1:9" x14ac:dyDescent="0.25">
      <c r="A1199" s="4">
        <v>35</v>
      </c>
      <c r="B1199" s="4" t="s">
        <v>1587</v>
      </c>
      <c r="C1199" s="18">
        <v>1781893532647170</v>
      </c>
      <c r="D1199" s="4" t="s">
        <v>1561</v>
      </c>
      <c r="E1199" s="18">
        <v>230298</v>
      </c>
      <c r="F1199" s="4" t="s">
        <v>98</v>
      </c>
      <c r="G1199" s="4" t="s">
        <v>99</v>
      </c>
      <c r="H1199" s="4" t="s">
        <v>120</v>
      </c>
      <c r="I1199" s="4" t="s">
        <v>177</v>
      </c>
    </row>
    <row r="1200" spans="1:9" x14ac:dyDescent="0.25">
      <c r="A1200" s="4">
        <v>35</v>
      </c>
      <c r="B1200" s="4" t="s">
        <v>1588</v>
      </c>
      <c r="C1200" s="18">
        <v>1781893539603290</v>
      </c>
      <c r="D1200" s="4" t="s">
        <v>1561</v>
      </c>
      <c r="E1200" s="18">
        <v>237254</v>
      </c>
      <c r="F1200" s="4" t="s">
        <v>98</v>
      </c>
      <c r="G1200" s="4" t="s">
        <v>99</v>
      </c>
      <c r="H1200" s="4" t="s">
        <v>179</v>
      </c>
      <c r="I1200" s="4" t="s">
        <v>335</v>
      </c>
    </row>
    <row r="1201" spans="1:9" x14ac:dyDescent="0.25">
      <c r="A1201" s="4">
        <v>35</v>
      </c>
      <c r="B1201" s="4" t="s">
        <v>1589</v>
      </c>
      <c r="C1201" s="18">
        <v>1781893539603410</v>
      </c>
      <c r="D1201" s="4" t="s">
        <v>1561</v>
      </c>
      <c r="E1201" s="18">
        <v>237254</v>
      </c>
      <c r="F1201" s="4" t="s">
        <v>103</v>
      </c>
      <c r="G1201" s="4" t="s">
        <v>89</v>
      </c>
      <c r="H1201" s="4" t="s">
        <v>179</v>
      </c>
      <c r="I1201" s="4"/>
    </row>
    <row r="1202" spans="1:9" x14ac:dyDescent="0.25">
      <c r="B1202" t="s">
        <v>1590</v>
      </c>
      <c r="C1202" s="12">
        <v>1781893620222610</v>
      </c>
      <c r="D1202" t="s">
        <v>1591</v>
      </c>
      <c r="E1202" t="s">
        <v>87</v>
      </c>
      <c r="F1202" t="s">
        <v>88</v>
      </c>
      <c r="G1202" t="s">
        <v>89</v>
      </c>
      <c r="H1202" t="s">
        <v>184</v>
      </c>
    </row>
    <row r="1203" spans="1:9" x14ac:dyDescent="0.25">
      <c r="A1203" t="s">
        <v>1592</v>
      </c>
      <c r="B1203" t="s">
        <v>1593</v>
      </c>
      <c r="C1203" s="12">
        <v>1781893620223330</v>
      </c>
      <c r="D1203" t="s">
        <v>1591</v>
      </c>
      <c r="E1203" t="s">
        <v>108</v>
      </c>
      <c r="F1203" t="s">
        <v>166</v>
      </c>
      <c r="G1203" t="s">
        <v>167</v>
      </c>
      <c r="H1203" t="s">
        <v>711</v>
      </c>
    </row>
    <row r="1204" spans="1:9" x14ac:dyDescent="0.25">
      <c r="A1204" s="10"/>
      <c r="B1204" s="10" t="s">
        <v>1594</v>
      </c>
      <c r="C1204" s="22">
        <v>1781893634979470</v>
      </c>
      <c r="D1204" s="10" t="s">
        <v>1591</v>
      </c>
      <c r="E1204" s="22">
        <v>14757</v>
      </c>
      <c r="F1204" s="10" t="s">
        <v>98</v>
      </c>
      <c r="G1204" s="10" t="s">
        <v>99</v>
      </c>
      <c r="H1204" s="10" t="s">
        <v>100</v>
      </c>
      <c r="I1204" s="10" t="s">
        <v>101</v>
      </c>
    </row>
    <row r="1205" spans="1:9" x14ac:dyDescent="0.25">
      <c r="A1205" s="10"/>
      <c r="B1205" s="10" t="s">
        <v>1595</v>
      </c>
      <c r="C1205" s="22">
        <v>1781893634981170</v>
      </c>
      <c r="D1205" s="10" t="s">
        <v>1591</v>
      </c>
      <c r="E1205" s="22">
        <v>14759</v>
      </c>
      <c r="F1205" s="10" t="s">
        <v>103</v>
      </c>
      <c r="G1205" s="10" t="s">
        <v>89</v>
      </c>
      <c r="H1205" s="10" t="s">
        <v>104</v>
      </c>
      <c r="I1205" s="10"/>
    </row>
    <row r="1206" spans="1:9" x14ac:dyDescent="0.25">
      <c r="A1206" s="10"/>
      <c r="B1206" s="10" t="s">
        <v>1596</v>
      </c>
      <c r="C1206" s="22">
        <v>1781893634981670</v>
      </c>
      <c r="D1206" s="10" t="s">
        <v>1597</v>
      </c>
      <c r="E1206" s="10" t="s">
        <v>87</v>
      </c>
      <c r="F1206" s="10" t="s">
        <v>88</v>
      </c>
      <c r="G1206" s="10" t="s">
        <v>89</v>
      </c>
      <c r="H1206" s="10" t="s">
        <v>90</v>
      </c>
      <c r="I1206" s="10"/>
    </row>
    <row r="1207" spans="1:9" x14ac:dyDescent="0.25">
      <c r="A1207" s="10"/>
      <c r="B1207" s="10" t="s">
        <v>1598</v>
      </c>
      <c r="C1207" s="22">
        <v>1781893634981990</v>
      </c>
      <c r="D1207" s="10" t="s">
        <v>1597</v>
      </c>
      <c r="E1207" s="10" t="s">
        <v>87</v>
      </c>
      <c r="F1207" s="10" t="s">
        <v>93</v>
      </c>
      <c r="G1207" s="10" t="s">
        <v>94</v>
      </c>
      <c r="H1207" s="10" t="s">
        <v>95</v>
      </c>
      <c r="I1207" s="10" t="s">
        <v>95</v>
      </c>
    </row>
    <row r="1208" spans="1:9" x14ac:dyDescent="0.25">
      <c r="A1208" s="10"/>
      <c r="B1208" s="10" t="s">
        <v>1599</v>
      </c>
      <c r="C1208" s="22">
        <v>1781893654086260</v>
      </c>
      <c r="D1208" s="10" t="s">
        <v>1597</v>
      </c>
      <c r="E1208" s="22">
        <v>19105</v>
      </c>
      <c r="F1208" s="10" t="s">
        <v>98</v>
      </c>
      <c r="G1208" s="10" t="s">
        <v>99</v>
      </c>
      <c r="H1208" s="10" t="s">
        <v>120</v>
      </c>
      <c r="I1208" s="10" t="s">
        <v>121</v>
      </c>
    </row>
    <row r="1209" spans="1:9" x14ac:dyDescent="0.25">
      <c r="A1209" s="10"/>
      <c r="B1209" s="10" t="s">
        <v>1600</v>
      </c>
      <c r="C1209" s="22">
        <v>1781893654087600</v>
      </c>
      <c r="D1209" s="10" t="s">
        <v>1597</v>
      </c>
      <c r="E1209" s="22">
        <v>19106</v>
      </c>
      <c r="F1209" s="10" t="s">
        <v>123</v>
      </c>
      <c r="G1209" s="10" t="s">
        <v>124</v>
      </c>
      <c r="H1209" s="10" t="s">
        <v>120</v>
      </c>
      <c r="I1209" s="10" t="s">
        <v>125</v>
      </c>
    </row>
    <row r="1210" spans="1:9" x14ac:dyDescent="0.25">
      <c r="A1210" s="10"/>
      <c r="B1210" s="10" t="s">
        <v>1601</v>
      </c>
      <c r="C1210" s="22">
        <v>1781893664621900</v>
      </c>
      <c r="D1210" s="10" t="s">
        <v>1597</v>
      </c>
      <c r="E1210" s="22">
        <v>29640</v>
      </c>
      <c r="F1210" s="10" t="s">
        <v>98</v>
      </c>
      <c r="G1210" s="10" t="s">
        <v>99</v>
      </c>
      <c r="H1210" s="10" t="s">
        <v>127</v>
      </c>
      <c r="I1210" s="10" t="s">
        <v>1602</v>
      </c>
    </row>
    <row r="1211" spans="1:9" x14ac:dyDescent="0.25">
      <c r="A1211" s="10"/>
      <c r="B1211" s="10" t="s">
        <v>1603</v>
      </c>
      <c r="C1211" s="22">
        <v>1781893664622170</v>
      </c>
      <c r="D1211" s="10" t="s">
        <v>1597</v>
      </c>
      <c r="E1211" s="22">
        <v>29641</v>
      </c>
      <c r="F1211" s="10" t="s">
        <v>123</v>
      </c>
      <c r="G1211" s="10" t="s">
        <v>124</v>
      </c>
      <c r="H1211" s="10" t="s">
        <v>127</v>
      </c>
      <c r="I1211" s="10" t="s">
        <v>1604</v>
      </c>
    </row>
    <row r="1212" spans="1:9" x14ac:dyDescent="0.25">
      <c r="A1212" s="10"/>
      <c r="B1212" s="10" t="s">
        <v>1605</v>
      </c>
      <c r="C1212" s="22">
        <v>1781893666619220</v>
      </c>
      <c r="D1212" s="10" t="s">
        <v>1597</v>
      </c>
      <c r="E1212" s="22">
        <v>31638</v>
      </c>
      <c r="F1212" s="10" t="s">
        <v>132</v>
      </c>
      <c r="G1212" s="10" t="s">
        <v>133</v>
      </c>
      <c r="H1212" s="10" t="s">
        <v>309</v>
      </c>
      <c r="I1212" s="10" t="s">
        <v>310</v>
      </c>
    </row>
    <row r="1213" spans="1:9" x14ac:dyDescent="0.25">
      <c r="A1213" s="10"/>
      <c r="B1213" s="10" t="s">
        <v>1606</v>
      </c>
      <c r="C1213" s="22">
        <v>1781893670118410</v>
      </c>
      <c r="D1213" s="10" t="s">
        <v>1597</v>
      </c>
      <c r="E1213" s="22">
        <v>35137</v>
      </c>
      <c r="F1213" s="10" t="s">
        <v>98</v>
      </c>
      <c r="G1213" s="10" t="s">
        <v>99</v>
      </c>
      <c r="H1213" s="10" t="s">
        <v>137</v>
      </c>
      <c r="I1213" s="10" t="s">
        <v>313</v>
      </c>
    </row>
    <row r="1214" spans="1:9" x14ac:dyDescent="0.25">
      <c r="A1214" s="10"/>
      <c r="B1214" s="10" t="s">
        <v>1607</v>
      </c>
      <c r="C1214" s="22">
        <v>1781893680487610</v>
      </c>
      <c r="D1214" s="10" t="s">
        <v>1597</v>
      </c>
      <c r="E1214" s="22">
        <v>45506</v>
      </c>
      <c r="F1214" s="10" t="s">
        <v>166</v>
      </c>
      <c r="G1214" s="10" t="s">
        <v>167</v>
      </c>
      <c r="H1214" s="10" t="s">
        <v>213</v>
      </c>
      <c r="I1214" s="10"/>
    </row>
    <row r="1215" spans="1:9" x14ac:dyDescent="0.25">
      <c r="A1215" s="10"/>
      <c r="B1215" s="10" t="s">
        <v>1608</v>
      </c>
      <c r="C1215" s="22">
        <v>1781893682870100</v>
      </c>
      <c r="D1215" s="10" t="s">
        <v>1597</v>
      </c>
      <c r="E1215" s="22">
        <v>47888</v>
      </c>
      <c r="F1215" s="10" t="s">
        <v>98</v>
      </c>
      <c r="G1215" s="10" t="s">
        <v>99</v>
      </c>
      <c r="H1215" s="10" t="s">
        <v>120</v>
      </c>
      <c r="I1215" s="10" t="s">
        <v>142</v>
      </c>
    </row>
    <row r="1216" spans="1:9" x14ac:dyDescent="0.25">
      <c r="A1216" s="10"/>
      <c r="B1216" s="10" t="s">
        <v>1609</v>
      </c>
      <c r="C1216" s="22">
        <v>1781893682871120</v>
      </c>
      <c r="D1216" s="10" t="s">
        <v>1597</v>
      </c>
      <c r="E1216" s="22">
        <v>47889</v>
      </c>
      <c r="F1216" s="10" t="s">
        <v>123</v>
      </c>
      <c r="G1216" s="10" t="s">
        <v>124</v>
      </c>
      <c r="H1216" s="10" t="s">
        <v>120</v>
      </c>
      <c r="I1216" s="10" t="s">
        <v>144</v>
      </c>
    </row>
    <row r="1217" spans="1:9" x14ac:dyDescent="0.25">
      <c r="A1217" s="10"/>
      <c r="B1217" s="10" t="s">
        <v>1610</v>
      </c>
      <c r="C1217" s="22">
        <v>1781893692419660</v>
      </c>
      <c r="D1217" s="10" t="s">
        <v>1597</v>
      </c>
      <c r="E1217" s="22">
        <v>57438</v>
      </c>
      <c r="F1217" s="10" t="s">
        <v>98</v>
      </c>
      <c r="G1217" s="10" t="s">
        <v>99</v>
      </c>
      <c r="H1217" s="10" t="s">
        <v>148</v>
      </c>
      <c r="I1217" s="10" t="s">
        <v>151</v>
      </c>
    </row>
    <row r="1218" spans="1:9" x14ac:dyDescent="0.25">
      <c r="A1218" s="10"/>
      <c r="B1218" s="10" t="s">
        <v>1611</v>
      </c>
      <c r="C1218" s="22">
        <v>1781893692419900</v>
      </c>
      <c r="D1218" s="10" t="s">
        <v>1597</v>
      </c>
      <c r="E1218" s="22">
        <v>57438</v>
      </c>
      <c r="F1218" s="10" t="s">
        <v>123</v>
      </c>
      <c r="G1218" s="10" t="s">
        <v>124</v>
      </c>
      <c r="H1218" s="10" t="s">
        <v>148</v>
      </c>
      <c r="I1218" s="10" t="s">
        <v>149</v>
      </c>
    </row>
    <row r="1219" spans="1:9" x14ac:dyDescent="0.25">
      <c r="A1219" s="10"/>
      <c r="B1219" s="10" t="s">
        <v>1612</v>
      </c>
      <c r="C1219" s="22">
        <v>1781893734407250</v>
      </c>
      <c r="D1219" s="10" t="s">
        <v>1597</v>
      </c>
      <c r="E1219" s="22">
        <v>99426</v>
      </c>
      <c r="F1219" s="10" t="s">
        <v>166</v>
      </c>
      <c r="G1219" s="10" t="s">
        <v>167</v>
      </c>
      <c r="H1219" s="10" t="s">
        <v>1613</v>
      </c>
      <c r="I1219" s="10"/>
    </row>
    <row r="1220" spans="1:9" x14ac:dyDescent="0.25">
      <c r="A1220" s="3">
        <v>36</v>
      </c>
      <c r="B1220" s="3" t="s">
        <v>1614</v>
      </c>
      <c r="C1220" s="21">
        <v>1781893788316240</v>
      </c>
      <c r="D1220" s="3" t="s">
        <v>1597</v>
      </c>
      <c r="E1220" s="21">
        <v>153335</v>
      </c>
      <c r="F1220" s="3" t="s">
        <v>98</v>
      </c>
      <c r="G1220" s="3" t="s">
        <v>99</v>
      </c>
      <c r="H1220" s="3" t="s">
        <v>100</v>
      </c>
      <c r="I1220" s="3" t="s">
        <v>101</v>
      </c>
    </row>
    <row r="1221" spans="1:9" x14ac:dyDescent="0.25">
      <c r="A1221" s="3">
        <v>36</v>
      </c>
      <c r="B1221" s="3" t="s">
        <v>1615</v>
      </c>
      <c r="C1221" s="21">
        <v>1781893824299590</v>
      </c>
      <c r="D1221" s="3" t="s">
        <v>1597</v>
      </c>
      <c r="E1221" s="21">
        <v>189318</v>
      </c>
      <c r="F1221" s="3" t="s">
        <v>166</v>
      </c>
      <c r="G1221" s="3" t="s">
        <v>167</v>
      </c>
      <c r="H1221" s="3" t="s">
        <v>711</v>
      </c>
      <c r="I1221" s="3"/>
    </row>
    <row r="1222" spans="1:9" x14ac:dyDescent="0.25">
      <c r="A1222" s="3">
        <v>36</v>
      </c>
      <c r="B1222" s="3" t="s">
        <v>1616</v>
      </c>
      <c r="C1222" s="21">
        <v>1781893873352640</v>
      </c>
      <c r="D1222" s="3" t="s">
        <v>1597</v>
      </c>
      <c r="E1222" s="21">
        <v>238371</v>
      </c>
      <c r="F1222" s="3" t="s">
        <v>98</v>
      </c>
      <c r="G1222" s="3" t="s">
        <v>99</v>
      </c>
      <c r="H1222" s="3" t="s">
        <v>120</v>
      </c>
      <c r="I1222" s="3" t="s">
        <v>121</v>
      </c>
    </row>
    <row r="1223" spans="1:9" x14ac:dyDescent="0.25">
      <c r="A1223" s="3">
        <v>36</v>
      </c>
      <c r="B1223" s="3" t="s">
        <v>1617</v>
      </c>
      <c r="C1223" s="21">
        <v>1781893873455190</v>
      </c>
      <c r="D1223" s="3" t="s">
        <v>1597</v>
      </c>
      <c r="E1223" s="21">
        <v>238474</v>
      </c>
      <c r="F1223" s="3" t="s">
        <v>123</v>
      </c>
      <c r="G1223" s="3" t="s">
        <v>124</v>
      </c>
      <c r="H1223" s="3" t="s">
        <v>120</v>
      </c>
      <c r="I1223" s="3" t="s">
        <v>125</v>
      </c>
    </row>
    <row r="1224" spans="1:9" x14ac:dyDescent="0.25">
      <c r="A1224" s="3">
        <v>36</v>
      </c>
      <c r="B1224" s="3" t="s">
        <v>1618</v>
      </c>
      <c r="C1224" s="21">
        <v>1781893918446980</v>
      </c>
      <c r="D1224" s="3" t="s">
        <v>1597</v>
      </c>
      <c r="E1224" s="21">
        <v>283465</v>
      </c>
      <c r="F1224" s="3" t="s">
        <v>123</v>
      </c>
      <c r="G1224" s="3" t="s">
        <v>124</v>
      </c>
      <c r="H1224" s="3" t="s">
        <v>120</v>
      </c>
      <c r="I1224" s="3" t="s">
        <v>631</v>
      </c>
    </row>
    <row r="1225" spans="1:9" x14ac:dyDescent="0.25">
      <c r="A1225" s="3">
        <v>36</v>
      </c>
      <c r="B1225" s="3" t="s">
        <v>1619</v>
      </c>
      <c r="C1225" s="21">
        <v>1781893918457660</v>
      </c>
      <c r="D1225" s="3" t="s">
        <v>1597</v>
      </c>
      <c r="E1225" s="21">
        <v>283476</v>
      </c>
      <c r="F1225" s="3" t="s">
        <v>98</v>
      </c>
      <c r="G1225" s="3" t="s">
        <v>99</v>
      </c>
      <c r="H1225" s="3" t="s">
        <v>120</v>
      </c>
      <c r="I1225" s="3" t="s">
        <v>633</v>
      </c>
    </row>
    <row r="1226" spans="1:9" x14ac:dyDescent="0.25">
      <c r="A1226" s="3">
        <v>36</v>
      </c>
      <c r="B1226" s="3" t="s">
        <v>1620</v>
      </c>
      <c r="C1226" s="21">
        <v>1781893926643540</v>
      </c>
      <c r="D1226" s="3" t="s">
        <v>1597</v>
      </c>
      <c r="E1226" s="21">
        <v>291662</v>
      </c>
      <c r="F1226" s="3" t="s">
        <v>98</v>
      </c>
      <c r="G1226" s="3" t="s">
        <v>99</v>
      </c>
      <c r="H1226" s="3" t="s">
        <v>120</v>
      </c>
      <c r="I1226" s="3" t="s">
        <v>121</v>
      </c>
    </row>
    <row r="1227" spans="1:9" x14ac:dyDescent="0.25">
      <c r="A1227" s="3">
        <v>36</v>
      </c>
      <c r="B1227" s="3" t="s">
        <v>1621</v>
      </c>
      <c r="C1227" s="21">
        <v>1781893926643730</v>
      </c>
      <c r="D1227" s="3" t="s">
        <v>1597</v>
      </c>
      <c r="E1227" s="21">
        <v>291662</v>
      </c>
      <c r="F1227" s="3" t="s">
        <v>123</v>
      </c>
      <c r="G1227" s="3" t="s">
        <v>124</v>
      </c>
      <c r="H1227" s="3" t="s">
        <v>120</v>
      </c>
      <c r="I1227" s="3" t="s">
        <v>125</v>
      </c>
    </row>
    <row r="1228" spans="1:9" x14ac:dyDescent="0.25">
      <c r="A1228" s="3">
        <v>36</v>
      </c>
      <c r="B1228" s="3" t="s">
        <v>1622</v>
      </c>
      <c r="C1228" s="21">
        <v>1781893927048570</v>
      </c>
      <c r="D1228" s="3" t="s">
        <v>1597</v>
      </c>
      <c r="E1228" s="21">
        <v>292067</v>
      </c>
      <c r="F1228" s="3" t="s">
        <v>93</v>
      </c>
      <c r="G1228" s="3" t="s">
        <v>94</v>
      </c>
      <c r="H1228" s="3" t="s">
        <v>118</v>
      </c>
      <c r="I1228" s="3" t="s">
        <v>118</v>
      </c>
    </row>
    <row r="1229" spans="1:9" x14ac:dyDescent="0.25">
      <c r="A1229" s="3">
        <v>36</v>
      </c>
      <c r="B1229" s="3" t="s">
        <v>1623</v>
      </c>
      <c r="C1229" s="21">
        <v>1781893931357470</v>
      </c>
      <c r="D1229" s="3" t="s">
        <v>1597</v>
      </c>
      <c r="E1229" s="21">
        <v>296376</v>
      </c>
      <c r="F1229" s="3" t="s">
        <v>98</v>
      </c>
      <c r="G1229" s="3" t="s">
        <v>99</v>
      </c>
      <c r="H1229" s="3" t="s">
        <v>127</v>
      </c>
      <c r="I1229" s="3" t="s">
        <v>1624</v>
      </c>
    </row>
    <row r="1230" spans="1:9" x14ac:dyDescent="0.25">
      <c r="A1230" s="3">
        <v>36</v>
      </c>
      <c r="B1230" s="3" t="s">
        <v>1625</v>
      </c>
      <c r="C1230" s="21">
        <v>1781893931357710</v>
      </c>
      <c r="D1230" s="3" t="s">
        <v>1597</v>
      </c>
      <c r="E1230" s="21">
        <v>296376</v>
      </c>
      <c r="F1230" s="3" t="s">
        <v>123</v>
      </c>
      <c r="G1230" s="3" t="s">
        <v>124</v>
      </c>
      <c r="H1230" s="3" t="s">
        <v>127</v>
      </c>
      <c r="I1230" s="3" t="s">
        <v>1626</v>
      </c>
    </row>
    <row r="1231" spans="1:9" x14ac:dyDescent="0.25">
      <c r="A1231" s="3">
        <v>36</v>
      </c>
      <c r="B1231" s="3" t="s">
        <v>1627</v>
      </c>
      <c r="C1231" s="21">
        <v>1781893940144350</v>
      </c>
      <c r="D1231" s="3" t="s">
        <v>1597</v>
      </c>
      <c r="E1231" s="21">
        <v>305163</v>
      </c>
      <c r="F1231" s="3" t="s">
        <v>98</v>
      </c>
      <c r="G1231" s="3" t="s">
        <v>99</v>
      </c>
      <c r="H1231" s="3" t="s">
        <v>137</v>
      </c>
      <c r="I1231" s="3" t="s">
        <v>313</v>
      </c>
    </row>
    <row r="1232" spans="1:9" x14ac:dyDescent="0.25">
      <c r="A1232" s="3">
        <v>36</v>
      </c>
      <c r="B1232" s="3" t="s">
        <v>1628</v>
      </c>
      <c r="C1232" s="21">
        <v>1781893971543730</v>
      </c>
      <c r="D1232" s="3" t="s">
        <v>1597</v>
      </c>
      <c r="E1232" s="21">
        <v>336562</v>
      </c>
      <c r="F1232" s="3" t="s">
        <v>166</v>
      </c>
      <c r="G1232" s="3" t="s">
        <v>167</v>
      </c>
      <c r="H1232" s="3" t="s">
        <v>213</v>
      </c>
      <c r="I1232" s="3"/>
    </row>
    <row r="1233" spans="1:9" x14ac:dyDescent="0.25">
      <c r="A1233" s="3">
        <v>36</v>
      </c>
      <c r="B1233" s="3" t="s">
        <v>1629</v>
      </c>
      <c r="C1233" s="21">
        <v>1781893974058190</v>
      </c>
      <c r="D1233" s="3" t="s">
        <v>1597</v>
      </c>
      <c r="E1233" s="21">
        <v>339077</v>
      </c>
      <c r="F1233" s="3" t="s">
        <v>98</v>
      </c>
      <c r="G1233" s="3" t="s">
        <v>99</v>
      </c>
      <c r="H1233" s="3" t="s">
        <v>120</v>
      </c>
      <c r="I1233" s="3" t="s">
        <v>142</v>
      </c>
    </row>
    <row r="1234" spans="1:9" x14ac:dyDescent="0.25">
      <c r="A1234" s="3">
        <v>36</v>
      </c>
      <c r="B1234" s="3" t="s">
        <v>1630</v>
      </c>
      <c r="C1234" s="21">
        <v>1781893974140950</v>
      </c>
      <c r="D1234" s="3" t="s">
        <v>1597</v>
      </c>
      <c r="E1234" s="21">
        <v>339159</v>
      </c>
      <c r="F1234" s="3" t="s">
        <v>123</v>
      </c>
      <c r="G1234" s="3" t="s">
        <v>124</v>
      </c>
      <c r="H1234" s="3" t="s">
        <v>120</v>
      </c>
      <c r="I1234" s="3" t="s">
        <v>144</v>
      </c>
    </row>
    <row r="1235" spans="1:9" x14ac:dyDescent="0.25">
      <c r="A1235" s="3">
        <v>36</v>
      </c>
      <c r="B1235" s="3" t="s">
        <v>1631</v>
      </c>
      <c r="C1235" s="21">
        <v>1781893983422040</v>
      </c>
      <c r="D1235" s="3" t="s">
        <v>1597</v>
      </c>
      <c r="E1235" s="21">
        <v>348440</v>
      </c>
      <c r="F1235" s="3" t="s">
        <v>98</v>
      </c>
      <c r="G1235" s="3" t="s">
        <v>99</v>
      </c>
      <c r="H1235" s="3" t="s">
        <v>148</v>
      </c>
      <c r="I1235" s="3" t="s">
        <v>151</v>
      </c>
    </row>
    <row r="1236" spans="1:9" x14ac:dyDescent="0.25">
      <c r="A1236" s="3">
        <v>36</v>
      </c>
      <c r="B1236" s="3" t="s">
        <v>1632</v>
      </c>
      <c r="C1236" s="21">
        <v>1781893983422230</v>
      </c>
      <c r="D1236" s="3" t="s">
        <v>1597</v>
      </c>
      <c r="E1236" s="21">
        <v>348441</v>
      </c>
      <c r="F1236" s="3" t="s">
        <v>123</v>
      </c>
      <c r="G1236" s="3" t="s">
        <v>124</v>
      </c>
      <c r="H1236" s="3" t="s">
        <v>148</v>
      </c>
      <c r="I1236" s="3" t="s">
        <v>149</v>
      </c>
    </row>
    <row r="1237" spans="1:9" x14ac:dyDescent="0.25">
      <c r="A1237" s="3">
        <v>36</v>
      </c>
      <c r="B1237" s="3" t="s">
        <v>1633</v>
      </c>
      <c r="C1237" s="21">
        <v>1781894031968350</v>
      </c>
      <c r="D1237" s="3" t="s">
        <v>1597</v>
      </c>
      <c r="E1237" s="21">
        <v>396987</v>
      </c>
      <c r="F1237" s="3" t="s">
        <v>166</v>
      </c>
      <c r="G1237" s="3" t="s">
        <v>167</v>
      </c>
      <c r="H1237" s="3" t="s">
        <v>711</v>
      </c>
      <c r="I1237" s="3"/>
    </row>
    <row r="1238" spans="1:9" x14ac:dyDescent="0.25">
      <c r="A1238" s="6">
        <v>37</v>
      </c>
      <c r="B1238" s="6" t="s">
        <v>1634</v>
      </c>
      <c r="C1238" s="11">
        <v>1781894053729500</v>
      </c>
      <c r="D1238" s="6" t="s">
        <v>1597</v>
      </c>
      <c r="E1238" s="11">
        <v>418748</v>
      </c>
      <c r="F1238" s="6" t="s">
        <v>98</v>
      </c>
      <c r="G1238" s="6" t="s">
        <v>99</v>
      </c>
      <c r="H1238" s="6" t="s">
        <v>100</v>
      </c>
      <c r="I1238" s="6" t="s">
        <v>101</v>
      </c>
    </row>
    <row r="1239" spans="1:9" x14ac:dyDescent="0.25">
      <c r="A1239" s="6">
        <v>37</v>
      </c>
      <c r="B1239" s="6" t="s">
        <v>1635</v>
      </c>
      <c r="C1239" s="11">
        <v>1781894070195200</v>
      </c>
      <c r="D1239" s="6" t="s">
        <v>1597</v>
      </c>
      <c r="E1239" s="11">
        <v>435214</v>
      </c>
      <c r="F1239" s="6" t="s">
        <v>98</v>
      </c>
      <c r="G1239" s="6" t="s">
        <v>99</v>
      </c>
      <c r="H1239" s="6" t="s">
        <v>120</v>
      </c>
      <c r="I1239" s="6" t="s">
        <v>121</v>
      </c>
    </row>
    <row r="1240" spans="1:9" x14ac:dyDescent="0.25">
      <c r="A1240" s="6">
        <v>37</v>
      </c>
      <c r="B1240" s="6" t="s">
        <v>1636</v>
      </c>
      <c r="C1240" s="11">
        <v>1781894070196860</v>
      </c>
      <c r="D1240" s="6" t="s">
        <v>1597</v>
      </c>
      <c r="E1240" s="11">
        <v>435215</v>
      </c>
      <c r="F1240" s="6" t="s">
        <v>123</v>
      </c>
      <c r="G1240" s="6" t="s">
        <v>124</v>
      </c>
      <c r="H1240" s="6" t="s">
        <v>120</v>
      </c>
      <c r="I1240" s="6" t="s">
        <v>125</v>
      </c>
    </row>
    <row r="1241" spans="1:9" x14ac:dyDescent="0.25">
      <c r="A1241" s="6">
        <v>37</v>
      </c>
      <c r="B1241" s="6" t="s">
        <v>1637</v>
      </c>
      <c r="C1241" s="11">
        <v>1781894077394140</v>
      </c>
      <c r="D1241" s="6" t="s">
        <v>1597</v>
      </c>
      <c r="E1241" s="11">
        <v>442413</v>
      </c>
      <c r="F1241" s="6" t="s">
        <v>98</v>
      </c>
      <c r="G1241" s="6" t="s">
        <v>99</v>
      </c>
      <c r="H1241" s="6" t="s">
        <v>127</v>
      </c>
      <c r="I1241" s="6" t="s">
        <v>1638</v>
      </c>
    </row>
    <row r="1242" spans="1:9" x14ac:dyDescent="0.25">
      <c r="A1242" s="6">
        <v>37</v>
      </c>
      <c r="B1242" s="6" t="s">
        <v>1639</v>
      </c>
      <c r="C1242" s="11">
        <v>1781894077394510</v>
      </c>
      <c r="D1242" s="6" t="s">
        <v>1597</v>
      </c>
      <c r="E1242" s="11">
        <v>442413</v>
      </c>
      <c r="F1242" s="6" t="s">
        <v>123</v>
      </c>
      <c r="G1242" s="6" t="s">
        <v>124</v>
      </c>
      <c r="H1242" s="6" t="s">
        <v>127</v>
      </c>
      <c r="I1242" s="6" t="s">
        <v>1640</v>
      </c>
    </row>
    <row r="1243" spans="1:9" x14ac:dyDescent="0.25">
      <c r="A1243" s="6">
        <v>37</v>
      </c>
      <c r="B1243" s="6" t="s">
        <v>1641</v>
      </c>
      <c r="C1243" s="11">
        <v>1781894084031010</v>
      </c>
      <c r="D1243" s="6" t="s">
        <v>1597</v>
      </c>
      <c r="E1243" s="11">
        <v>449049</v>
      </c>
      <c r="F1243" s="6" t="s">
        <v>98</v>
      </c>
      <c r="G1243" s="6" t="s">
        <v>99</v>
      </c>
      <c r="H1243" s="6" t="s">
        <v>137</v>
      </c>
      <c r="I1243" s="6" t="s">
        <v>313</v>
      </c>
    </row>
    <row r="1244" spans="1:9" x14ac:dyDescent="0.25">
      <c r="A1244" s="6">
        <v>37</v>
      </c>
      <c r="B1244" s="6" t="s">
        <v>1642</v>
      </c>
      <c r="C1244" s="11">
        <v>1781894097872940</v>
      </c>
      <c r="D1244" s="6" t="s">
        <v>1597</v>
      </c>
      <c r="E1244" s="11">
        <v>462891</v>
      </c>
      <c r="F1244" s="6" t="s">
        <v>98</v>
      </c>
      <c r="G1244" s="6" t="s">
        <v>99</v>
      </c>
      <c r="H1244" s="6" t="s">
        <v>120</v>
      </c>
      <c r="I1244" s="6" t="s">
        <v>142</v>
      </c>
    </row>
    <row r="1245" spans="1:9" x14ac:dyDescent="0.25">
      <c r="A1245" s="6">
        <v>37</v>
      </c>
      <c r="B1245" s="6" t="s">
        <v>1643</v>
      </c>
      <c r="C1245" s="11">
        <v>1781894097886440</v>
      </c>
      <c r="D1245" s="6" t="s">
        <v>1597</v>
      </c>
      <c r="E1245" s="11">
        <v>462905</v>
      </c>
      <c r="F1245" s="6" t="s">
        <v>123</v>
      </c>
      <c r="G1245" s="6" t="s">
        <v>124</v>
      </c>
      <c r="H1245" s="6" t="s">
        <v>120</v>
      </c>
      <c r="I1245" s="6" t="s">
        <v>144</v>
      </c>
    </row>
    <row r="1246" spans="1:9" x14ac:dyDescent="0.25">
      <c r="A1246" s="6">
        <v>37</v>
      </c>
      <c r="B1246" s="6" t="s">
        <v>1644</v>
      </c>
      <c r="C1246" s="11">
        <v>1781894098177570</v>
      </c>
      <c r="D1246" s="6" t="s">
        <v>1597</v>
      </c>
      <c r="E1246" s="11">
        <v>463196</v>
      </c>
      <c r="F1246" s="6" t="s">
        <v>93</v>
      </c>
      <c r="G1246" s="6" t="s">
        <v>94</v>
      </c>
      <c r="H1246" s="6" t="s">
        <v>146</v>
      </c>
      <c r="I1246" s="6" t="s">
        <v>146</v>
      </c>
    </row>
    <row r="1247" spans="1:9" x14ac:dyDescent="0.25">
      <c r="A1247" s="6">
        <v>37</v>
      </c>
      <c r="B1247" s="6" t="s">
        <v>1645</v>
      </c>
      <c r="C1247" s="11">
        <v>1781894107349540</v>
      </c>
      <c r="D1247" s="6" t="s">
        <v>1597</v>
      </c>
      <c r="E1247" s="11">
        <v>472368</v>
      </c>
      <c r="F1247" s="6" t="s">
        <v>123</v>
      </c>
      <c r="G1247" s="6" t="s">
        <v>124</v>
      </c>
      <c r="H1247" s="6" t="s">
        <v>148</v>
      </c>
      <c r="I1247" s="6" t="s">
        <v>149</v>
      </c>
    </row>
    <row r="1248" spans="1:9" x14ac:dyDescent="0.25">
      <c r="A1248" s="6">
        <v>37</v>
      </c>
      <c r="B1248" s="6" t="s">
        <v>1646</v>
      </c>
      <c r="C1248" s="11">
        <v>1781894107356980</v>
      </c>
      <c r="D1248" s="6" t="s">
        <v>1597</v>
      </c>
      <c r="E1248" s="11">
        <v>472375</v>
      </c>
      <c r="F1248" s="6" t="s">
        <v>98</v>
      </c>
      <c r="G1248" s="6" t="s">
        <v>99</v>
      </c>
      <c r="H1248" s="6" t="s">
        <v>148</v>
      </c>
      <c r="I1248" s="6" t="s">
        <v>151</v>
      </c>
    </row>
    <row r="1249" spans="1:9" x14ac:dyDescent="0.25">
      <c r="A1249" s="6">
        <v>37</v>
      </c>
      <c r="B1249" s="6" t="s">
        <v>1647</v>
      </c>
      <c r="C1249" s="11">
        <v>1781894116414130</v>
      </c>
      <c r="D1249" s="6" t="s">
        <v>1597</v>
      </c>
      <c r="E1249" s="11">
        <v>481433</v>
      </c>
      <c r="F1249" s="6" t="s">
        <v>98</v>
      </c>
      <c r="G1249" s="6" t="s">
        <v>99</v>
      </c>
      <c r="H1249" s="6" t="s">
        <v>120</v>
      </c>
      <c r="I1249" s="6" t="s">
        <v>155</v>
      </c>
    </row>
    <row r="1250" spans="1:9" x14ac:dyDescent="0.25">
      <c r="A1250" s="6">
        <v>37</v>
      </c>
      <c r="B1250" s="6" t="s">
        <v>1648</v>
      </c>
      <c r="C1250" s="11">
        <v>1781894116509460</v>
      </c>
      <c r="D1250" s="6" t="s">
        <v>1597</v>
      </c>
      <c r="E1250" s="11">
        <v>481528</v>
      </c>
      <c r="F1250" s="6" t="s">
        <v>123</v>
      </c>
      <c r="G1250" s="6" t="s">
        <v>124</v>
      </c>
      <c r="H1250" s="6" t="s">
        <v>120</v>
      </c>
      <c r="I1250" s="6" t="s">
        <v>157</v>
      </c>
    </row>
    <row r="1251" spans="1:9" x14ac:dyDescent="0.25">
      <c r="A1251" s="6">
        <v>37</v>
      </c>
      <c r="B1251" s="6" t="s">
        <v>1649</v>
      </c>
      <c r="C1251" s="11">
        <v>1781894118214640</v>
      </c>
      <c r="D1251" s="6" t="s">
        <v>1597</v>
      </c>
      <c r="E1251" s="11">
        <v>483233</v>
      </c>
      <c r="F1251" s="6" t="s">
        <v>123</v>
      </c>
      <c r="G1251" s="6" t="s">
        <v>124</v>
      </c>
      <c r="H1251" s="6" t="s">
        <v>120</v>
      </c>
      <c r="I1251" s="6" t="s">
        <v>159</v>
      </c>
    </row>
    <row r="1252" spans="1:9" x14ac:dyDescent="0.25">
      <c r="A1252" s="6">
        <v>37</v>
      </c>
      <c r="B1252" s="6" t="s">
        <v>1650</v>
      </c>
      <c r="C1252" s="11">
        <v>1781894122511050</v>
      </c>
      <c r="D1252" s="6" t="s">
        <v>1597</v>
      </c>
      <c r="E1252" s="11">
        <v>487529</v>
      </c>
      <c r="F1252" s="6" t="s">
        <v>98</v>
      </c>
      <c r="G1252" s="6" t="s">
        <v>99</v>
      </c>
      <c r="H1252" s="6" t="s">
        <v>161</v>
      </c>
      <c r="I1252" s="6" t="s">
        <v>1651</v>
      </c>
    </row>
    <row r="1253" spans="1:9" x14ac:dyDescent="0.25">
      <c r="A1253" s="6">
        <v>37</v>
      </c>
      <c r="B1253" s="6" t="s">
        <v>1652</v>
      </c>
      <c r="C1253" s="11">
        <v>1781894122518300</v>
      </c>
      <c r="D1253" s="6" t="s">
        <v>1597</v>
      </c>
      <c r="E1253" s="11">
        <v>487537</v>
      </c>
      <c r="F1253" s="6" t="s">
        <v>123</v>
      </c>
      <c r="G1253" s="6" t="s">
        <v>124</v>
      </c>
      <c r="H1253" s="6" t="s">
        <v>161</v>
      </c>
      <c r="I1253" s="6" t="s">
        <v>1653</v>
      </c>
    </row>
    <row r="1254" spans="1:9" x14ac:dyDescent="0.25">
      <c r="A1254" s="6">
        <v>37</v>
      </c>
      <c r="B1254" s="6" t="s">
        <v>1654</v>
      </c>
      <c r="C1254" s="11">
        <v>1781894172535990</v>
      </c>
      <c r="D1254" s="6" t="s">
        <v>1597</v>
      </c>
      <c r="E1254" s="11">
        <v>537554</v>
      </c>
      <c r="F1254" s="6" t="s">
        <v>166</v>
      </c>
      <c r="G1254" s="6" t="s">
        <v>167</v>
      </c>
      <c r="H1254" s="6" t="s">
        <v>893</v>
      </c>
      <c r="I1254" s="6"/>
    </row>
    <row r="1255" spans="1:9" x14ac:dyDescent="0.25">
      <c r="A1255" s="6">
        <v>37</v>
      </c>
      <c r="B1255" s="6" t="s">
        <v>1655</v>
      </c>
      <c r="C1255" s="11">
        <v>1781894177190280</v>
      </c>
      <c r="D1255" s="6" t="s">
        <v>1597</v>
      </c>
      <c r="E1255" s="11">
        <v>542209</v>
      </c>
      <c r="F1255" s="6" t="s">
        <v>98</v>
      </c>
      <c r="G1255" s="6" t="s">
        <v>99</v>
      </c>
      <c r="H1255" s="6" t="s">
        <v>120</v>
      </c>
      <c r="I1255" s="6" t="s">
        <v>155</v>
      </c>
    </row>
    <row r="1256" spans="1:9" x14ac:dyDescent="0.25">
      <c r="A1256" s="6">
        <v>37</v>
      </c>
      <c r="B1256" s="6" t="s">
        <v>1656</v>
      </c>
      <c r="C1256" s="11">
        <v>1781894177190680</v>
      </c>
      <c r="D1256" s="6" t="s">
        <v>1597</v>
      </c>
      <c r="E1256" s="11">
        <v>542209</v>
      </c>
      <c r="F1256" s="6" t="s">
        <v>123</v>
      </c>
      <c r="G1256" s="6" t="s">
        <v>124</v>
      </c>
      <c r="H1256" s="6" t="s">
        <v>120</v>
      </c>
      <c r="I1256" s="6" t="s">
        <v>157</v>
      </c>
    </row>
    <row r="1257" spans="1:9" x14ac:dyDescent="0.25">
      <c r="A1257" s="6">
        <v>37</v>
      </c>
      <c r="B1257" s="6" t="s">
        <v>1657</v>
      </c>
      <c r="C1257" s="11">
        <v>1781894178824990</v>
      </c>
      <c r="D1257" s="6" t="s">
        <v>1597</v>
      </c>
      <c r="E1257" s="11">
        <v>543843</v>
      </c>
      <c r="F1257" s="6" t="s">
        <v>123</v>
      </c>
      <c r="G1257" s="6" t="s">
        <v>124</v>
      </c>
      <c r="H1257" s="6" t="s">
        <v>120</v>
      </c>
      <c r="I1257" s="6" t="s">
        <v>159</v>
      </c>
    </row>
    <row r="1258" spans="1:9" x14ac:dyDescent="0.25">
      <c r="A1258" s="6">
        <v>37</v>
      </c>
      <c r="B1258" s="6" t="s">
        <v>1658</v>
      </c>
      <c r="C1258" s="11">
        <v>1781894184721870</v>
      </c>
      <c r="D1258" s="6" t="s">
        <v>1597</v>
      </c>
      <c r="E1258" s="11">
        <v>549740</v>
      </c>
      <c r="F1258" s="6" t="s">
        <v>98</v>
      </c>
      <c r="G1258" s="6" t="s">
        <v>99</v>
      </c>
      <c r="H1258" s="6" t="s">
        <v>161</v>
      </c>
      <c r="I1258" s="6" t="s">
        <v>1659</v>
      </c>
    </row>
    <row r="1259" spans="1:9" x14ac:dyDescent="0.25">
      <c r="A1259" s="6">
        <v>37</v>
      </c>
      <c r="B1259" s="6" t="s">
        <v>1660</v>
      </c>
      <c r="C1259" s="11">
        <v>1781894184722100</v>
      </c>
      <c r="D1259" s="6" t="s">
        <v>1597</v>
      </c>
      <c r="E1259" s="11">
        <v>549740</v>
      </c>
      <c r="F1259" s="6" t="s">
        <v>123</v>
      </c>
      <c r="G1259" s="6" t="s">
        <v>124</v>
      </c>
      <c r="H1259" s="6" t="s">
        <v>161</v>
      </c>
      <c r="I1259" s="6" t="s">
        <v>1661</v>
      </c>
    </row>
    <row r="1260" spans="1:9" x14ac:dyDescent="0.25">
      <c r="A1260" s="6">
        <v>37</v>
      </c>
      <c r="B1260" s="6" t="s">
        <v>1662</v>
      </c>
      <c r="C1260" s="11">
        <v>1781894242519830</v>
      </c>
      <c r="D1260" s="6" t="s">
        <v>1597</v>
      </c>
      <c r="E1260" s="11">
        <v>607538</v>
      </c>
      <c r="F1260" s="6" t="s">
        <v>98</v>
      </c>
      <c r="G1260" s="6" t="s">
        <v>99</v>
      </c>
      <c r="H1260" s="6" t="s">
        <v>172</v>
      </c>
      <c r="I1260" s="6" t="s">
        <v>331</v>
      </c>
    </row>
    <row r="1261" spans="1:9" x14ac:dyDescent="0.25">
      <c r="A1261" s="6">
        <v>37</v>
      </c>
      <c r="B1261" s="6" t="s">
        <v>1663</v>
      </c>
      <c r="C1261" s="11">
        <v>1781894258284670</v>
      </c>
      <c r="D1261" s="6" t="s">
        <v>1597</v>
      </c>
      <c r="E1261" s="11">
        <v>623303</v>
      </c>
      <c r="F1261" s="6" t="s">
        <v>98</v>
      </c>
      <c r="G1261" s="6" t="s">
        <v>99</v>
      </c>
      <c r="H1261" s="6" t="s">
        <v>120</v>
      </c>
      <c r="I1261" s="6" t="s">
        <v>177</v>
      </c>
    </row>
    <row r="1262" spans="1:9" x14ac:dyDescent="0.25">
      <c r="A1262" s="6">
        <v>37</v>
      </c>
      <c r="B1262" s="6" t="s">
        <v>1664</v>
      </c>
      <c r="C1262" s="11">
        <v>1781894265219370</v>
      </c>
      <c r="D1262" s="6" t="s">
        <v>1597</v>
      </c>
      <c r="E1262" s="11">
        <v>630238</v>
      </c>
      <c r="F1262" s="6" t="s">
        <v>98</v>
      </c>
      <c r="G1262" s="6" t="s">
        <v>99</v>
      </c>
      <c r="H1262" s="6" t="s">
        <v>179</v>
      </c>
      <c r="I1262" s="6" t="s">
        <v>335</v>
      </c>
    </row>
    <row r="1263" spans="1:9" x14ac:dyDescent="0.25">
      <c r="A1263" s="6">
        <v>37</v>
      </c>
      <c r="B1263" s="6" t="s">
        <v>1665</v>
      </c>
      <c r="C1263" s="11">
        <v>1781894265219530</v>
      </c>
      <c r="D1263" s="6" t="s">
        <v>1597</v>
      </c>
      <c r="E1263" s="11">
        <v>630238</v>
      </c>
      <c r="F1263" s="6" t="s">
        <v>103</v>
      </c>
      <c r="G1263" s="6" t="s">
        <v>89</v>
      </c>
      <c r="H1263" s="6" t="s">
        <v>179</v>
      </c>
      <c r="I1263" s="6"/>
    </row>
    <row r="1264" spans="1:9" x14ac:dyDescent="0.25">
      <c r="B1264" t="s">
        <v>1666</v>
      </c>
      <c r="C1264" s="12">
        <v>1781894430711200</v>
      </c>
      <c r="D1264" t="s">
        <v>1667</v>
      </c>
      <c r="E1264" t="s">
        <v>87</v>
      </c>
      <c r="F1264" t="s">
        <v>88</v>
      </c>
      <c r="G1264" t="s">
        <v>89</v>
      </c>
      <c r="H1264" t="s">
        <v>184</v>
      </c>
    </row>
    <row r="1265" spans="1:9" x14ac:dyDescent="0.25">
      <c r="B1265" t="s">
        <v>1668</v>
      </c>
      <c r="C1265" s="12">
        <v>1781894430711740</v>
      </c>
      <c r="D1265" t="s">
        <v>1667</v>
      </c>
      <c r="E1265" t="s">
        <v>108</v>
      </c>
      <c r="F1265" t="s">
        <v>166</v>
      </c>
      <c r="G1265" t="s">
        <v>167</v>
      </c>
      <c r="H1265" t="s">
        <v>711</v>
      </c>
    </row>
    <row r="1266" spans="1:9" x14ac:dyDescent="0.25">
      <c r="A1266" s="6">
        <v>38</v>
      </c>
      <c r="B1266" s="6" t="s">
        <v>1669</v>
      </c>
      <c r="C1266" s="11">
        <v>1781894447821760</v>
      </c>
      <c r="D1266" s="6" t="s">
        <v>1667</v>
      </c>
      <c r="E1266" s="11">
        <v>17111</v>
      </c>
      <c r="F1266" s="6" t="s">
        <v>98</v>
      </c>
      <c r="G1266" s="6" t="s">
        <v>99</v>
      </c>
      <c r="H1266" s="6" t="s">
        <v>100</v>
      </c>
      <c r="I1266" s="6" t="s">
        <v>101</v>
      </c>
    </row>
    <row r="1267" spans="1:9" x14ac:dyDescent="0.25">
      <c r="A1267" s="6">
        <v>38</v>
      </c>
      <c r="B1267" s="6" t="s">
        <v>1670</v>
      </c>
      <c r="C1267" s="11">
        <v>1781894463568600</v>
      </c>
      <c r="D1267" s="6" t="s">
        <v>1667</v>
      </c>
      <c r="E1267" s="11">
        <v>32857</v>
      </c>
      <c r="F1267" s="6" t="s">
        <v>98</v>
      </c>
      <c r="G1267" s="6" t="s">
        <v>99</v>
      </c>
      <c r="H1267" s="6" t="s">
        <v>120</v>
      </c>
      <c r="I1267" s="6" t="s">
        <v>121</v>
      </c>
    </row>
    <row r="1268" spans="1:9" x14ac:dyDescent="0.25">
      <c r="A1268" s="6">
        <v>38</v>
      </c>
      <c r="B1268" s="6" t="s">
        <v>1671</v>
      </c>
      <c r="C1268" s="11">
        <v>1781894463576870</v>
      </c>
      <c r="D1268" s="6" t="s">
        <v>1667</v>
      </c>
      <c r="E1268" s="11">
        <v>32866</v>
      </c>
      <c r="F1268" s="6" t="s">
        <v>123</v>
      </c>
      <c r="G1268" s="6" t="s">
        <v>124</v>
      </c>
      <c r="H1268" s="6" t="s">
        <v>120</v>
      </c>
      <c r="I1268" s="6" t="s">
        <v>125</v>
      </c>
    </row>
    <row r="1269" spans="1:9" x14ac:dyDescent="0.25">
      <c r="A1269" s="6">
        <v>38</v>
      </c>
      <c r="B1269" s="6" t="s">
        <v>1672</v>
      </c>
      <c r="C1269" s="11">
        <v>1781894463767620</v>
      </c>
      <c r="D1269" s="6" t="s">
        <v>1667</v>
      </c>
      <c r="E1269" s="11">
        <v>33056</v>
      </c>
      <c r="F1269" s="6" t="s">
        <v>93</v>
      </c>
      <c r="G1269" s="6" t="s">
        <v>94</v>
      </c>
      <c r="H1269" s="6" t="s">
        <v>118</v>
      </c>
      <c r="I1269" s="6" t="s">
        <v>118</v>
      </c>
    </row>
    <row r="1270" spans="1:9" x14ac:dyDescent="0.25">
      <c r="A1270" s="6">
        <v>38</v>
      </c>
      <c r="B1270" s="6" t="s">
        <v>1673</v>
      </c>
      <c r="C1270" s="11">
        <v>1781894472333380</v>
      </c>
      <c r="D1270" s="6" t="s">
        <v>1667</v>
      </c>
      <c r="E1270" s="11">
        <v>41622</v>
      </c>
      <c r="F1270" s="6" t="s">
        <v>123</v>
      </c>
      <c r="G1270" s="6" t="s">
        <v>124</v>
      </c>
      <c r="H1270" s="6" t="s">
        <v>127</v>
      </c>
      <c r="I1270" s="6" t="s">
        <v>1674</v>
      </c>
    </row>
    <row r="1271" spans="1:9" x14ac:dyDescent="0.25">
      <c r="A1271" s="6">
        <v>38</v>
      </c>
      <c r="B1271" s="6" t="s">
        <v>1675</v>
      </c>
      <c r="C1271" s="11">
        <v>1781894472333960</v>
      </c>
      <c r="D1271" s="6" t="s">
        <v>1667</v>
      </c>
      <c r="E1271" s="11">
        <v>41623</v>
      </c>
      <c r="F1271" s="6" t="s">
        <v>98</v>
      </c>
      <c r="G1271" s="6" t="s">
        <v>99</v>
      </c>
      <c r="H1271" s="6" t="s">
        <v>127</v>
      </c>
      <c r="I1271" s="6" t="s">
        <v>1676</v>
      </c>
    </row>
    <row r="1272" spans="1:9" x14ac:dyDescent="0.25">
      <c r="A1272" s="6">
        <v>38</v>
      </c>
      <c r="B1272" s="6" t="s">
        <v>1677</v>
      </c>
      <c r="C1272" s="11">
        <v>1781894474015510</v>
      </c>
      <c r="D1272" s="6" t="s">
        <v>1667</v>
      </c>
      <c r="E1272" s="11">
        <v>43304</v>
      </c>
      <c r="F1272" s="6" t="s">
        <v>132</v>
      </c>
      <c r="G1272" s="6" t="s">
        <v>133</v>
      </c>
      <c r="H1272" s="6" t="s">
        <v>309</v>
      </c>
      <c r="I1272" s="6" t="s">
        <v>310</v>
      </c>
    </row>
    <row r="1273" spans="1:9" x14ac:dyDescent="0.25">
      <c r="A1273" s="6">
        <v>38</v>
      </c>
      <c r="B1273" s="6" t="s">
        <v>1678</v>
      </c>
      <c r="C1273" s="11">
        <v>1781894479596860</v>
      </c>
      <c r="D1273" s="6" t="s">
        <v>1667</v>
      </c>
      <c r="E1273" s="11">
        <v>48886</v>
      </c>
      <c r="F1273" s="6" t="s">
        <v>98</v>
      </c>
      <c r="G1273" s="6" t="s">
        <v>99</v>
      </c>
      <c r="H1273" s="6" t="s">
        <v>137</v>
      </c>
      <c r="I1273" s="6" t="s">
        <v>313</v>
      </c>
    </row>
    <row r="1274" spans="1:9" x14ac:dyDescent="0.25">
      <c r="A1274" s="6">
        <v>38</v>
      </c>
      <c r="B1274" s="6" t="s">
        <v>1679</v>
      </c>
      <c r="C1274" s="11">
        <v>1781894490875190</v>
      </c>
      <c r="D1274" s="6" t="s">
        <v>1667</v>
      </c>
      <c r="E1274" s="11">
        <v>60164</v>
      </c>
      <c r="F1274" s="6" t="s">
        <v>166</v>
      </c>
      <c r="G1274" s="6" t="s">
        <v>167</v>
      </c>
      <c r="H1274" s="6" t="s">
        <v>213</v>
      </c>
      <c r="I1274" s="6"/>
    </row>
    <row r="1275" spans="1:9" x14ac:dyDescent="0.25">
      <c r="A1275" s="6">
        <v>38</v>
      </c>
      <c r="B1275" s="6" t="s">
        <v>1680</v>
      </c>
      <c r="C1275" s="11">
        <v>1781894493633310</v>
      </c>
      <c r="D1275" s="6" t="s">
        <v>1667</v>
      </c>
      <c r="E1275" s="11">
        <v>62922</v>
      </c>
      <c r="F1275" s="6" t="s">
        <v>98</v>
      </c>
      <c r="G1275" s="6" t="s">
        <v>99</v>
      </c>
      <c r="H1275" s="6" t="s">
        <v>120</v>
      </c>
      <c r="I1275" s="6" t="s">
        <v>142</v>
      </c>
    </row>
    <row r="1276" spans="1:9" x14ac:dyDescent="0.25">
      <c r="A1276" s="6">
        <v>38</v>
      </c>
      <c r="B1276" s="6" t="s">
        <v>1681</v>
      </c>
      <c r="C1276" s="11">
        <v>1781894493633810</v>
      </c>
      <c r="D1276" s="6" t="s">
        <v>1667</v>
      </c>
      <c r="E1276" s="11">
        <v>62923</v>
      </c>
      <c r="F1276" s="6" t="s">
        <v>123</v>
      </c>
      <c r="G1276" s="6" t="s">
        <v>124</v>
      </c>
      <c r="H1276" s="6" t="s">
        <v>120</v>
      </c>
      <c r="I1276" s="6" t="s">
        <v>144</v>
      </c>
    </row>
    <row r="1277" spans="1:9" x14ac:dyDescent="0.25">
      <c r="A1277" s="6">
        <v>38</v>
      </c>
      <c r="B1277" s="6" t="s">
        <v>1682</v>
      </c>
      <c r="C1277" s="11">
        <v>1781894493941200</v>
      </c>
      <c r="D1277" s="6" t="s">
        <v>1667</v>
      </c>
      <c r="E1277" s="11">
        <v>63230</v>
      </c>
      <c r="F1277" s="6" t="s">
        <v>93</v>
      </c>
      <c r="G1277" s="6" t="s">
        <v>94</v>
      </c>
      <c r="H1277" s="6" t="s">
        <v>146</v>
      </c>
      <c r="I1277" s="6" t="s">
        <v>146</v>
      </c>
    </row>
    <row r="1278" spans="1:9" x14ac:dyDescent="0.25">
      <c r="A1278" s="6">
        <v>38</v>
      </c>
      <c r="B1278" s="6" t="s">
        <v>1683</v>
      </c>
      <c r="C1278" s="11">
        <v>1781894503088430</v>
      </c>
      <c r="D1278" s="6" t="s">
        <v>1667</v>
      </c>
      <c r="E1278" s="11">
        <v>72377</v>
      </c>
      <c r="F1278" s="6" t="s">
        <v>98</v>
      </c>
      <c r="G1278" s="6" t="s">
        <v>99</v>
      </c>
      <c r="H1278" s="6" t="s">
        <v>148</v>
      </c>
      <c r="I1278" s="6" t="s">
        <v>151</v>
      </c>
    </row>
    <row r="1279" spans="1:9" x14ac:dyDescent="0.25">
      <c r="A1279" s="6">
        <v>38</v>
      </c>
      <c r="B1279" s="6" t="s">
        <v>1684</v>
      </c>
      <c r="C1279" s="11">
        <v>1781894503088700</v>
      </c>
      <c r="D1279" s="6" t="s">
        <v>1667</v>
      </c>
      <c r="E1279" s="11">
        <v>72378</v>
      </c>
      <c r="F1279" s="6" t="s">
        <v>123</v>
      </c>
      <c r="G1279" s="6" t="s">
        <v>124</v>
      </c>
      <c r="H1279" s="6" t="s">
        <v>148</v>
      </c>
      <c r="I1279" s="6" t="s">
        <v>149</v>
      </c>
    </row>
    <row r="1280" spans="1:9" x14ac:dyDescent="0.25">
      <c r="A1280" s="6">
        <v>38</v>
      </c>
      <c r="B1280" s="6" t="s">
        <v>1685</v>
      </c>
      <c r="C1280" s="11">
        <v>1781894517607560</v>
      </c>
      <c r="D1280" s="6" t="s">
        <v>1667</v>
      </c>
      <c r="E1280" s="11">
        <v>86896</v>
      </c>
      <c r="F1280" s="6" t="s">
        <v>166</v>
      </c>
      <c r="G1280" s="6" t="s">
        <v>167</v>
      </c>
      <c r="H1280" s="6" t="s">
        <v>582</v>
      </c>
      <c r="I1280" s="6"/>
    </row>
    <row r="1281" spans="1:9" x14ac:dyDescent="0.25">
      <c r="B1281" t="s">
        <v>1686</v>
      </c>
      <c r="C1281" s="12">
        <v>1781894572197050</v>
      </c>
      <c r="D1281" t="s">
        <v>1667</v>
      </c>
      <c r="E1281" s="12">
        <v>141486</v>
      </c>
      <c r="F1281" t="s">
        <v>166</v>
      </c>
      <c r="G1281" t="s">
        <v>167</v>
      </c>
      <c r="H1281" t="s">
        <v>711</v>
      </c>
    </row>
    <row r="1282" spans="1:9" x14ac:dyDescent="0.25">
      <c r="B1282" t="s">
        <v>1687</v>
      </c>
      <c r="C1282" s="12">
        <v>1781894580764560</v>
      </c>
      <c r="D1282" t="s">
        <v>1667</v>
      </c>
      <c r="E1282" s="12">
        <v>150053</v>
      </c>
      <c r="F1282" t="s">
        <v>166</v>
      </c>
      <c r="G1282" t="s">
        <v>167</v>
      </c>
      <c r="H1282" t="s">
        <v>711</v>
      </c>
    </row>
    <row r="1283" spans="1:9" x14ac:dyDescent="0.25">
      <c r="A1283" s="16">
        <v>39</v>
      </c>
      <c r="B1283" s="16" t="s">
        <v>1688</v>
      </c>
      <c r="C1283" s="17">
        <v>1781894603757430</v>
      </c>
      <c r="D1283" s="16" t="s">
        <v>1667</v>
      </c>
      <c r="E1283" s="17">
        <v>173046</v>
      </c>
      <c r="F1283" s="16" t="s">
        <v>98</v>
      </c>
      <c r="G1283" s="16" t="s">
        <v>99</v>
      </c>
      <c r="H1283" s="16" t="s">
        <v>100</v>
      </c>
      <c r="I1283" s="16" t="s">
        <v>101</v>
      </c>
    </row>
    <row r="1284" spans="1:9" x14ac:dyDescent="0.25">
      <c r="A1284" s="16">
        <v>39</v>
      </c>
      <c r="B1284" s="16" t="s">
        <v>1689</v>
      </c>
      <c r="C1284" s="17">
        <v>1781894626119360</v>
      </c>
      <c r="D1284" s="16" t="s">
        <v>1667</v>
      </c>
      <c r="E1284" s="17">
        <v>195408</v>
      </c>
      <c r="F1284" s="16" t="s">
        <v>98</v>
      </c>
      <c r="G1284" s="16" t="s">
        <v>99</v>
      </c>
      <c r="H1284" s="16" t="s">
        <v>120</v>
      </c>
      <c r="I1284" s="16" t="s">
        <v>121</v>
      </c>
    </row>
    <row r="1285" spans="1:9" x14ac:dyDescent="0.25">
      <c r="A1285" s="16">
        <v>39</v>
      </c>
      <c r="B1285" s="16" t="s">
        <v>1690</v>
      </c>
      <c r="C1285" s="17">
        <v>1781894626119620</v>
      </c>
      <c r="D1285" s="16" t="s">
        <v>1667</v>
      </c>
      <c r="E1285" s="17">
        <v>195408</v>
      </c>
      <c r="F1285" s="16" t="s">
        <v>123</v>
      </c>
      <c r="G1285" s="16" t="s">
        <v>124</v>
      </c>
      <c r="H1285" s="16" t="s">
        <v>120</v>
      </c>
      <c r="I1285" s="16" t="s">
        <v>125</v>
      </c>
    </row>
    <row r="1286" spans="1:9" x14ac:dyDescent="0.25">
      <c r="A1286" s="16">
        <v>39</v>
      </c>
      <c r="B1286" s="16" t="s">
        <v>1691</v>
      </c>
      <c r="C1286" s="17">
        <v>1781894635999320</v>
      </c>
      <c r="D1286" s="16" t="s">
        <v>1667</v>
      </c>
      <c r="E1286" s="17">
        <v>205288</v>
      </c>
      <c r="F1286" s="16" t="s">
        <v>123</v>
      </c>
      <c r="G1286" s="16" t="s">
        <v>124</v>
      </c>
      <c r="H1286" s="16" t="s">
        <v>127</v>
      </c>
      <c r="I1286" s="16" t="s">
        <v>1692</v>
      </c>
    </row>
    <row r="1287" spans="1:9" x14ac:dyDescent="0.25">
      <c r="A1287" s="16">
        <v>39</v>
      </c>
      <c r="B1287" s="16" t="s">
        <v>1693</v>
      </c>
      <c r="C1287" s="17">
        <v>1781894636108950</v>
      </c>
      <c r="D1287" s="16" t="s">
        <v>1667</v>
      </c>
      <c r="E1287" s="17">
        <v>205398</v>
      </c>
      <c r="F1287" s="16" t="s">
        <v>98</v>
      </c>
      <c r="G1287" s="16" t="s">
        <v>99</v>
      </c>
      <c r="H1287" s="16" t="s">
        <v>127</v>
      </c>
      <c r="I1287" s="16" t="s">
        <v>1694</v>
      </c>
    </row>
    <row r="1288" spans="1:9" x14ac:dyDescent="0.25">
      <c r="A1288" s="16">
        <v>39</v>
      </c>
      <c r="B1288" s="16" t="s">
        <v>1695</v>
      </c>
      <c r="C1288" s="17">
        <v>1781894644069750</v>
      </c>
      <c r="D1288" s="16" t="s">
        <v>1667</v>
      </c>
      <c r="E1288" s="17">
        <v>213359</v>
      </c>
      <c r="F1288" s="16" t="s">
        <v>98</v>
      </c>
      <c r="G1288" s="16" t="s">
        <v>99</v>
      </c>
      <c r="H1288" s="16" t="s">
        <v>137</v>
      </c>
      <c r="I1288" s="16" t="s">
        <v>313</v>
      </c>
    </row>
    <row r="1289" spans="1:9" x14ac:dyDescent="0.25">
      <c r="A1289" s="16">
        <v>39</v>
      </c>
      <c r="B1289" s="16" t="s">
        <v>1696</v>
      </c>
      <c r="C1289" s="17">
        <v>1781894656102170</v>
      </c>
      <c r="D1289" s="16" t="s">
        <v>1667</v>
      </c>
      <c r="E1289" s="17">
        <v>225391</v>
      </c>
      <c r="F1289" s="16" t="s">
        <v>166</v>
      </c>
      <c r="G1289" s="16" t="s">
        <v>167</v>
      </c>
      <c r="H1289" s="16" t="s">
        <v>213</v>
      </c>
      <c r="I1289" s="16"/>
    </row>
    <row r="1290" spans="1:9" x14ac:dyDescent="0.25">
      <c r="A1290" s="16">
        <v>39</v>
      </c>
      <c r="B1290" s="16" t="s">
        <v>1697</v>
      </c>
      <c r="C1290" s="17">
        <v>1781894659022970</v>
      </c>
      <c r="D1290" s="16" t="s">
        <v>1667</v>
      </c>
      <c r="E1290" s="17">
        <v>228312</v>
      </c>
      <c r="F1290" s="16" t="s">
        <v>98</v>
      </c>
      <c r="G1290" s="16" t="s">
        <v>99</v>
      </c>
      <c r="H1290" s="16" t="s">
        <v>120</v>
      </c>
      <c r="I1290" s="16" t="s">
        <v>142</v>
      </c>
    </row>
    <row r="1291" spans="1:9" x14ac:dyDescent="0.25">
      <c r="A1291" s="16">
        <v>39</v>
      </c>
      <c r="B1291" s="16" t="s">
        <v>1698</v>
      </c>
      <c r="C1291" s="17">
        <v>1781894659102370</v>
      </c>
      <c r="D1291" s="16" t="s">
        <v>1667</v>
      </c>
      <c r="E1291" s="17">
        <v>228391</v>
      </c>
      <c r="F1291" s="16" t="s">
        <v>123</v>
      </c>
      <c r="G1291" s="16" t="s">
        <v>124</v>
      </c>
      <c r="H1291" s="16" t="s">
        <v>120</v>
      </c>
      <c r="I1291" s="16" t="s">
        <v>144</v>
      </c>
    </row>
    <row r="1292" spans="1:9" x14ac:dyDescent="0.25">
      <c r="A1292" s="16">
        <v>39</v>
      </c>
      <c r="B1292" s="16" t="s">
        <v>1699</v>
      </c>
      <c r="C1292" s="17">
        <v>1781894659304740</v>
      </c>
      <c r="D1292" s="16" t="s">
        <v>1667</v>
      </c>
      <c r="E1292" s="17">
        <v>228594</v>
      </c>
      <c r="F1292" s="16" t="s">
        <v>93</v>
      </c>
      <c r="G1292" s="16" t="s">
        <v>94</v>
      </c>
      <c r="H1292" s="16" t="s">
        <v>146</v>
      </c>
      <c r="I1292" s="16" t="s">
        <v>146</v>
      </c>
    </row>
    <row r="1293" spans="1:9" x14ac:dyDescent="0.25">
      <c r="A1293" s="16">
        <v>39</v>
      </c>
      <c r="B1293" s="16" t="s">
        <v>1700</v>
      </c>
      <c r="C1293" s="17">
        <v>1781894668441520</v>
      </c>
      <c r="D1293" s="16" t="s">
        <v>1667</v>
      </c>
      <c r="E1293" s="17">
        <v>237730</v>
      </c>
      <c r="F1293" s="16" t="s">
        <v>98</v>
      </c>
      <c r="G1293" s="16" t="s">
        <v>99</v>
      </c>
      <c r="H1293" s="16" t="s">
        <v>148</v>
      </c>
      <c r="I1293" s="16" t="s">
        <v>151</v>
      </c>
    </row>
    <row r="1294" spans="1:9" x14ac:dyDescent="0.25">
      <c r="A1294" s="16">
        <v>39</v>
      </c>
      <c r="B1294" s="16" t="s">
        <v>1701</v>
      </c>
      <c r="C1294" s="17">
        <v>1781894668441700</v>
      </c>
      <c r="D1294" s="16" t="s">
        <v>1667</v>
      </c>
      <c r="E1294" s="17">
        <v>237731</v>
      </c>
      <c r="F1294" s="16" t="s">
        <v>123</v>
      </c>
      <c r="G1294" s="16" t="s">
        <v>124</v>
      </c>
      <c r="H1294" s="16" t="s">
        <v>148</v>
      </c>
      <c r="I1294" s="16" t="s">
        <v>149</v>
      </c>
    </row>
    <row r="1295" spans="1:9" x14ac:dyDescent="0.25">
      <c r="A1295" s="16">
        <v>39</v>
      </c>
      <c r="B1295" s="16" t="s">
        <v>1702</v>
      </c>
      <c r="C1295" s="17">
        <v>1781894677740560</v>
      </c>
      <c r="D1295" s="16" t="s">
        <v>1667</v>
      </c>
      <c r="E1295" s="17">
        <v>247029</v>
      </c>
      <c r="F1295" s="16" t="s">
        <v>98</v>
      </c>
      <c r="G1295" s="16" t="s">
        <v>99</v>
      </c>
      <c r="H1295" s="16" t="s">
        <v>120</v>
      </c>
      <c r="I1295" s="16" t="s">
        <v>155</v>
      </c>
    </row>
    <row r="1296" spans="1:9" x14ac:dyDescent="0.25">
      <c r="A1296" s="16">
        <v>39</v>
      </c>
      <c r="B1296" s="16" t="s">
        <v>1703</v>
      </c>
      <c r="C1296" s="17">
        <v>1781894677740790</v>
      </c>
      <c r="D1296" s="16" t="s">
        <v>1667</v>
      </c>
      <c r="E1296" s="17">
        <v>247030</v>
      </c>
      <c r="F1296" s="16" t="s">
        <v>123</v>
      </c>
      <c r="G1296" s="16" t="s">
        <v>124</v>
      </c>
      <c r="H1296" s="16" t="s">
        <v>120</v>
      </c>
      <c r="I1296" s="16" t="s">
        <v>157</v>
      </c>
    </row>
    <row r="1297" spans="1:9" x14ac:dyDescent="0.25">
      <c r="A1297" s="16">
        <v>39</v>
      </c>
      <c r="B1297" s="16" t="s">
        <v>1704</v>
      </c>
      <c r="C1297" s="17">
        <v>1781894679143040</v>
      </c>
      <c r="D1297" s="16" t="s">
        <v>1667</v>
      </c>
      <c r="E1297" s="17">
        <v>248432</v>
      </c>
      <c r="F1297" s="16" t="s">
        <v>123</v>
      </c>
      <c r="G1297" s="16" t="s">
        <v>124</v>
      </c>
      <c r="H1297" s="16" t="s">
        <v>120</v>
      </c>
      <c r="I1297" s="16" t="s">
        <v>159</v>
      </c>
    </row>
    <row r="1298" spans="1:9" x14ac:dyDescent="0.25">
      <c r="A1298" s="16">
        <v>39</v>
      </c>
      <c r="B1298" s="16" t="s">
        <v>1705</v>
      </c>
      <c r="C1298" s="17">
        <v>1781894724236420</v>
      </c>
      <c r="D1298" s="16" t="s">
        <v>1667</v>
      </c>
      <c r="E1298" s="17">
        <v>293525</v>
      </c>
      <c r="F1298" s="16" t="s">
        <v>98</v>
      </c>
      <c r="G1298" s="16" t="s">
        <v>99</v>
      </c>
      <c r="H1298" s="16" t="s">
        <v>120</v>
      </c>
      <c r="I1298" s="16" t="s">
        <v>262</v>
      </c>
    </row>
    <row r="1299" spans="1:9" x14ac:dyDescent="0.25">
      <c r="A1299" s="16">
        <v>39</v>
      </c>
      <c r="B1299" s="16" t="s">
        <v>1706</v>
      </c>
      <c r="C1299" s="17">
        <v>1781894724239320</v>
      </c>
      <c r="D1299" s="16" t="s">
        <v>1667</v>
      </c>
      <c r="E1299" s="17">
        <v>293528</v>
      </c>
      <c r="F1299" s="16" t="s">
        <v>123</v>
      </c>
      <c r="G1299" s="16" t="s">
        <v>124</v>
      </c>
      <c r="H1299" s="16" t="s">
        <v>120</v>
      </c>
      <c r="I1299" s="16" t="s">
        <v>260</v>
      </c>
    </row>
    <row r="1300" spans="1:9" x14ac:dyDescent="0.25">
      <c r="A1300" s="16">
        <v>39</v>
      </c>
      <c r="B1300" s="16" t="s">
        <v>1707</v>
      </c>
      <c r="C1300" s="17">
        <v>1781894731459870</v>
      </c>
      <c r="D1300" s="16" t="s">
        <v>1667</v>
      </c>
      <c r="E1300" s="17">
        <v>300749</v>
      </c>
      <c r="F1300" s="16" t="s">
        <v>166</v>
      </c>
      <c r="G1300" s="16" t="s">
        <v>167</v>
      </c>
      <c r="H1300" s="16" t="s">
        <v>1107</v>
      </c>
      <c r="I1300" s="16"/>
    </row>
    <row r="1301" spans="1:9" x14ac:dyDescent="0.25">
      <c r="A1301" s="16">
        <v>39</v>
      </c>
      <c r="B1301" s="16" t="s">
        <v>1708</v>
      </c>
      <c r="C1301" s="17">
        <v>1781894740517490</v>
      </c>
      <c r="D1301" s="16" t="s">
        <v>1667</v>
      </c>
      <c r="E1301" s="17">
        <v>309806</v>
      </c>
      <c r="F1301" s="16" t="s">
        <v>166</v>
      </c>
      <c r="G1301" s="16" t="s">
        <v>167</v>
      </c>
      <c r="H1301" s="16" t="s">
        <v>893</v>
      </c>
      <c r="I1301" s="16"/>
    </row>
    <row r="1302" spans="1:9" x14ac:dyDescent="0.25">
      <c r="A1302" s="16">
        <v>39</v>
      </c>
      <c r="B1302" s="16" t="s">
        <v>1709</v>
      </c>
      <c r="C1302" s="17">
        <v>1781894755083470</v>
      </c>
      <c r="D1302" s="16" t="s">
        <v>1667</v>
      </c>
      <c r="E1302" s="17">
        <v>324372</v>
      </c>
      <c r="F1302" s="16" t="s">
        <v>98</v>
      </c>
      <c r="G1302" s="16" t="s">
        <v>99</v>
      </c>
      <c r="H1302" s="16" t="s">
        <v>120</v>
      </c>
      <c r="I1302" s="16" t="s">
        <v>155</v>
      </c>
    </row>
    <row r="1303" spans="1:9" x14ac:dyDescent="0.25">
      <c r="A1303" s="16">
        <v>39</v>
      </c>
      <c r="B1303" s="16" t="s">
        <v>1710</v>
      </c>
      <c r="C1303" s="17">
        <v>1781894755083660</v>
      </c>
      <c r="D1303" s="16" t="s">
        <v>1667</v>
      </c>
      <c r="E1303" s="17">
        <v>324373</v>
      </c>
      <c r="F1303" s="16" t="s">
        <v>123</v>
      </c>
      <c r="G1303" s="16" t="s">
        <v>124</v>
      </c>
      <c r="H1303" s="16" t="s">
        <v>120</v>
      </c>
      <c r="I1303" s="16" t="s">
        <v>157</v>
      </c>
    </row>
    <row r="1304" spans="1:9" x14ac:dyDescent="0.25">
      <c r="A1304" s="16">
        <v>39</v>
      </c>
      <c r="B1304" s="16" t="s">
        <v>1711</v>
      </c>
      <c r="C1304" s="17">
        <v>1781894756873610</v>
      </c>
      <c r="D1304" s="16" t="s">
        <v>1667</v>
      </c>
      <c r="E1304" s="17">
        <v>326162</v>
      </c>
      <c r="F1304" s="16" t="s">
        <v>123</v>
      </c>
      <c r="G1304" s="16" t="s">
        <v>124</v>
      </c>
      <c r="H1304" s="16" t="s">
        <v>120</v>
      </c>
      <c r="I1304" s="16" t="s">
        <v>159</v>
      </c>
    </row>
    <row r="1305" spans="1:9" x14ac:dyDescent="0.25">
      <c r="A1305" s="16">
        <v>39</v>
      </c>
      <c r="B1305" s="16" t="s">
        <v>1712</v>
      </c>
      <c r="C1305" s="17">
        <v>1781894801704480</v>
      </c>
      <c r="D1305" s="16" t="s">
        <v>1667</v>
      </c>
      <c r="E1305" s="17">
        <v>370993</v>
      </c>
      <c r="F1305" s="16" t="s">
        <v>98</v>
      </c>
      <c r="G1305" s="16" t="s">
        <v>99</v>
      </c>
      <c r="H1305" s="16" t="s">
        <v>120</v>
      </c>
      <c r="I1305" s="16" t="s">
        <v>262</v>
      </c>
    </row>
    <row r="1306" spans="1:9" x14ac:dyDescent="0.25">
      <c r="A1306" s="16">
        <v>39</v>
      </c>
      <c r="B1306" s="16" t="s">
        <v>1713</v>
      </c>
      <c r="C1306" s="17">
        <v>1781894801704670</v>
      </c>
      <c r="D1306" s="16" t="s">
        <v>1667</v>
      </c>
      <c r="E1306" s="17">
        <v>370994</v>
      </c>
      <c r="F1306" s="16" t="s">
        <v>123</v>
      </c>
      <c r="G1306" s="16" t="s">
        <v>124</v>
      </c>
      <c r="H1306" s="16" t="s">
        <v>120</v>
      </c>
      <c r="I1306" s="16" t="s">
        <v>260</v>
      </c>
    </row>
    <row r="1307" spans="1:9" x14ac:dyDescent="0.25">
      <c r="A1307" s="16">
        <v>39</v>
      </c>
      <c r="B1307" s="16" t="s">
        <v>1714</v>
      </c>
      <c r="C1307" s="17">
        <v>1781894823367340</v>
      </c>
      <c r="D1307" s="16" t="s">
        <v>1667</v>
      </c>
      <c r="E1307" s="17">
        <v>392656</v>
      </c>
      <c r="F1307" s="16" t="s">
        <v>123</v>
      </c>
      <c r="G1307" s="16" t="s">
        <v>124</v>
      </c>
      <c r="H1307" s="16" t="s">
        <v>120</v>
      </c>
      <c r="I1307" s="16" t="s">
        <v>157</v>
      </c>
    </row>
    <row r="1308" spans="1:9" x14ac:dyDescent="0.25">
      <c r="A1308" s="16">
        <v>39</v>
      </c>
      <c r="B1308" s="16" t="s">
        <v>1715</v>
      </c>
      <c r="C1308" s="17">
        <v>1781894823367690</v>
      </c>
      <c r="D1308" s="16" t="s">
        <v>1667</v>
      </c>
      <c r="E1308" s="17">
        <v>392657</v>
      </c>
      <c r="F1308" s="16" t="s">
        <v>98</v>
      </c>
      <c r="G1308" s="16" t="s">
        <v>99</v>
      </c>
      <c r="H1308" s="16" t="s">
        <v>120</v>
      </c>
      <c r="I1308" s="16" t="s">
        <v>155</v>
      </c>
    </row>
    <row r="1309" spans="1:9" x14ac:dyDescent="0.25">
      <c r="A1309" s="16">
        <v>39</v>
      </c>
      <c r="B1309" s="16" t="s">
        <v>1716</v>
      </c>
      <c r="C1309" s="17">
        <v>1781894824942070</v>
      </c>
      <c r="D1309" s="16" t="s">
        <v>1667</v>
      </c>
      <c r="E1309" s="17">
        <v>394231</v>
      </c>
      <c r="F1309" s="16" t="s">
        <v>123</v>
      </c>
      <c r="G1309" s="16" t="s">
        <v>124</v>
      </c>
      <c r="H1309" s="16" t="s">
        <v>120</v>
      </c>
      <c r="I1309" s="16" t="s">
        <v>159</v>
      </c>
    </row>
    <row r="1310" spans="1:9" x14ac:dyDescent="0.25">
      <c r="A1310" s="16">
        <v>39</v>
      </c>
      <c r="B1310" s="16" t="s">
        <v>1717</v>
      </c>
      <c r="C1310" s="17">
        <v>1781894870060520</v>
      </c>
      <c r="D1310" s="16" t="s">
        <v>1667</v>
      </c>
      <c r="E1310" s="17">
        <v>439349</v>
      </c>
      <c r="F1310" s="16" t="s">
        <v>98</v>
      </c>
      <c r="G1310" s="16" t="s">
        <v>99</v>
      </c>
      <c r="H1310" s="16" t="s">
        <v>120</v>
      </c>
      <c r="I1310" s="16" t="s">
        <v>262</v>
      </c>
    </row>
    <row r="1311" spans="1:9" x14ac:dyDescent="0.25">
      <c r="A1311" s="16">
        <v>39</v>
      </c>
      <c r="B1311" s="16" t="s">
        <v>1718</v>
      </c>
      <c r="C1311" s="17">
        <v>1781894870144570</v>
      </c>
      <c r="D1311" s="16" t="s">
        <v>1667</v>
      </c>
      <c r="E1311" s="17">
        <v>439433</v>
      </c>
      <c r="F1311" s="16" t="s">
        <v>123</v>
      </c>
      <c r="G1311" s="16" t="s">
        <v>124</v>
      </c>
      <c r="H1311" s="16" t="s">
        <v>120</v>
      </c>
      <c r="I1311" s="16" t="s">
        <v>260</v>
      </c>
    </row>
    <row r="1312" spans="1:9" x14ac:dyDescent="0.25">
      <c r="A1312" s="16">
        <v>39</v>
      </c>
      <c r="B1312" s="16" t="s">
        <v>1719</v>
      </c>
      <c r="C1312" s="17">
        <v>1781894957067040</v>
      </c>
      <c r="D1312" s="16" t="s">
        <v>1667</v>
      </c>
      <c r="E1312" s="17">
        <v>526356</v>
      </c>
      <c r="F1312" s="16" t="s">
        <v>98</v>
      </c>
      <c r="G1312" s="16" t="s">
        <v>99</v>
      </c>
      <c r="H1312" s="16" t="s">
        <v>120</v>
      </c>
      <c r="I1312" s="16" t="s">
        <v>155</v>
      </c>
    </row>
    <row r="1313" spans="1:9" x14ac:dyDescent="0.25">
      <c r="A1313" s="16">
        <v>39</v>
      </c>
      <c r="B1313" s="16" t="s">
        <v>1720</v>
      </c>
      <c r="C1313" s="17">
        <v>1781894957067350</v>
      </c>
      <c r="D1313" s="16" t="s">
        <v>1667</v>
      </c>
      <c r="E1313" s="17">
        <v>526356</v>
      </c>
      <c r="F1313" s="16" t="s">
        <v>123</v>
      </c>
      <c r="G1313" s="16" t="s">
        <v>124</v>
      </c>
      <c r="H1313" s="16" t="s">
        <v>120</v>
      </c>
      <c r="I1313" s="16" t="s">
        <v>157</v>
      </c>
    </row>
    <row r="1314" spans="1:9" x14ac:dyDescent="0.25">
      <c r="A1314" s="16">
        <v>39</v>
      </c>
      <c r="B1314" s="16" t="s">
        <v>1721</v>
      </c>
      <c r="C1314" s="17">
        <v>1781894958371280</v>
      </c>
      <c r="D1314" s="16" t="s">
        <v>1667</v>
      </c>
      <c r="E1314" s="17">
        <v>527660</v>
      </c>
      <c r="F1314" s="16" t="s">
        <v>123</v>
      </c>
      <c r="G1314" s="16" t="s">
        <v>124</v>
      </c>
      <c r="H1314" s="16" t="s">
        <v>120</v>
      </c>
      <c r="I1314" s="16" t="s">
        <v>159</v>
      </c>
    </row>
    <row r="1315" spans="1:9" x14ac:dyDescent="0.25">
      <c r="A1315" s="16">
        <v>39</v>
      </c>
      <c r="B1315" s="16" t="s">
        <v>1722</v>
      </c>
      <c r="C1315" s="17">
        <v>1781894984351740</v>
      </c>
      <c r="D1315" s="16" t="s">
        <v>1667</v>
      </c>
      <c r="E1315" s="17">
        <v>553641</v>
      </c>
      <c r="F1315" s="16" t="s">
        <v>123</v>
      </c>
      <c r="G1315" s="16" t="s">
        <v>124</v>
      </c>
      <c r="H1315" s="16" t="s">
        <v>161</v>
      </c>
      <c r="I1315" s="16" t="s">
        <v>1723</v>
      </c>
    </row>
    <row r="1316" spans="1:9" x14ac:dyDescent="0.25">
      <c r="A1316" s="16">
        <v>39</v>
      </c>
      <c r="B1316" s="16" t="s">
        <v>1724</v>
      </c>
      <c r="C1316" s="17">
        <v>1781894984352440</v>
      </c>
      <c r="D1316" s="16" t="s">
        <v>1667</v>
      </c>
      <c r="E1316" s="17">
        <v>553641</v>
      </c>
      <c r="F1316" s="16" t="s">
        <v>98</v>
      </c>
      <c r="G1316" s="16" t="s">
        <v>99</v>
      </c>
      <c r="H1316" s="16" t="s">
        <v>161</v>
      </c>
      <c r="I1316" s="16" t="s">
        <v>1725</v>
      </c>
    </row>
    <row r="1317" spans="1:9" x14ac:dyDescent="0.25">
      <c r="A1317" s="16">
        <v>39</v>
      </c>
      <c r="B1317" s="16" t="s">
        <v>1726</v>
      </c>
      <c r="C1317" s="17">
        <v>1781895022233630</v>
      </c>
      <c r="D1317" s="16" t="s">
        <v>1667</v>
      </c>
      <c r="E1317" s="17">
        <v>591522</v>
      </c>
      <c r="F1317" s="16" t="s">
        <v>98</v>
      </c>
      <c r="G1317" s="16" t="s">
        <v>99</v>
      </c>
      <c r="H1317" s="16" t="s">
        <v>172</v>
      </c>
      <c r="I1317" s="16" t="s">
        <v>331</v>
      </c>
    </row>
    <row r="1318" spans="1:9" x14ac:dyDescent="0.25">
      <c r="A1318" s="16">
        <v>39</v>
      </c>
      <c r="B1318" s="16" t="s">
        <v>1727</v>
      </c>
      <c r="C1318" s="17">
        <v>1781895022523500</v>
      </c>
      <c r="D1318" s="16" t="s">
        <v>1667</v>
      </c>
      <c r="E1318" s="17">
        <v>591812</v>
      </c>
      <c r="F1318" s="16" t="s">
        <v>93</v>
      </c>
      <c r="G1318" s="16" t="s">
        <v>94</v>
      </c>
      <c r="H1318" s="16" t="s">
        <v>170</v>
      </c>
      <c r="I1318" s="16" t="s">
        <v>170</v>
      </c>
    </row>
    <row r="1319" spans="1:9" x14ac:dyDescent="0.25">
      <c r="A1319" s="16">
        <v>39</v>
      </c>
      <c r="B1319" s="16" t="s">
        <v>1728</v>
      </c>
      <c r="C1319" s="17">
        <v>1781895070194290</v>
      </c>
      <c r="D1319" s="16" t="s">
        <v>1667</v>
      </c>
      <c r="E1319" s="17">
        <v>639483</v>
      </c>
      <c r="F1319" s="16" t="s">
        <v>98</v>
      </c>
      <c r="G1319" s="16" t="s">
        <v>99</v>
      </c>
      <c r="H1319" s="16" t="s">
        <v>120</v>
      </c>
      <c r="I1319" s="16" t="s">
        <v>177</v>
      </c>
    </row>
    <row r="1320" spans="1:9" x14ac:dyDescent="0.25">
      <c r="A1320" s="16">
        <v>39</v>
      </c>
      <c r="B1320" s="16" t="s">
        <v>1729</v>
      </c>
      <c r="C1320" s="17">
        <v>1781895070491440</v>
      </c>
      <c r="D1320" s="16" t="s">
        <v>1667</v>
      </c>
      <c r="E1320" s="17">
        <v>639780</v>
      </c>
      <c r="F1320" s="16" t="s">
        <v>93</v>
      </c>
      <c r="G1320" s="16" t="s">
        <v>94</v>
      </c>
      <c r="H1320" s="16" t="s">
        <v>175</v>
      </c>
      <c r="I1320" s="16" t="s">
        <v>175</v>
      </c>
    </row>
    <row r="1321" spans="1:9" x14ac:dyDescent="0.25">
      <c r="A1321" s="16">
        <v>39</v>
      </c>
      <c r="B1321" s="16" t="s">
        <v>1730</v>
      </c>
      <c r="C1321" s="17">
        <v>1781895077211050</v>
      </c>
      <c r="D1321" s="16" t="s">
        <v>1667</v>
      </c>
      <c r="E1321" s="17">
        <v>646500</v>
      </c>
      <c r="F1321" s="16" t="s">
        <v>98</v>
      </c>
      <c r="G1321" s="16" t="s">
        <v>99</v>
      </c>
      <c r="H1321" s="16" t="s">
        <v>179</v>
      </c>
      <c r="I1321" s="16" t="s">
        <v>335</v>
      </c>
    </row>
    <row r="1322" spans="1:9" x14ac:dyDescent="0.25">
      <c r="A1322" s="16">
        <v>39</v>
      </c>
      <c r="B1322" s="16" t="s">
        <v>1731</v>
      </c>
      <c r="C1322" s="17">
        <v>1781895077211180</v>
      </c>
      <c r="D1322" s="16" t="s">
        <v>1667</v>
      </c>
      <c r="E1322" s="17">
        <v>646500</v>
      </c>
      <c r="F1322" s="16" t="s">
        <v>103</v>
      </c>
      <c r="G1322" s="16" t="s">
        <v>89</v>
      </c>
      <c r="H1322" s="16" t="s">
        <v>179</v>
      </c>
      <c r="I1322" s="16"/>
    </row>
    <row r="1323" spans="1:9" x14ac:dyDescent="0.25">
      <c r="B1323" t="s">
        <v>1732</v>
      </c>
      <c r="C1323" s="12">
        <v>1781895179759380</v>
      </c>
      <c r="D1323" t="s">
        <v>1733</v>
      </c>
      <c r="E1323" t="s">
        <v>87</v>
      </c>
      <c r="F1323" t="s">
        <v>88</v>
      </c>
      <c r="G1323" t="s">
        <v>89</v>
      </c>
      <c r="H1323" t="s">
        <v>184</v>
      </c>
    </row>
    <row r="1324" spans="1:9" x14ac:dyDescent="0.25">
      <c r="B1324" t="s">
        <v>1734</v>
      </c>
      <c r="C1324" s="12">
        <v>1781895179759870</v>
      </c>
      <c r="D1324" t="s">
        <v>1733</v>
      </c>
      <c r="E1324" t="s">
        <v>108</v>
      </c>
      <c r="F1324" t="s">
        <v>166</v>
      </c>
      <c r="G1324" t="s">
        <v>167</v>
      </c>
      <c r="H1324" t="s">
        <v>711</v>
      </c>
    </row>
    <row r="1325" spans="1:9" x14ac:dyDescent="0.25">
      <c r="A1325" s="6">
        <v>40</v>
      </c>
      <c r="B1325" s="6" t="s">
        <v>1735</v>
      </c>
      <c r="C1325" s="11">
        <v>1781895205871180</v>
      </c>
      <c r="D1325" s="6" t="s">
        <v>1733</v>
      </c>
      <c r="E1325" s="11">
        <v>26112</v>
      </c>
      <c r="F1325" s="6" t="s">
        <v>98</v>
      </c>
      <c r="G1325" s="6" t="s">
        <v>99</v>
      </c>
      <c r="H1325" s="6" t="s">
        <v>100</v>
      </c>
      <c r="I1325" s="6" t="s">
        <v>101</v>
      </c>
    </row>
    <row r="1326" spans="1:9" x14ac:dyDescent="0.25">
      <c r="A1326" s="6">
        <v>40</v>
      </c>
      <c r="B1326" s="6" t="s">
        <v>1736</v>
      </c>
      <c r="C1326" s="11">
        <v>1781895222038160</v>
      </c>
      <c r="D1326" s="6" t="s">
        <v>1733</v>
      </c>
      <c r="E1326" s="11">
        <v>42279</v>
      </c>
      <c r="F1326" s="6" t="s">
        <v>98</v>
      </c>
      <c r="G1326" s="6" t="s">
        <v>99</v>
      </c>
      <c r="H1326" s="6" t="s">
        <v>120</v>
      </c>
      <c r="I1326" s="6" t="s">
        <v>121</v>
      </c>
    </row>
    <row r="1327" spans="1:9" x14ac:dyDescent="0.25">
      <c r="A1327" s="6">
        <v>40</v>
      </c>
      <c r="B1327" s="6" t="s">
        <v>1737</v>
      </c>
      <c r="C1327" s="11">
        <v>1781895222045270</v>
      </c>
      <c r="D1327" s="6" t="s">
        <v>1733</v>
      </c>
      <c r="E1327" s="11">
        <v>42286</v>
      </c>
      <c r="F1327" s="6" t="s">
        <v>123</v>
      </c>
      <c r="G1327" s="6" t="s">
        <v>124</v>
      </c>
      <c r="H1327" s="6" t="s">
        <v>120</v>
      </c>
      <c r="I1327" s="6" t="s">
        <v>125</v>
      </c>
    </row>
    <row r="1328" spans="1:9" x14ac:dyDescent="0.25">
      <c r="A1328" s="6">
        <v>40</v>
      </c>
      <c r="B1328" s="6" t="s">
        <v>1738</v>
      </c>
      <c r="C1328" s="11">
        <v>1781895234229250</v>
      </c>
      <c r="D1328" s="6" t="s">
        <v>1733</v>
      </c>
      <c r="E1328" s="11">
        <v>54470</v>
      </c>
      <c r="F1328" s="6" t="s">
        <v>123</v>
      </c>
      <c r="G1328" s="6" t="s">
        <v>124</v>
      </c>
      <c r="H1328" s="6" t="s">
        <v>127</v>
      </c>
      <c r="I1328" s="6" t="s">
        <v>1739</v>
      </c>
    </row>
    <row r="1329" spans="1:9" x14ac:dyDescent="0.25">
      <c r="A1329" s="6">
        <v>40</v>
      </c>
      <c r="B1329" s="6" t="s">
        <v>1740</v>
      </c>
      <c r="C1329" s="11">
        <v>1781895234229810</v>
      </c>
      <c r="D1329" s="6" t="s">
        <v>1733</v>
      </c>
      <c r="E1329" s="11">
        <v>54470</v>
      </c>
      <c r="F1329" s="6" t="s">
        <v>98</v>
      </c>
      <c r="G1329" s="6" t="s">
        <v>99</v>
      </c>
      <c r="H1329" s="6" t="s">
        <v>127</v>
      </c>
      <c r="I1329" s="6" t="s">
        <v>1741</v>
      </c>
    </row>
    <row r="1330" spans="1:9" x14ac:dyDescent="0.25">
      <c r="A1330" s="6">
        <v>40</v>
      </c>
      <c r="B1330" s="6" t="s">
        <v>1742</v>
      </c>
      <c r="C1330" s="11">
        <v>1781895236212850</v>
      </c>
      <c r="D1330" s="6" t="s">
        <v>1733</v>
      </c>
      <c r="E1330" s="11">
        <v>56454</v>
      </c>
      <c r="F1330" s="6" t="s">
        <v>132</v>
      </c>
      <c r="G1330" s="6" t="s">
        <v>133</v>
      </c>
      <c r="H1330" s="6" t="s">
        <v>134</v>
      </c>
      <c r="I1330" s="6" t="s">
        <v>135</v>
      </c>
    </row>
    <row r="1331" spans="1:9" x14ac:dyDescent="0.25">
      <c r="A1331" s="6">
        <v>40</v>
      </c>
      <c r="B1331" s="6" t="s">
        <v>1743</v>
      </c>
      <c r="C1331" s="11">
        <v>1781895241266310</v>
      </c>
      <c r="D1331" s="6" t="s">
        <v>1733</v>
      </c>
      <c r="E1331" s="11">
        <v>61507</v>
      </c>
      <c r="F1331" s="6" t="s">
        <v>98</v>
      </c>
      <c r="G1331" s="6" t="s">
        <v>99</v>
      </c>
      <c r="H1331" s="6" t="s">
        <v>137</v>
      </c>
      <c r="I1331" s="6" t="s">
        <v>138</v>
      </c>
    </row>
    <row r="1332" spans="1:9" x14ac:dyDescent="0.25">
      <c r="A1332" s="6">
        <v>40</v>
      </c>
      <c r="B1332" s="6" t="s">
        <v>1744</v>
      </c>
      <c r="C1332" s="11">
        <v>1781895241573280</v>
      </c>
      <c r="D1332" s="6" t="s">
        <v>1733</v>
      </c>
      <c r="E1332" s="11">
        <v>61814</v>
      </c>
      <c r="F1332" s="6" t="s">
        <v>93</v>
      </c>
      <c r="G1332" s="6" t="s">
        <v>94</v>
      </c>
      <c r="H1332" s="6" t="s">
        <v>140</v>
      </c>
      <c r="I1332" s="6" t="s">
        <v>140</v>
      </c>
    </row>
    <row r="1333" spans="1:9" x14ac:dyDescent="0.25">
      <c r="A1333" s="6">
        <v>40</v>
      </c>
      <c r="B1333" s="6" t="s">
        <v>1745</v>
      </c>
      <c r="C1333" s="11">
        <v>1781895250319470</v>
      </c>
      <c r="D1333" s="6" t="s">
        <v>1733</v>
      </c>
      <c r="E1333" s="11">
        <v>70560</v>
      </c>
      <c r="F1333" s="6" t="s">
        <v>166</v>
      </c>
      <c r="G1333" s="6" t="s">
        <v>167</v>
      </c>
      <c r="H1333" s="6" t="s">
        <v>213</v>
      </c>
      <c r="I1333" s="6"/>
    </row>
    <row r="1334" spans="1:9" x14ac:dyDescent="0.25">
      <c r="A1334" s="6">
        <v>40</v>
      </c>
      <c r="B1334" s="6" t="s">
        <v>1746</v>
      </c>
      <c r="C1334" s="11">
        <v>1781895253403220</v>
      </c>
      <c r="D1334" s="6" t="s">
        <v>1733</v>
      </c>
      <c r="E1334" s="11">
        <v>73644</v>
      </c>
      <c r="F1334" s="6" t="s">
        <v>123</v>
      </c>
      <c r="G1334" s="6" t="s">
        <v>124</v>
      </c>
      <c r="H1334" s="6" t="s">
        <v>120</v>
      </c>
      <c r="I1334" s="6" t="s">
        <v>144</v>
      </c>
    </row>
    <row r="1335" spans="1:9" x14ac:dyDescent="0.25">
      <c r="A1335" s="6">
        <v>40</v>
      </c>
      <c r="B1335" s="6" t="s">
        <v>1747</v>
      </c>
      <c r="C1335" s="11">
        <v>1781895253403630</v>
      </c>
      <c r="D1335" s="6" t="s">
        <v>1733</v>
      </c>
      <c r="E1335" s="11">
        <v>73644</v>
      </c>
      <c r="F1335" s="6" t="s">
        <v>98</v>
      </c>
      <c r="G1335" s="6" t="s">
        <v>99</v>
      </c>
      <c r="H1335" s="6" t="s">
        <v>120</v>
      </c>
      <c r="I1335" s="6" t="s">
        <v>142</v>
      </c>
    </row>
    <row r="1336" spans="1:9" x14ac:dyDescent="0.25">
      <c r="A1336" s="6">
        <v>40</v>
      </c>
      <c r="B1336" s="6" t="s">
        <v>1748</v>
      </c>
      <c r="C1336" s="11">
        <v>1781895262421760</v>
      </c>
      <c r="D1336" s="6" t="s">
        <v>1733</v>
      </c>
      <c r="E1336" s="11">
        <v>82662</v>
      </c>
      <c r="F1336" s="6" t="s">
        <v>98</v>
      </c>
      <c r="G1336" s="6" t="s">
        <v>99</v>
      </c>
      <c r="H1336" s="6" t="s">
        <v>148</v>
      </c>
      <c r="I1336" s="6" t="s">
        <v>151</v>
      </c>
    </row>
    <row r="1337" spans="1:9" x14ac:dyDescent="0.25">
      <c r="A1337" s="6">
        <v>40</v>
      </c>
      <c r="B1337" s="6" t="s">
        <v>1749</v>
      </c>
      <c r="C1337" s="11">
        <v>1781895262421950</v>
      </c>
      <c r="D1337" s="6" t="s">
        <v>1733</v>
      </c>
      <c r="E1337" s="11">
        <v>82663</v>
      </c>
      <c r="F1337" s="6" t="s">
        <v>123</v>
      </c>
      <c r="G1337" s="6" t="s">
        <v>124</v>
      </c>
      <c r="H1337" s="6" t="s">
        <v>148</v>
      </c>
      <c r="I1337" s="6" t="s">
        <v>149</v>
      </c>
    </row>
    <row r="1338" spans="1:9" x14ac:dyDescent="0.25">
      <c r="A1338" s="6">
        <v>40</v>
      </c>
      <c r="B1338" s="6" t="s">
        <v>1750</v>
      </c>
      <c r="C1338" s="11">
        <v>1781895266276680</v>
      </c>
      <c r="D1338" s="6" t="s">
        <v>1733</v>
      </c>
      <c r="E1338" s="11">
        <v>86517</v>
      </c>
      <c r="F1338" s="6" t="s">
        <v>123</v>
      </c>
      <c r="G1338" s="6" t="s">
        <v>124</v>
      </c>
      <c r="H1338" s="6" t="s">
        <v>120</v>
      </c>
      <c r="I1338" s="6" t="s">
        <v>157</v>
      </c>
    </row>
    <row r="1339" spans="1:9" x14ac:dyDescent="0.25">
      <c r="A1339" s="6">
        <v>40</v>
      </c>
      <c r="B1339" s="6" t="s">
        <v>1751</v>
      </c>
      <c r="C1339" s="11">
        <v>1781895266277830</v>
      </c>
      <c r="D1339" s="6" t="s">
        <v>1733</v>
      </c>
      <c r="E1339" s="11">
        <v>86518</v>
      </c>
      <c r="F1339" s="6" t="s">
        <v>98</v>
      </c>
      <c r="G1339" s="6" t="s">
        <v>99</v>
      </c>
      <c r="H1339" s="6" t="s">
        <v>120</v>
      </c>
      <c r="I1339" s="6" t="s">
        <v>155</v>
      </c>
    </row>
    <row r="1340" spans="1:9" x14ac:dyDescent="0.25">
      <c r="A1340" s="6">
        <v>40</v>
      </c>
      <c r="B1340" s="6" t="s">
        <v>1752</v>
      </c>
      <c r="C1340" s="11">
        <v>1781895268078900</v>
      </c>
      <c r="D1340" s="6" t="s">
        <v>1733</v>
      </c>
      <c r="E1340" s="11">
        <v>88320</v>
      </c>
      <c r="F1340" s="6" t="s">
        <v>123</v>
      </c>
      <c r="G1340" s="6" t="s">
        <v>124</v>
      </c>
      <c r="H1340" s="6" t="s">
        <v>120</v>
      </c>
      <c r="I1340" s="6" t="s">
        <v>159</v>
      </c>
    </row>
    <row r="1341" spans="1:9" x14ac:dyDescent="0.25">
      <c r="A1341" s="6">
        <v>40</v>
      </c>
      <c r="B1341" s="6" t="s">
        <v>1753</v>
      </c>
      <c r="C1341" s="11">
        <v>1781895288783650</v>
      </c>
      <c r="D1341" s="6" t="s">
        <v>1733</v>
      </c>
      <c r="E1341" s="11">
        <v>109024</v>
      </c>
      <c r="F1341" s="6" t="s">
        <v>123</v>
      </c>
      <c r="G1341" s="6" t="s">
        <v>124</v>
      </c>
      <c r="H1341" s="6" t="s">
        <v>161</v>
      </c>
      <c r="I1341" s="6" t="s">
        <v>1754</v>
      </c>
    </row>
    <row r="1342" spans="1:9" x14ac:dyDescent="0.25">
      <c r="A1342" s="6">
        <v>40</v>
      </c>
      <c r="B1342" s="6" t="s">
        <v>1755</v>
      </c>
      <c r="C1342" s="11">
        <v>1781895288784140</v>
      </c>
      <c r="D1342" s="6" t="s">
        <v>1733</v>
      </c>
      <c r="E1342" s="11">
        <v>109025</v>
      </c>
      <c r="F1342" s="6" t="s">
        <v>98</v>
      </c>
      <c r="G1342" s="6" t="s">
        <v>99</v>
      </c>
      <c r="H1342" s="6" t="s">
        <v>161</v>
      </c>
      <c r="I1342" s="6" t="s">
        <v>1756</v>
      </c>
    </row>
    <row r="1343" spans="1:9" x14ac:dyDescent="0.25">
      <c r="A1343" s="6">
        <v>40</v>
      </c>
      <c r="B1343" s="6" t="s">
        <v>1757</v>
      </c>
      <c r="C1343" s="11">
        <v>1781895342732430</v>
      </c>
      <c r="D1343" s="6" t="s">
        <v>1733</v>
      </c>
      <c r="E1343" s="11">
        <v>162973</v>
      </c>
      <c r="F1343" s="6" t="s">
        <v>98</v>
      </c>
      <c r="G1343" s="6" t="s">
        <v>99</v>
      </c>
      <c r="H1343" s="6" t="s">
        <v>120</v>
      </c>
      <c r="I1343" s="6" t="s">
        <v>155</v>
      </c>
    </row>
    <row r="1344" spans="1:9" x14ac:dyDescent="0.25">
      <c r="A1344" s="6">
        <v>40</v>
      </c>
      <c r="B1344" s="6" t="s">
        <v>1758</v>
      </c>
      <c r="C1344" s="11">
        <v>1781895342732650</v>
      </c>
      <c r="D1344" s="6" t="s">
        <v>1733</v>
      </c>
      <c r="E1344" s="11">
        <v>162973</v>
      </c>
      <c r="F1344" s="6" t="s">
        <v>123</v>
      </c>
      <c r="G1344" s="6" t="s">
        <v>124</v>
      </c>
      <c r="H1344" s="6" t="s">
        <v>120</v>
      </c>
      <c r="I1344" s="6" t="s">
        <v>157</v>
      </c>
    </row>
    <row r="1345" spans="1:9" x14ac:dyDescent="0.25">
      <c r="A1345" s="6">
        <v>40</v>
      </c>
      <c r="B1345" s="6" t="s">
        <v>1759</v>
      </c>
      <c r="C1345" s="11">
        <v>1781895344431410</v>
      </c>
      <c r="D1345" s="6" t="s">
        <v>1733</v>
      </c>
      <c r="E1345" s="11">
        <v>164672</v>
      </c>
      <c r="F1345" s="6" t="s">
        <v>123</v>
      </c>
      <c r="G1345" s="6" t="s">
        <v>124</v>
      </c>
      <c r="H1345" s="6" t="s">
        <v>120</v>
      </c>
      <c r="I1345" s="6" t="s">
        <v>159</v>
      </c>
    </row>
    <row r="1346" spans="1:9" x14ac:dyDescent="0.25">
      <c r="A1346" s="6">
        <v>40</v>
      </c>
      <c r="B1346" s="6" t="s">
        <v>1760</v>
      </c>
      <c r="C1346" s="11">
        <v>1781895387543230</v>
      </c>
      <c r="D1346" s="6" t="s">
        <v>1733</v>
      </c>
      <c r="E1346" s="11">
        <v>207784</v>
      </c>
      <c r="F1346" s="6" t="s">
        <v>123</v>
      </c>
      <c r="G1346" s="6" t="s">
        <v>124</v>
      </c>
      <c r="H1346" s="6" t="s">
        <v>120</v>
      </c>
      <c r="I1346" s="6" t="s">
        <v>157</v>
      </c>
    </row>
    <row r="1347" spans="1:9" x14ac:dyDescent="0.25">
      <c r="A1347" s="6">
        <v>40</v>
      </c>
      <c r="B1347" s="6" t="s">
        <v>1761</v>
      </c>
      <c r="C1347" s="11">
        <v>1781895387651790</v>
      </c>
      <c r="D1347" s="6" t="s">
        <v>1733</v>
      </c>
      <c r="E1347" s="11">
        <v>207892</v>
      </c>
      <c r="F1347" s="6" t="s">
        <v>93</v>
      </c>
      <c r="G1347" s="6" t="s">
        <v>94</v>
      </c>
      <c r="H1347" s="6" t="s">
        <v>153</v>
      </c>
      <c r="I1347" s="6" t="s">
        <v>153</v>
      </c>
    </row>
    <row r="1348" spans="1:9" x14ac:dyDescent="0.25">
      <c r="A1348" s="6">
        <v>40</v>
      </c>
      <c r="B1348" s="6" t="s">
        <v>1762</v>
      </c>
      <c r="C1348" s="11">
        <v>1781895389049260</v>
      </c>
      <c r="D1348" s="6" t="s">
        <v>1733</v>
      </c>
      <c r="E1348" s="11">
        <v>209290</v>
      </c>
      <c r="F1348" s="6" t="s">
        <v>123</v>
      </c>
      <c r="G1348" s="6" t="s">
        <v>124</v>
      </c>
      <c r="H1348" s="6" t="s">
        <v>120</v>
      </c>
      <c r="I1348" s="6" t="s">
        <v>159</v>
      </c>
    </row>
    <row r="1349" spans="1:9" x14ac:dyDescent="0.25">
      <c r="A1349" s="6">
        <v>40</v>
      </c>
      <c r="B1349" s="6" t="s">
        <v>1763</v>
      </c>
      <c r="C1349" s="11">
        <v>1781895434137580</v>
      </c>
      <c r="D1349" s="6" t="s">
        <v>1733</v>
      </c>
      <c r="E1349" s="11">
        <v>254378</v>
      </c>
      <c r="F1349" s="6" t="s">
        <v>98</v>
      </c>
      <c r="G1349" s="6" t="s">
        <v>99</v>
      </c>
      <c r="H1349" s="6" t="s">
        <v>120</v>
      </c>
      <c r="I1349" s="6" t="s">
        <v>262</v>
      </c>
    </row>
    <row r="1350" spans="1:9" x14ac:dyDescent="0.25">
      <c r="A1350" s="6">
        <v>40</v>
      </c>
      <c r="B1350" s="6" t="s">
        <v>1764</v>
      </c>
      <c r="C1350" s="11">
        <v>1781895434139540</v>
      </c>
      <c r="D1350" s="6" t="s">
        <v>1733</v>
      </c>
      <c r="E1350" s="11">
        <v>254380</v>
      </c>
      <c r="F1350" s="6" t="s">
        <v>123</v>
      </c>
      <c r="G1350" s="6" t="s">
        <v>124</v>
      </c>
      <c r="H1350" s="6" t="s">
        <v>120</v>
      </c>
      <c r="I1350" s="6" t="s">
        <v>260</v>
      </c>
    </row>
    <row r="1351" spans="1:9" x14ac:dyDescent="0.25">
      <c r="A1351" s="3">
        <v>41</v>
      </c>
      <c r="B1351" s="3" t="s">
        <v>1765</v>
      </c>
      <c r="C1351" s="21">
        <v>1781895497566850</v>
      </c>
      <c r="D1351" s="3" t="s">
        <v>1733</v>
      </c>
      <c r="E1351" s="21">
        <v>317808</v>
      </c>
      <c r="F1351" s="3" t="s">
        <v>98</v>
      </c>
      <c r="G1351" s="3" t="s">
        <v>99</v>
      </c>
      <c r="H1351" s="3" t="s">
        <v>100</v>
      </c>
      <c r="I1351" s="3" t="s">
        <v>101</v>
      </c>
    </row>
    <row r="1352" spans="1:9" x14ac:dyDescent="0.25">
      <c r="A1352" s="3">
        <v>41</v>
      </c>
      <c r="B1352" s="3" t="s">
        <v>1766</v>
      </c>
      <c r="C1352" s="21">
        <v>1781895548491770</v>
      </c>
      <c r="D1352" s="3" t="s">
        <v>1733</v>
      </c>
      <c r="E1352" s="21">
        <v>368732</v>
      </c>
      <c r="F1352" s="3" t="s">
        <v>98</v>
      </c>
      <c r="G1352" s="3" t="s">
        <v>99</v>
      </c>
      <c r="H1352" s="3" t="s">
        <v>120</v>
      </c>
      <c r="I1352" s="3" t="s">
        <v>121</v>
      </c>
    </row>
    <row r="1353" spans="1:9" x14ac:dyDescent="0.25">
      <c r="A1353" s="3">
        <v>41</v>
      </c>
      <c r="B1353" s="3" t="s">
        <v>1767</v>
      </c>
      <c r="C1353" s="21">
        <v>1781895548493780</v>
      </c>
      <c r="D1353" s="3" t="s">
        <v>1733</v>
      </c>
      <c r="E1353" s="21">
        <v>368734</v>
      </c>
      <c r="F1353" s="3" t="s">
        <v>123</v>
      </c>
      <c r="G1353" s="3" t="s">
        <v>124</v>
      </c>
      <c r="H1353" s="3" t="s">
        <v>120</v>
      </c>
      <c r="I1353" s="3" t="s">
        <v>125</v>
      </c>
    </row>
    <row r="1354" spans="1:9" x14ac:dyDescent="0.25">
      <c r="A1354" s="3">
        <v>41</v>
      </c>
      <c r="B1354" s="3" t="s">
        <v>1768</v>
      </c>
      <c r="C1354" s="21">
        <v>1781895554282440</v>
      </c>
      <c r="D1354" s="3" t="s">
        <v>1733</v>
      </c>
      <c r="E1354" s="21">
        <v>374523</v>
      </c>
      <c r="F1354" s="3" t="s">
        <v>123</v>
      </c>
      <c r="G1354" s="3" t="s">
        <v>124</v>
      </c>
      <c r="H1354" s="3" t="s">
        <v>127</v>
      </c>
      <c r="I1354" s="3" t="s">
        <v>1769</v>
      </c>
    </row>
    <row r="1355" spans="1:9" x14ac:dyDescent="0.25">
      <c r="A1355" s="3">
        <v>41</v>
      </c>
      <c r="B1355" s="3" t="s">
        <v>1770</v>
      </c>
      <c r="C1355" s="21">
        <v>1781895554284100</v>
      </c>
      <c r="D1355" s="3" t="s">
        <v>1733</v>
      </c>
      <c r="E1355" s="21">
        <v>374525</v>
      </c>
      <c r="F1355" s="3" t="s">
        <v>98</v>
      </c>
      <c r="G1355" s="3" t="s">
        <v>99</v>
      </c>
      <c r="H1355" s="3" t="s">
        <v>127</v>
      </c>
      <c r="I1355" s="3" t="s">
        <v>1771</v>
      </c>
    </row>
    <row r="1356" spans="1:9" x14ac:dyDescent="0.25">
      <c r="A1356" s="3">
        <v>41</v>
      </c>
      <c r="B1356" s="3" t="s">
        <v>1772</v>
      </c>
      <c r="C1356" s="21">
        <v>1781895564727890</v>
      </c>
      <c r="D1356" s="3" t="s">
        <v>1733</v>
      </c>
      <c r="E1356" s="21">
        <v>384969</v>
      </c>
      <c r="F1356" s="3" t="s">
        <v>98</v>
      </c>
      <c r="G1356" s="3" t="s">
        <v>99</v>
      </c>
      <c r="H1356" s="3" t="s">
        <v>137</v>
      </c>
      <c r="I1356" s="3" t="s">
        <v>138</v>
      </c>
    </row>
    <row r="1357" spans="1:9" x14ac:dyDescent="0.25">
      <c r="A1357" s="3">
        <v>41</v>
      </c>
      <c r="B1357" s="3" t="s">
        <v>1773</v>
      </c>
      <c r="C1357" s="21">
        <v>1781895580292970</v>
      </c>
      <c r="D1357" s="3" t="s">
        <v>1733</v>
      </c>
      <c r="E1357" s="21">
        <v>400534</v>
      </c>
      <c r="F1357" s="3" t="s">
        <v>98</v>
      </c>
      <c r="G1357" s="3" t="s">
        <v>99</v>
      </c>
      <c r="H1357" s="3" t="s">
        <v>120</v>
      </c>
      <c r="I1357" s="3" t="s">
        <v>142</v>
      </c>
    </row>
    <row r="1358" spans="1:9" x14ac:dyDescent="0.25">
      <c r="A1358" s="3">
        <v>41</v>
      </c>
      <c r="B1358" s="3" t="s">
        <v>1774</v>
      </c>
      <c r="C1358" s="21">
        <v>1781895580293840</v>
      </c>
      <c r="D1358" s="3" t="s">
        <v>1733</v>
      </c>
      <c r="E1358" s="21">
        <v>400535</v>
      </c>
      <c r="F1358" s="3" t="s">
        <v>123</v>
      </c>
      <c r="G1358" s="3" t="s">
        <v>124</v>
      </c>
      <c r="H1358" s="3" t="s">
        <v>120</v>
      </c>
      <c r="I1358" s="3" t="s">
        <v>144</v>
      </c>
    </row>
    <row r="1359" spans="1:9" x14ac:dyDescent="0.25">
      <c r="A1359" s="3">
        <v>41</v>
      </c>
      <c r="B1359" s="3" t="s">
        <v>1775</v>
      </c>
      <c r="C1359" s="21">
        <v>1781895580488630</v>
      </c>
      <c r="D1359" s="3" t="s">
        <v>1733</v>
      </c>
      <c r="E1359" s="21">
        <v>400729</v>
      </c>
      <c r="F1359" s="3" t="s">
        <v>93</v>
      </c>
      <c r="G1359" s="3" t="s">
        <v>94</v>
      </c>
      <c r="H1359" s="3" t="s">
        <v>146</v>
      </c>
      <c r="I1359" s="3" t="s">
        <v>146</v>
      </c>
    </row>
    <row r="1360" spans="1:9" x14ac:dyDescent="0.25">
      <c r="A1360" s="3">
        <v>41</v>
      </c>
      <c r="B1360" s="3" t="s">
        <v>1776</v>
      </c>
      <c r="C1360" s="21">
        <v>1781895589655650</v>
      </c>
      <c r="D1360" s="3" t="s">
        <v>1733</v>
      </c>
      <c r="E1360" s="21">
        <v>409896</v>
      </c>
      <c r="F1360" s="3" t="s">
        <v>98</v>
      </c>
      <c r="G1360" s="3" t="s">
        <v>99</v>
      </c>
      <c r="H1360" s="3" t="s">
        <v>148</v>
      </c>
      <c r="I1360" s="3" t="s">
        <v>151</v>
      </c>
    </row>
    <row r="1361" spans="1:9" x14ac:dyDescent="0.25">
      <c r="A1361" s="3">
        <v>41</v>
      </c>
      <c r="B1361" s="3" t="s">
        <v>1777</v>
      </c>
      <c r="C1361" s="21">
        <v>1781895589657650</v>
      </c>
      <c r="D1361" s="3" t="s">
        <v>1733</v>
      </c>
      <c r="E1361" s="21">
        <v>409898</v>
      </c>
      <c r="F1361" s="3" t="s">
        <v>123</v>
      </c>
      <c r="G1361" s="3" t="s">
        <v>124</v>
      </c>
      <c r="H1361" s="3" t="s">
        <v>148</v>
      </c>
      <c r="I1361" s="3" t="s">
        <v>149</v>
      </c>
    </row>
    <row r="1362" spans="1:9" x14ac:dyDescent="0.25">
      <c r="A1362" s="3">
        <v>41</v>
      </c>
      <c r="B1362" s="3" t="s">
        <v>1778</v>
      </c>
      <c r="C1362" s="21">
        <v>1781895598430670</v>
      </c>
      <c r="D1362" s="3" t="s">
        <v>1733</v>
      </c>
      <c r="E1362" s="21">
        <v>418671</v>
      </c>
      <c r="F1362" s="3" t="s">
        <v>123</v>
      </c>
      <c r="G1362" s="3" t="s">
        <v>124</v>
      </c>
      <c r="H1362" s="3" t="s">
        <v>120</v>
      </c>
      <c r="I1362" s="3" t="s">
        <v>157</v>
      </c>
    </row>
    <row r="1363" spans="1:9" x14ac:dyDescent="0.25">
      <c r="A1363" s="3">
        <v>41</v>
      </c>
      <c r="B1363" s="3" t="s">
        <v>1779</v>
      </c>
      <c r="C1363" s="21">
        <v>1781895598431030</v>
      </c>
      <c r="D1363" s="3" t="s">
        <v>1733</v>
      </c>
      <c r="E1363" s="21">
        <v>418672</v>
      </c>
      <c r="F1363" s="3" t="s">
        <v>98</v>
      </c>
      <c r="G1363" s="3" t="s">
        <v>99</v>
      </c>
      <c r="H1363" s="3" t="s">
        <v>120</v>
      </c>
      <c r="I1363" s="3" t="s">
        <v>155</v>
      </c>
    </row>
    <row r="1364" spans="1:9" x14ac:dyDescent="0.25">
      <c r="A1364" s="3">
        <v>41</v>
      </c>
      <c r="B1364" s="3" t="s">
        <v>1780</v>
      </c>
      <c r="C1364" s="21">
        <v>1781895599991610</v>
      </c>
      <c r="D1364" s="3" t="s">
        <v>1733</v>
      </c>
      <c r="E1364" s="21">
        <v>420232</v>
      </c>
      <c r="F1364" s="3" t="s">
        <v>123</v>
      </c>
      <c r="G1364" s="3" t="s">
        <v>124</v>
      </c>
      <c r="H1364" s="3" t="s">
        <v>120</v>
      </c>
      <c r="I1364" s="3" t="s">
        <v>159</v>
      </c>
    </row>
    <row r="1365" spans="1:9" x14ac:dyDescent="0.25">
      <c r="A1365" s="3">
        <v>41</v>
      </c>
      <c r="B1365" s="3" t="s">
        <v>1781</v>
      </c>
      <c r="C1365" s="21">
        <v>1781895645287340</v>
      </c>
      <c r="D1365" s="3" t="s">
        <v>1733</v>
      </c>
      <c r="E1365" s="21">
        <v>465528</v>
      </c>
      <c r="F1365" s="3" t="s">
        <v>123</v>
      </c>
      <c r="G1365" s="3" t="s">
        <v>124</v>
      </c>
      <c r="H1365" s="3" t="s">
        <v>120</v>
      </c>
      <c r="I1365" s="3" t="s">
        <v>260</v>
      </c>
    </row>
    <row r="1366" spans="1:9" x14ac:dyDescent="0.25">
      <c r="A1366" s="3">
        <v>41</v>
      </c>
      <c r="B1366" s="3" t="s">
        <v>1782</v>
      </c>
      <c r="C1366" s="21">
        <v>1781895645287790</v>
      </c>
      <c r="D1366" s="3" t="s">
        <v>1733</v>
      </c>
      <c r="E1366" s="21">
        <v>465528</v>
      </c>
      <c r="F1366" s="3" t="s">
        <v>98</v>
      </c>
      <c r="G1366" s="3" t="s">
        <v>99</v>
      </c>
      <c r="H1366" s="3" t="s">
        <v>120</v>
      </c>
      <c r="I1366" s="3" t="s">
        <v>262</v>
      </c>
    </row>
    <row r="1367" spans="1:9" x14ac:dyDescent="0.25">
      <c r="A1367" s="3">
        <v>41</v>
      </c>
      <c r="B1367" s="3" t="s">
        <v>1783</v>
      </c>
      <c r="C1367" s="21">
        <v>1781895690988370</v>
      </c>
      <c r="D1367" s="3" t="s">
        <v>1733</v>
      </c>
      <c r="E1367" s="21">
        <v>511229</v>
      </c>
      <c r="F1367" s="3" t="s">
        <v>166</v>
      </c>
      <c r="G1367" s="3" t="s">
        <v>167</v>
      </c>
      <c r="H1367" s="3" t="s">
        <v>1784</v>
      </c>
      <c r="I1367" s="3"/>
    </row>
    <row r="1368" spans="1:9" x14ac:dyDescent="0.25">
      <c r="B1368" t="s">
        <v>1785</v>
      </c>
      <c r="C1368" s="12">
        <v>1781895707008670</v>
      </c>
      <c r="D1368" t="s">
        <v>1733</v>
      </c>
      <c r="E1368" s="12">
        <v>527249</v>
      </c>
      <c r="F1368" t="s">
        <v>166</v>
      </c>
      <c r="G1368" t="s">
        <v>167</v>
      </c>
      <c r="H1368" t="s">
        <v>1786</v>
      </c>
    </row>
    <row r="1369" spans="1:9" x14ac:dyDescent="0.25">
      <c r="B1369" t="s">
        <v>1787</v>
      </c>
      <c r="C1369" s="12">
        <v>1781895753121040</v>
      </c>
      <c r="D1369" t="s">
        <v>1733</v>
      </c>
      <c r="E1369" s="12">
        <v>573362</v>
      </c>
      <c r="F1369" t="s">
        <v>98</v>
      </c>
      <c r="G1369" t="s">
        <v>99</v>
      </c>
      <c r="H1369" t="s">
        <v>120</v>
      </c>
      <c r="I1369" t="s">
        <v>155</v>
      </c>
    </row>
    <row r="1370" spans="1:9" x14ac:dyDescent="0.25">
      <c r="B1370" t="s">
        <v>1788</v>
      </c>
      <c r="C1370" s="12">
        <v>1781895753121230</v>
      </c>
      <c r="D1370" t="s">
        <v>1733</v>
      </c>
      <c r="E1370" s="12">
        <v>573362</v>
      </c>
      <c r="F1370" t="s">
        <v>123</v>
      </c>
      <c r="G1370" t="s">
        <v>124</v>
      </c>
      <c r="H1370" t="s">
        <v>120</v>
      </c>
      <c r="I1370" t="s">
        <v>157</v>
      </c>
    </row>
    <row r="1371" spans="1:9" x14ac:dyDescent="0.25">
      <c r="B1371" t="s">
        <v>1789</v>
      </c>
      <c r="C1371" s="12">
        <v>1781895754714580</v>
      </c>
      <c r="D1371" t="s">
        <v>1733</v>
      </c>
      <c r="E1371" s="12">
        <v>574955</v>
      </c>
      <c r="F1371" t="s">
        <v>123</v>
      </c>
      <c r="G1371" t="s">
        <v>124</v>
      </c>
      <c r="H1371" t="s">
        <v>120</v>
      </c>
      <c r="I1371" t="s">
        <v>159</v>
      </c>
    </row>
    <row r="1372" spans="1:9" x14ac:dyDescent="0.25">
      <c r="B1372" t="s">
        <v>1790</v>
      </c>
      <c r="C1372" s="12">
        <v>1781895799789050</v>
      </c>
      <c r="D1372" t="s">
        <v>1733</v>
      </c>
      <c r="E1372" s="12">
        <v>620030</v>
      </c>
      <c r="F1372" t="s">
        <v>98</v>
      </c>
      <c r="G1372" t="s">
        <v>99</v>
      </c>
      <c r="H1372" t="s">
        <v>120</v>
      </c>
      <c r="I1372" t="s">
        <v>262</v>
      </c>
    </row>
    <row r="1373" spans="1:9" x14ac:dyDescent="0.25">
      <c r="B1373" t="s">
        <v>1791</v>
      </c>
      <c r="C1373" s="12">
        <v>1781895799789280</v>
      </c>
      <c r="D1373" t="s">
        <v>1733</v>
      </c>
      <c r="E1373" s="12">
        <v>620030</v>
      </c>
      <c r="F1373" t="s">
        <v>123</v>
      </c>
      <c r="G1373" t="s">
        <v>124</v>
      </c>
      <c r="H1373" t="s">
        <v>120</v>
      </c>
      <c r="I1373" t="s">
        <v>260</v>
      </c>
    </row>
    <row r="1374" spans="1:9" x14ac:dyDescent="0.25">
      <c r="B1374" t="s">
        <v>1792</v>
      </c>
      <c r="C1374" s="12">
        <v>1781895868763890</v>
      </c>
      <c r="D1374" t="s">
        <v>1733</v>
      </c>
      <c r="E1374" s="12">
        <v>689005</v>
      </c>
      <c r="F1374" t="s">
        <v>166</v>
      </c>
      <c r="G1374" t="s">
        <v>167</v>
      </c>
      <c r="H1374" t="s">
        <v>1793</v>
      </c>
    </row>
    <row r="1375" spans="1:9" x14ac:dyDescent="0.25">
      <c r="B1375" t="s">
        <v>1794</v>
      </c>
      <c r="C1375" s="12">
        <v>1781897069311530</v>
      </c>
      <c r="D1375" t="s">
        <v>1733</v>
      </c>
      <c r="E1375" s="12">
        <v>1888080</v>
      </c>
      <c r="F1375" t="s">
        <v>103</v>
      </c>
      <c r="G1375" t="s">
        <v>89</v>
      </c>
      <c r="H1375" t="s">
        <v>619</v>
      </c>
    </row>
    <row r="1377" spans="1:9" x14ac:dyDescent="0.25">
      <c r="A1377" s="3">
        <v>42</v>
      </c>
      <c r="B1377" s="3" t="s">
        <v>1795</v>
      </c>
      <c r="C1377" s="21">
        <v>1781898569300270</v>
      </c>
      <c r="D1377" s="3" t="s">
        <v>1796</v>
      </c>
      <c r="E1377" s="3" t="s">
        <v>87</v>
      </c>
      <c r="F1377" s="3" t="s">
        <v>88</v>
      </c>
      <c r="G1377" s="3" t="s">
        <v>89</v>
      </c>
      <c r="H1377" s="3" t="s">
        <v>184</v>
      </c>
      <c r="I1377" s="3"/>
    </row>
    <row r="1378" spans="1:9" x14ac:dyDescent="0.25">
      <c r="A1378" s="3">
        <v>42</v>
      </c>
      <c r="B1378" s="3" t="s">
        <v>1797</v>
      </c>
      <c r="C1378" s="21">
        <v>1781898569300800</v>
      </c>
      <c r="D1378" s="3" t="s">
        <v>1796</v>
      </c>
      <c r="E1378" s="3" t="s">
        <v>108</v>
      </c>
      <c r="F1378" s="3" t="s">
        <v>166</v>
      </c>
      <c r="G1378" s="3" t="s">
        <v>167</v>
      </c>
      <c r="H1378" s="3" t="s">
        <v>213</v>
      </c>
      <c r="I1378" s="3"/>
    </row>
    <row r="1379" spans="1:9" x14ac:dyDescent="0.25">
      <c r="A1379" s="3">
        <v>42</v>
      </c>
      <c r="B1379" s="3" t="s">
        <v>1798</v>
      </c>
      <c r="C1379" s="21">
        <v>1781898571305630</v>
      </c>
      <c r="D1379" s="3" t="s">
        <v>1796</v>
      </c>
      <c r="E1379" s="21">
        <v>2005</v>
      </c>
      <c r="F1379" s="3" t="s">
        <v>98</v>
      </c>
      <c r="G1379" s="3" t="s">
        <v>99</v>
      </c>
      <c r="H1379" s="3" t="s">
        <v>120</v>
      </c>
      <c r="I1379" s="3" t="s">
        <v>142</v>
      </c>
    </row>
    <row r="1380" spans="1:9" x14ac:dyDescent="0.25">
      <c r="A1380" s="3">
        <v>42</v>
      </c>
      <c r="B1380" s="3" t="s">
        <v>1799</v>
      </c>
      <c r="C1380" s="21">
        <v>1781898571305850</v>
      </c>
      <c r="D1380" s="3" t="s">
        <v>1796</v>
      </c>
      <c r="E1380" s="21">
        <v>2006</v>
      </c>
      <c r="F1380" s="3" t="s">
        <v>123</v>
      </c>
      <c r="G1380" s="3" t="s">
        <v>124</v>
      </c>
      <c r="H1380" s="3" t="s">
        <v>120</v>
      </c>
      <c r="I1380" s="3" t="s">
        <v>144</v>
      </c>
    </row>
    <row r="1381" spans="1:9" x14ac:dyDescent="0.25">
      <c r="A1381" s="3">
        <v>42</v>
      </c>
      <c r="B1381" s="3" t="s">
        <v>1800</v>
      </c>
      <c r="C1381" s="21">
        <v>1781898580790260</v>
      </c>
      <c r="D1381" s="3" t="s">
        <v>1796</v>
      </c>
      <c r="E1381" s="21">
        <v>11490</v>
      </c>
      <c r="F1381" s="3" t="s">
        <v>98</v>
      </c>
      <c r="G1381" s="3" t="s">
        <v>99</v>
      </c>
      <c r="H1381" s="3" t="s">
        <v>148</v>
      </c>
      <c r="I1381" s="3" t="s">
        <v>151</v>
      </c>
    </row>
    <row r="1382" spans="1:9" x14ac:dyDescent="0.25">
      <c r="A1382" s="3">
        <v>42</v>
      </c>
      <c r="B1382" s="3" t="s">
        <v>1801</v>
      </c>
      <c r="C1382" s="21">
        <v>1781898580790770</v>
      </c>
      <c r="D1382" s="3" t="s">
        <v>1796</v>
      </c>
      <c r="E1382" s="21">
        <v>11491</v>
      </c>
      <c r="F1382" s="3" t="s">
        <v>123</v>
      </c>
      <c r="G1382" s="3" t="s">
        <v>124</v>
      </c>
      <c r="H1382" s="3" t="s">
        <v>148</v>
      </c>
      <c r="I1382" s="3" t="s">
        <v>149</v>
      </c>
    </row>
    <row r="1383" spans="1:9" x14ac:dyDescent="0.25">
      <c r="A1383" s="3">
        <v>42</v>
      </c>
      <c r="B1383" s="3" t="s">
        <v>1802</v>
      </c>
      <c r="C1383" s="21">
        <v>1781898605266510</v>
      </c>
      <c r="D1383" s="3" t="s">
        <v>1796</v>
      </c>
      <c r="E1383" s="21">
        <v>35966</v>
      </c>
      <c r="F1383" s="3" t="s">
        <v>166</v>
      </c>
      <c r="G1383" s="3" t="s">
        <v>167</v>
      </c>
      <c r="H1383" s="3" t="s">
        <v>1803</v>
      </c>
      <c r="I1383" s="3"/>
    </row>
    <row r="1384" spans="1:9" x14ac:dyDescent="0.25">
      <c r="A1384" s="3">
        <v>42</v>
      </c>
      <c r="B1384" s="3" t="s">
        <v>1804</v>
      </c>
      <c r="C1384" s="21">
        <v>1781898698131380</v>
      </c>
      <c r="D1384" s="3" t="s">
        <v>1796</v>
      </c>
      <c r="E1384" s="21">
        <v>128831</v>
      </c>
      <c r="F1384" s="3" t="s">
        <v>166</v>
      </c>
      <c r="G1384" s="3" t="s">
        <v>167</v>
      </c>
      <c r="H1384" s="3" t="s">
        <v>711</v>
      </c>
      <c r="I1384" s="3"/>
    </row>
    <row r="1385" spans="1:9" x14ac:dyDescent="0.25">
      <c r="A1385" s="4">
        <v>43</v>
      </c>
      <c r="B1385" s="4" t="s">
        <v>1805</v>
      </c>
      <c r="C1385" s="18">
        <v>1781898708692480</v>
      </c>
      <c r="D1385" s="4" t="s">
        <v>1796</v>
      </c>
      <c r="E1385" s="18">
        <v>139392</v>
      </c>
      <c r="F1385" s="4" t="s">
        <v>98</v>
      </c>
      <c r="G1385" s="4" t="s">
        <v>99</v>
      </c>
      <c r="H1385" s="4" t="s">
        <v>100</v>
      </c>
      <c r="I1385" s="4" t="s">
        <v>101</v>
      </c>
    </row>
    <row r="1386" spans="1:9" x14ac:dyDescent="0.25">
      <c r="A1386" s="4">
        <v>43</v>
      </c>
      <c r="B1386" s="4" t="s">
        <v>1806</v>
      </c>
      <c r="C1386" s="18">
        <v>1781898727138330</v>
      </c>
      <c r="D1386" s="4" t="s">
        <v>1796</v>
      </c>
      <c r="E1386" s="18">
        <v>157838</v>
      </c>
      <c r="F1386" s="4" t="s">
        <v>98</v>
      </c>
      <c r="G1386" s="4" t="s">
        <v>99</v>
      </c>
      <c r="H1386" s="4" t="s">
        <v>120</v>
      </c>
      <c r="I1386" s="4" t="s">
        <v>121</v>
      </c>
    </row>
    <row r="1387" spans="1:9" x14ac:dyDescent="0.25">
      <c r="A1387" s="4">
        <v>43</v>
      </c>
      <c r="B1387" s="4" t="s">
        <v>1807</v>
      </c>
      <c r="C1387" s="18">
        <v>1781898727138510</v>
      </c>
      <c r="D1387" s="4" t="s">
        <v>1796</v>
      </c>
      <c r="E1387" s="18">
        <v>157838</v>
      </c>
      <c r="F1387" s="4" t="s">
        <v>123</v>
      </c>
      <c r="G1387" s="4" t="s">
        <v>124</v>
      </c>
      <c r="H1387" s="4" t="s">
        <v>120</v>
      </c>
      <c r="I1387" s="4" t="s">
        <v>125</v>
      </c>
    </row>
    <row r="1388" spans="1:9" x14ac:dyDescent="0.25">
      <c r="A1388" s="4">
        <v>43</v>
      </c>
      <c r="B1388" s="4" t="s">
        <v>1808</v>
      </c>
      <c r="C1388" s="18">
        <v>1781898727542410</v>
      </c>
      <c r="D1388" s="4" t="s">
        <v>1796</v>
      </c>
      <c r="E1388" s="18">
        <v>158242</v>
      </c>
      <c r="F1388" s="4" t="s">
        <v>93</v>
      </c>
      <c r="G1388" s="4" t="s">
        <v>94</v>
      </c>
      <c r="H1388" s="4" t="s">
        <v>118</v>
      </c>
      <c r="I1388" s="4" t="s">
        <v>118</v>
      </c>
    </row>
    <row r="1389" spans="1:9" x14ac:dyDescent="0.25">
      <c r="A1389" s="4">
        <v>43</v>
      </c>
      <c r="B1389" s="4" t="s">
        <v>1809</v>
      </c>
      <c r="C1389" s="18">
        <v>1781898734981590</v>
      </c>
      <c r="D1389" s="4" t="s">
        <v>1796</v>
      </c>
      <c r="E1389" s="18">
        <v>165681</v>
      </c>
      <c r="F1389" s="4" t="s">
        <v>123</v>
      </c>
      <c r="G1389" s="4" t="s">
        <v>124</v>
      </c>
      <c r="H1389" s="4" t="s">
        <v>127</v>
      </c>
      <c r="I1389" s="4" t="s">
        <v>1810</v>
      </c>
    </row>
    <row r="1390" spans="1:9" x14ac:dyDescent="0.25">
      <c r="A1390" s="4">
        <v>43</v>
      </c>
      <c r="B1390" s="4" t="s">
        <v>1811</v>
      </c>
      <c r="C1390" s="18">
        <v>1781898734982130</v>
      </c>
      <c r="D1390" s="4" t="s">
        <v>1796</v>
      </c>
      <c r="E1390" s="18">
        <v>165682</v>
      </c>
      <c r="F1390" s="4" t="s">
        <v>98</v>
      </c>
      <c r="G1390" s="4" t="s">
        <v>99</v>
      </c>
      <c r="H1390" s="4" t="s">
        <v>127</v>
      </c>
      <c r="I1390" s="4" t="s">
        <v>1812</v>
      </c>
    </row>
    <row r="1391" spans="1:9" x14ac:dyDescent="0.25">
      <c r="A1391" s="4">
        <v>43</v>
      </c>
      <c r="B1391" s="4" t="s">
        <v>1813</v>
      </c>
      <c r="C1391" s="18">
        <v>1781898736984570</v>
      </c>
      <c r="D1391" s="4" t="s">
        <v>1796</v>
      </c>
      <c r="E1391" s="18">
        <v>167684</v>
      </c>
      <c r="F1391" s="4" t="s">
        <v>132</v>
      </c>
      <c r="G1391" s="4" t="s">
        <v>133</v>
      </c>
      <c r="H1391" s="4" t="s">
        <v>134</v>
      </c>
      <c r="I1391" s="4" t="s">
        <v>135</v>
      </c>
    </row>
    <row r="1392" spans="1:9" x14ac:dyDescent="0.25">
      <c r="A1392" s="4">
        <v>43</v>
      </c>
      <c r="B1392" s="4" t="s">
        <v>1814</v>
      </c>
      <c r="C1392" s="18">
        <v>1781898744314030</v>
      </c>
      <c r="D1392" s="4" t="s">
        <v>1796</v>
      </c>
      <c r="E1392" s="18">
        <v>175014</v>
      </c>
      <c r="F1392" s="4" t="s">
        <v>98</v>
      </c>
      <c r="G1392" s="4" t="s">
        <v>99</v>
      </c>
      <c r="H1392" s="4" t="s">
        <v>137</v>
      </c>
      <c r="I1392" s="4" t="s">
        <v>138</v>
      </c>
    </row>
    <row r="1393" spans="1:9" x14ac:dyDescent="0.25">
      <c r="A1393" s="4">
        <v>43</v>
      </c>
      <c r="B1393" s="4" t="s">
        <v>1815</v>
      </c>
      <c r="C1393" s="18">
        <v>1781898752394700</v>
      </c>
      <c r="D1393" s="4" t="s">
        <v>1796</v>
      </c>
      <c r="E1393" s="18">
        <v>183095</v>
      </c>
      <c r="F1393" s="4" t="s">
        <v>166</v>
      </c>
      <c r="G1393" s="4" t="s">
        <v>167</v>
      </c>
      <c r="H1393" s="4" t="s">
        <v>213</v>
      </c>
      <c r="I1393" s="4"/>
    </row>
    <row r="1394" spans="1:9" x14ac:dyDescent="0.25">
      <c r="A1394" s="4">
        <v>43</v>
      </c>
      <c r="B1394" s="4" t="s">
        <v>1816</v>
      </c>
      <c r="C1394" s="18">
        <v>1781898754388480</v>
      </c>
      <c r="D1394" s="4" t="s">
        <v>1796</v>
      </c>
      <c r="E1394" s="18">
        <v>185088</v>
      </c>
      <c r="F1394" s="4" t="s">
        <v>123</v>
      </c>
      <c r="G1394" s="4" t="s">
        <v>124</v>
      </c>
      <c r="H1394" s="4" t="s">
        <v>120</v>
      </c>
      <c r="I1394" s="4" t="s">
        <v>144</v>
      </c>
    </row>
    <row r="1395" spans="1:9" x14ac:dyDescent="0.25">
      <c r="A1395" s="4">
        <v>43</v>
      </c>
      <c r="B1395" s="4" t="s">
        <v>1817</v>
      </c>
      <c r="C1395" s="18">
        <v>1781898754388830</v>
      </c>
      <c r="D1395" s="4" t="s">
        <v>1796</v>
      </c>
      <c r="E1395" s="18">
        <v>185089</v>
      </c>
      <c r="F1395" s="4" t="s">
        <v>98</v>
      </c>
      <c r="G1395" s="4" t="s">
        <v>99</v>
      </c>
      <c r="H1395" s="4" t="s">
        <v>120</v>
      </c>
      <c r="I1395" s="4" t="s">
        <v>142</v>
      </c>
    </row>
    <row r="1396" spans="1:9" x14ac:dyDescent="0.25">
      <c r="A1396" s="4">
        <v>43</v>
      </c>
      <c r="B1396" s="4" t="s">
        <v>1818</v>
      </c>
      <c r="C1396" s="18">
        <v>1781898763844290</v>
      </c>
      <c r="D1396" s="4" t="s">
        <v>1796</v>
      </c>
      <c r="E1396" s="18">
        <v>194544</v>
      </c>
      <c r="F1396" s="4" t="s">
        <v>98</v>
      </c>
      <c r="G1396" s="4" t="s">
        <v>99</v>
      </c>
      <c r="H1396" s="4" t="s">
        <v>148</v>
      </c>
      <c r="I1396" s="4" t="s">
        <v>151</v>
      </c>
    </row>
    <row r="1397" spans="1:9" x14ac:dyDescent="0.25">
      <c r="A1397" s="4">
        <v>43</v>
      </c>
      <c r="B1397" s="4" t="s">
        <v>1819</v>
      </c>
      <c r="C1397" s="18">
        <v>1781898763844700</v>
      </c>
      <c r="D1397" s="4" t="s">
        <v>1796</v>
      </c>
      <c r="E1397" s="18">
        <v>194544</v>
      </c>
      <c r="F1397" s="4" t="s">
        <v>123</v>
      </c>
      <c r="G1397" s="4" t="s">
        <v>124</v>
      </c>
      <c r="H1397" s="4" t="s">
        <v>148</v>
      </c>
      <c r="I1397" s="4" t="s">
        <v>149</v>
      </c>
    </row>
    <row r="1398" spans="1:9" x14ac:dyDescent="0.25">
      <c r="A1398" s="4">
        <v>43</v>
      </c>
      <c r="B1398" s="4" t="s">
        <v>1820</v>
      </c>
      <c r="C1398" s="18">
        <v>1781898769739430</v>
      </c>
      <c r="D1398" s="4" t="s">
        <v>1796</v>
      </c>
      <c r="E1398" s="18">
        <v>200439</v>
      </c>
      <c r="F1398" s="4" t="s">
        <v>98</v>
      </c>
      <c r="G1398" s="4" t="s">
        <v>99</v>
      </c>
      <c r="H1398" s="4" t="s">
        <v>120</v>
      </c>
      <c r="I1398" s="4" t="s">
        <v>155</v>
      </c>
    </row>
    <row r="1399" spans="1:9" x14ac:dyDescent="0.25">
      <c r="A1399" s="4">
        <v>43</v>
      </c>
      <c r="B1399" s="4" t="s">
        <v>1821</v>
      </c>
      <c r="C1399" s="18">
        <v>1781898769739660</v>
      </c>
      <c r="D1399" s="4" t="s">
        <v>1796</v>
      </c>
      <c r="E1399" s="18">
        <v>200439</v>
      </c>
      <c r="F1399" s="4" t="s">
        <v>123</v>
      </c>
      <c r="G1399" s="4" t="s">
        <v>124</v>
      </c>
      <c r="H1399" s="4" t="s">
        <v>120</v>
      </c>
      <c r="I1399" s="4" t="s">
        <v>157</v>
      </c>
    </row>
    <row r="1400" spans="1:9" x14ac:dyDescent="0.25">
      <c r="A1400" s="4">
        <v>43</v>
      </c>
      <c r="B1400" s="4" t="s">
        <v>1822</v>
      </c>
      <c r="C1400" s="18">
        <v>1781898771351440</v>
      </c>
      <c r="D1400" s="4" t="s">
        <v>1796</v>
      </c>
      <c r="E1400" s="18">
        <v>202051</v>
      </c>
      <c r="F1400" s="4" t="s">
        <v>123</v>
      </c>
      <c r="G1400" s="4" t="s">
        <v>124</v>
      </c>
      <c r="H1400" s="4" t="s">
        <v>120</v>
      </c>
      <c r="I1400" s="4" t="s">
        <v>159</v>
      </c>
    </row>
    <row r="1401" spans="1:9" x14ac:dyDescent="0.25">
      <c r="A1401" s="4">
        <v>43</v>
      </c>
      <c r="B1401" s="4" t="s">
        <v>1823</v>
      </c>
      <c r="C1401" s="18">
        <v>1781898798496470</v>
      </c>
      <c r="D1401" s="4" t="s">
        <v>1796</v>
      </c>
      <c r="E1401" s="18">
        <v>229196</v>
      </c>
      <c r="F1401" s="4" t="s">
        <v>123</v>
      </c>
      <c r="G1401" s="4" t="s">
        <v>124</v>
      </c>
      <c r="H1401" s="4" t="s">
        <v>161</v>
      </c>
      <c r="I1401" s="4" t="s">
        <v>1824</v>
      </c>
    </row>
    <row r="1402" spans="1:9" x14ac:dyDescent="0.25">
      <c r="A1402" s="4">
        <v>43</v>
      </c>
      <c r="B1402" s="4" t="s">
        <v>1825</v>
      </c>
      <c r="C1402" s="18">
        <v>1781898798496880</v>
      </c>
      <c r="D1402" s="4" t="s">
        <v>1796</v>
      </c>
      <c r="E1402" s="18">
        <v>229197</v>
      </c>
      <c r="F1402" s="4" t="s">
        <v>98</v>
      </c>
      <c r="G1402" s="4" t="s">
        <v>99</v>
      </c>
      <c r="H1402" s="4" t="s">
        <v>161</v>
      </c>
      <c r="I1402" s="4" t="s">
        <v>1826</v>
      </c>
    </row>
    <row r="1403" spans="1:9" x14ac:dyDescent="0.25">
      <c r="A1403" s="4">
        <v>43</v>
      </c>
      <c r="B1403" s="4" t="s">
        <v>1827</v>
      </c>
      <c r="C1403" s="18">
        <v>1781898821332460</v>
      </c>
      <c r="D1403" s="4" t="s">
        <v>1796</v>
      </c>
      <c r="E1403" s="18">
        <v>252032</v>
      </c>
      <c r="F1403" s="4" t="s">
        <v>166</v>
      </c>
      <c r="G1403" s="4" t="s">
        <v>167</v>
      </c>
      <c r="H1403" s="4" t="s">
        <v>168</v>
      </c>
      <c r="I1403" s="4"/>
    </row>
    <row r="1404" spans="1:9" x14ac:dyDescent="0.25">
      <c r="A1404" s="4">
        <v>43</v>
      </c>
      <c r="B1404" s="4" t="s">
        <v>1828</v>
      </c>
      <c r="C1404" s="18">
        <v>1781898823432540</v>
      </c>
      <c r="D1404" s="4" t="s">
        <v>1796</v>
      </c>
      <c r="E1404" s="18">
        <v>254132</v>
      </c>
      <c r="F1404" s="4" t="s">
        <v>98</v>
      </c>
      <c r="G1404" s="4" t="s">
        <v>99</v>
      </c>
      <c r="H1404" s="4" t="s">
        <v>172</v>
      </c>
      <c r="I1404" s="4" t="s">
        <v>173</v>
      </c>
    </row>
    <row r="1405" spans="1:9" x14ac:dyDescent="0.25">
      <c r="A1405" s="4">
        <v>43</v>
      </c>
      <c r="B1405" s="4" t="s">
        <v>1829</v>
      </c>
      <c r="C1405" s="18">
        <v>1781898850762470</v>
      </c>
      <c r="D1405" s="4" t="s">
        <v>1796</v>
      </c>
      <c r="E1405" s="18">
        <v>281462</v>
      </c>
      <c r="F1405" s="4" t="s">
        <v>98</v>
      </c>
      <c r="G1405" s="4" t="s">
        <v>99</v>
      </c>
      <c r="H1405" s="4" t="s">
        <v>120</v>
      </c>
      <c r="I1405" s="4" t="s">
        <v>177</v>
      </c>
    </row>
    <row r="1406" spans="1:9" x14ac:dyDescent="0.25">
      <c r="A1406" s="4">
        <v>43</v>
      </c>
      <c r="B1406" s="4" t="s">
        <v>1830</v>
      </c>
      <c r="C1406" s="18">
        <v>1781898857776250</v>
      </c>
      <c r="D1406" s="4" t="s">
        <v>1796</v>
      </c>
      <c r="E1406" s="18">
        <v>288476</v>
      </c>
      <c r="F1406" s="4" t="s">
        <v>98</v>
      </c>
      <c r="G1406" s="4" t="s">
        <v>99</v>
      </c>
      <c r="H1406" s="4" t="s">
        <v>179</v>
      </c>
      <c r="I1406" s="4" t="s">
        <v>180</v>
      </c>
    </row>
    <row r="1407" spans="1:9" x14ac:dyDescent="0.25">
      <c r="A1407" s="4">
        <v>43</v>
      </c>
      <c r="B1407" s="4" t="s">
        <v>1831</v>
      </c>
      <c r="C1407" s="18">
        <v>1781898857776420</v>
      </c>
      <c r="D1407" s="4" t="s">
        <v>1796</v>
      </c>
      <c r="E1407" s="18">
        <v>288476</v>
      </c>
      <c r="F1407" s="4" t="s">
        <v>103</v>
      </c>
      <c r="G1407" s="4" t="s">
        <v>89</v>
      </c>
      <c r="H1407" s="4" t="s">
        <v>179</v>
      </c>
      <c r="I1407" s="4"/>
    </row>
    <row r="1408" spans="1:9" x14ac:dyDescent="0.25">
      <c r="B1408" t="s">
        <v>1832</v>
      </c>
      <c r="C1408" s="12">
        <v>1781899004505990</v>
      </c>
      <c r="D1408" t="s">
        <v>1833</v>
      </c>
      <c r="E1408" t="s">
        <v>87</v>
      </c>
      <c r="F1408" t="s">
        <v>88</v>
      </c>
      <c r="G1408" t="s">
        <v>89</v>
      </c>
      <c r="H1408" t="s">
        <v>184</v>
      </c>
    </row>
    <row r="1409" spans="1:9" x14ac:dyDescent="0.25">
      <c r="B1409" t="s">
        <v>1834</v>
      </c>
      <c r="C1409" s="12">
        <v>1781899004506590</v>
      </c>
      <c r="D1409" t="s">
        <v>1833</v>
      </c>
      <c r="E1409" t="s">
        <v>108</v>
      </c>
      <c r="F1409" t="s">
        <v>166</v>
      </c>
      <c r="G1409" t="s">
        <v>167</v>
      </c>
      <c r="H1409" t="s">
        <v>711</v>
      </c>
    </row>
    <row r="1410" spans="1:9" x14ac:dyDescent="0.25">
      <c r="A1410" s="3">
        <v>44</v>
      </c>
      <c r="B1410" s="3" t="s">
        <v>1835</v>
      </c>
      <c r="C1410" s="21">
        <v>1781899016535900</v>
      </c>
      <c r="D1410" s="3" t="s">
        <v>1833</v>
      </c>
      <c r="E1410" s="21">
        <v>12030</v>
      </c>
      <c r="F1410" s="3" t="s">
        <v>98</v>
      </c>
      <c r="G1410" s="3" t="s">
        <v>99</v>
      </c>
      <c r="H1410" s="3" t="s">
        <v>100</v>
      </c>
      <c r="I1410" s="3" t="s">
        <v>101</v>
      </c>
    </row>
    <row r="1411" spans="1:9" x14ac:dyDescent="0.25">
      <c r="A1411" s="3">
        <v>44</v>
      </c>
      <c r="B1411" s="3" t="s">
        <v>1836</v>
      </c>
      <c r="C1411" s="21">
        <v>1781899016536330</v>
      </c>
      <c r="D1411" s="3" t="s">
        <v>1833</v>
      </c>
      <c r="E1411" s="21">
        <v>12030</v>
      </c>
      <c r="F1411" s="3" t="s">
        <v>103</v>
      </c>
      <c r="G1411" s="3" t="s">
        <v>89</v>
      </c>
      <c r="H1411" s="3" t="s">
        <v>104</v>
      </c>
      <c r="I1411" s="3"/>
    </row>
    <row r="1412" spans="1:9" x14ac:dyDescent="0.25">
      <c r="A1412" s="3">
        <v>44</v>
      </c>
      <c r="B1412" s="3" t="s">
        <v>1837</v>
      </c>
      <c r="C1412" s="21">
        <v>1781899016537070</v>
      </c>
      <c r="D1412" s="3" t="s">
        <v>1838</v>
      </c>
      <c r="E1412" s="3" t="s">
        <v>87</v>
      </c>
      <c r="F1412" s="3" t="s">
        <v>88</v>
      </c>
      <c r="G1412" s="3" t="s">
        <v>89</v>
      </c>
      <c r="H1412" s="3" t="s">
        <v>90</v>
      </c>
      <c r="I1412" s="3"/>
    </row>
    <row r="1413" spans="1:9" x14ac:dyDescent="0.25">
      <c r="A1413" s="3">
        <v>44</v>
      </c>
      <c r="B1413" s="3" t="s">
        <v>1839</v>
      </c>
      <c r="C1413" s="21">
        <v>1781899016537580</v>
      </c>
      <c r="D1413" s="3" t="s">
        <v>1838</v>
      </c>
      <c r="E1413" s="3" t="s">
        <v>108</v>
      </c>
      <c r="F1413" s="3" t="s">
        <v>93</v>
      </c>
      <c r="G1413" s="3" t="s">
        <v>94</v>
      </c>
      <c r="H1413" s="3" t="s">
        <v>95</v>
      </c>
      <c r="I1413" s="3" t="s">
        <v>95</v>
      </c>
    </row>
    <row r="1414" spans="1:9" x14ac:dyDescent="0.25">
      <c r="A1414" s="3">
        <v>44</v>
      </c>
      <c r="B1414" s="3" t="s">
        <v>1840</v>
      </c>
      <c r="C1414" s="21">
        <v>1781899035454040</v>
      </c>
      <c r="D1414" s="3" t="s">
        <v>1838</v>
      </c>
      <c r="E1414" s="21">
        <v>18917</v>
      </c>
      <c r="F1414" s="3" t="s">
        <v>98</v>
      </c>
      <c r="G1414" s="3" t="s">
        <v>99</v>
      </c>
      <c r="H1414" s="3" t="s">
        <v>120</v>
      </c>
      <c r="I1414" s="3" t="s">
        <v>121</v>
      </c>
    </row>
    <row r="1415" spans="1:9" x14ac:dyDescent="0.25">
      <c r="A1415" s="3">
        <v>44</v>
      </c>
      <c r="B1415" s="3" t="s">
        <v>1841</v>
      </c>
      <c r="C1415" s="21">
        <v>1781899035457010</v>
      </c>
      <c r="D1415" s="3" t="s">
        <v>1838</v>
      </c>
      <c r="E1415" s="21">
        <v>18920</v>
      </c>
      <c r="F1415" s="3" t="s">
        <v>93</v>
      </c>
      <c r="G1415" s="3" t="s">
        <v>94</v>
      </c>
      <c r="H1415" s="3" t="s">
        <v>118</v>
      </c>
      <c r="I1415" s="3" t="s">
        <v>118</v>
      </c>
    </row>
    <row r="1416" spans="1:9" x14ac:dyDescent="0.25">
      <c r="A1416" s="3">
        <v>44</v>
      </c>
      <c r="B1416" s="3" t="s">
        <v>1842</v>
      </c>
      <c r="C1416" s="21">
        <v>1781899035549720</v>
      </c>
      <c r="D1416" s="3" t="s">
        <v>1838</v>
      </c>
      <c r="E1416" s="21">
        <v>19013</v>
      </c>
      <c r="F1416" s="3" t="s">
        <v>123</v>
      </c>
      <c r="G1416" s="3" t="s">
        <v>124</v>
      </c>
      <c r="H1416" s="3" t="s">
        <v>120</v>
      </c>
      <c r="I1416" s="3" t="s">
        <v>125</v>
      </c>
    </row>
    <row r="1417" spans="1:9" x14ac:dyDescent="0.25">
      <c r="A1417" s="3">
        <v>44</v>
      </c>
      <c r="B1417" s="3" t="s">
        <v>1843</v>
      </c>
      <c r="C1417" s="21">
        <v>1781899043089000</v>
      </c>
      <c r="D1417" s="3" t="s">
        <v>1838</v>
      </c>
      <c r="E1417" s="21">
        <v>26552</v>
      </c>
      <c r="F1417" s="3" t="s">
        <v>123</v>
      </c>
      <c r="G1417" s="3" t="s">
        <v>124</v>
      </c>
      <c r="H1417" s="3" t="s">
        <v>127</v>
      </c>
      <c r="I1417" s="3" t="s">
        <v>1844</v>
      </c>
    </row>
    <row r="1418" spans="1:9" x14ac:dyDescent="0.25">
      <c r="A1418" s="3">
        <v>44</v>
      </c>
      <c r="B1418" s="3" t="s">
        <v>1845</v>
      </c>
      <c r="C1418" s="21">
        <v>1781899043187570</v>
      </c>
      <c r="D1418" s="3" t="s">
        <v>1838</v>
      </c>
      <c r="E1418" s="21">
        <v>26651</v>
      </c>
      <c r="F1418" s="3" t="s">
        <v>98</v>
      </c>
      <c r="G1418" s="3" t="s">
        <v>99</v>
      </c>
      <c r="H1418" s="3" t="s">
        <v>127</v>
      </c>
      <c r="I1418" s="3" t="s">
        <v>1846</v>
      </c>
    </row>
    <row r="1419" spans="1:9" x14ac:dyDescent="0.25">
      <c r="A1419" s="3">
        <v>44</v>
      </c>
      <c r="B1419" s="3" t="s">
        <v>1847</v>
      </c>
      <c r="C1419" s="21">
        <v>1781899044893430</v>
      </c>
      <c r="D1419" s="3" t="s">
        <v>1838</v>
      </c>
      <c r="E1419" s="21">
        <v>28356</v>
      </c>
      <c r="F1419" s="3" t="s">
        <v>132</v>
      </c>
      <c r="G1419" s="3" t="s">
        <v>133</v>
      </c>
      <c r="H1419" s="3" t="s">
        <v>134</v>
      </c>
      <c r="I1419" s="3" t="s">
        <v>135</v>
      </c>
    </row>
    <row r="1420" spans="1:9" x14ac:dyDescent="0.25">
      <c r="A1420" s="3">
        <v>44</v>
      </c>
      <c r="B1420" s="3" t="s">
        <v>1848</v>
      </c>
      <c r="C1420" s="21">
        <v>1781899052948030</v>
      </c>
      <c r="D1420" s="3" t="s">
        <v>1838</v>
      </c>
      <c r="E1420" s="21">
        <v>36411</v>
      </c>
      <c r="F1420" s="3" t="s">
        <v>98</v>
      </c>
      <c r="G1420" s="3" t="s">
        <v>99</v>
      </c>
      <c r="H1420" s="3" t="s">
        <v>137</v>
      </c>
      <c r="I1420" s="3" t="s">
        <v>138</v>
      </c>
    </row>
    <row r="1421" spans="1:9" x14ac:dyDescent="0.25">
      <c r="A1421" s="3">
        <v>44</v>
      </c>
      <c r="B1421" s="3" t="s">
        <v>1849</v>
      </c>
      <c r="C1421" s="21">
        <v>1781899070158770</v>
      </c>
      <c r="D1421" s="3" t="s">
        <v>1838</v>
      </c>
      <c r="E1421" s="21">
        <v>53622</v>
      </c>
      <c r="F1421" s="3" t="s">
        <v>166</v>
      </c>
      <c r="G1421" s="3" t="s">
        <v>167</v>
      </c>
      <c r="H1421" s="3" t="s">
        <v>213</v>
      </c>
      <c r="I1421" s="3"/>
    </row>
    <row r="1422" spans="1:9" x14ac:dyDescent="0.25">
      <c r="A1422" s="3">
        <v>44</v>
      </c>
      <c r="B1422" s="3" t="s">
        <v>1850</v>
      </c>
      <c r="C1422" s="21">
        <v>1781899072156360</v>
      </c>
      <c r="D1422" s="3" t="s">
        <v>1838</v>
      </c>
      <c r="E1422" s="21">
        <v>55619</v>
      </c>
      <c r="F1422" s="3" t="s">
        <v>123</v>
      </c>
      <c r="G1422" s="3" t="s">
        <v>124</v>
      </c>
      <c r="H1422" s="3" t="s">
        <v>120</v>
      </c>
      <c r="I1422" s="3" t="s">
        <v>144</v>
      </c>
    </row>
    <row r="1423" spans="1:9" x14ac:dyDescent="0.25">
      <c r="A1423" s="3">
        <v>44</v>
      </c>
      <c r="B1423" s="3" t="s">
        <v>1851</v>
      </c>
      <c r="C1423" s="21">
        <v>1781899072156860</v>
      </c>
      <c r="D1423" s="3" t="s">
        <v>1838</v>
      </c>
      <c r="E1423" s="21">
        <v>55620</v>
      </c>
      <c r="F1423" s="3" t="s">
        <v>98</v>
      </c>
      <c r="G1423" s="3" t="s">
        <v>99</v>
      </c>
      <c r="H1423" s="3" t="s">
        <v>120</v>
      </c>
      <c r="I1423" s="3" t="s">
        <v>142</v>
      </c>
    </row>
    <row r="1424" spans="1:9" x14ac:dyDescent="0.25">
      <c r="A1424" s="3">
        <v>44</v>
      </c>
      <c r="B1424" s="3" t="s">
        <v>1852</v>
      </c>
      <c r="C1424" s="21">
        <v>1781899081641900</v>
      </c>
      <c r="D1424" s="3" t="s">
        <v>1838</v>
      </c>
      <c r="E1424" s="21">
        <v>65105</v>
      </c>
      <c r="F1424" s="3" t="s">
        <v>98</v>
      </c>
      <c r="G1424" s="3" t="s">
        <v>99</v>
      </c>
      <c r="H1424" s="3" t="s">
        <v>148</v>
      </c>
      <c r="I1424" s="3" t="s">
        <v>151</v>
      </c>
    </row>
    <row r="1425" spans="1:9" x14ac:dyDescent="0.25">
      <c r="A1425" s="3">
        <v>44</v>
      </c>
      <c r="B1425" s="3" t="s">
        <v>1853</v>
      </c>
      <c r="C1425" s="21">
        <v>1781899081642330</v>
      </c>
      <c r="D1425" s="3" t="s">
        <v>1838</v>
      </c>
      <c r="E1425" s="21">
        <v>65105</v>
      </c>
      <c r="F1425" s="3" t="s">
        <v>123</v>
      </c>
      <c r="G1425" s="3" t="s">
        <v>124</v>
      </c>
      <c r="H1425" s="3" t="s">
        <v>148</v>
      </c>
      <c r="I1425" s="3" t="s">
        <v>149</v>
      </c>
    </row>
    <row r="1426" spans="1:9" x14ac:dyDescent="0.25">
      <c r="A1426" s="3">
        <v>44</v>
      </c>
      <c r="B1426" s="3" t="s">
        <v>1854</v>
      </c>
      <c r="C1426" s="21">
        <v>1781899088111480</v>
      </c>
      <c r="D1426" s="3" t="s">
        <v>1838</v>
      </c>
      <c r="E1426" s="21">
        <v>71574</v>
      </c>
      <c r="F1426" s="3" t="s">
        <v>98</v>
      </c>
      <c r="G1426" s="3" t="s">
        <v>99</v>
      </c>
      <c r="H1426" s="3" t="s">
        <v>120</v>
      </c>
      <c r="I1426" s="3" t="s">
        <v>155</v>
      </c>
    </row>
    <row r="1427" spans="1:9" x14ac:dyDescent="0.25">
      <c r="A1427" s="3">
        <v>44</v>
      </c>
      <c r="B1427" s="3" t="s">
        <v>1855</v>
      </c>
      <c r="C1427" s="21">
        <v>1781899088111710</v>
      </c>
      <c r="D1427" s="3" t="s">
        <v>1838</v>
      </c>
      <c r="E1427" s="21">
        <v>71575</v>
      </c>
      <c r="F1427" s="3" t="s">
        <v>123</v>
      </c>
      <c r="G1427" s="3" t="s">
        <v>124</v>
      </c>
      <c r="H1427" s="3" t="s">
        <v>120</v>
      </c>
      <c r="I1427" s="3" t="s">
        <v>157</v>
      </c>
    </row>
    <row r="1428" spans="1:9" x14ac:dyDescent="0.25">
      <c r="A1428" s="3">
        <v>44</v>
      </c>
      <c r="B1428" s="3" t="s">
        <v>1856</v>
      </c>
      <c r="C1428" s="21">
        <v>1781899088112030</v>
      </c>
      <c r="D1428" s="3" t="s">
        <v>1838</v>
      </c>
      <c r="E1428" s="21">
        <v>71575</v>
      </c>
      <c r="F1428" s="3" t="s">
        <v>93</v>
      </c>
      <c r="G1428" s="3" t="s">
        <v>94</v>
      </c>
      <c r="H1428" s="3" t="s">
        <v>153</v>
      </c>
      <c r="I1428" s="3" t="s">
        <v>153</v>
      </c>
    </row>
    <row r="1429" spans="1:9" x14ac:dyDescent="0.25">
      <c r="A1429" s="3">
        <v>44</v>
      </c>
      <c r="B1429" s="3" t="s">
        <v>1857</v>
      </c>
      <c r="C1429" s="21">
        <v>1781899089715510</v>
      </c>
      <c r="D1429" s="3" t="s">
        <v>1838</v>
      </c>
      <c r="E1429" s="21">
        <v>73179</v>
      </c>
      <c r="F1429" s="3" t="s">
        <v>123</v>
      </c>
      <c r="G1429" s="3" t="s">
        <v>124</v>
      </c>
      <c r="H1429" s="3" t="s">
        <v>120</v>
      </c>
      <c r="I1429" s="3" t="s">
        <v>159</v>
      </c>
    </row>
    <row r="1430" spans="1:9" x14ac:dyDescent="0.25">
      <c r="A1430" s="3">
        <v>44</v>
      </c>
      <c r="B1430" s="3" t="s">
        <v>1858</v>
      </c>
      <c r="C1430" s="21">
        <v>1781899130428120</v>
      </c>
      <c r="D1430" s="3" t="s">
        <v>1838</v>
      </c>
      <c r="E1430" s="21">
        <v>113891</v>
      </c>
      <c r="F1430" s="3" t="s">
        <v>123</v>
      </c>
      <c r="G1430" s="3" t="s">
        <v>124</v>
      </c>
      <c r="H1430" s="3" t="s">
        <v>120</v>
      </c>
      <c r="I1430" s="3" t="s">
        <v>157</v>
      </c>
    </row>
    <row r="1431" spans="1:9" x14ac:dyDescent="0.25">
      <c r="A1431" s="3">
        <v>44</v>
      </c>
      <c r="B1431" s="3" t="s">
        <v>1859</v>
      </c>
      <c r="C1431" s="21">
        <v>1781899130434640</v>
      </c>
      <c r="D1431" s="3" t="s">
        <v>1838</v>
      </c>
      <c r="E1431" s="21">
        <v>113898</v>
      </c>
      <c r="F1431" s="3" t="s">
        <v>93</v>
      </c>
      <c r="G1431" s="3" t="s">
        <v>94</v>
      </c>
      <c r="H1431" s="3" t="s">
        <v>153</v>
      </c>
      <c r="I1431" s="3" t="s">
        <v>153</v>
      </c>
    </row>
    <row r="1432" spans="1:9" x14ac:dyDescent="0.25">
      <c r="A1432" s="3">
        <v>44</v>
      </c>
      <c r="B1432" s="3" t="s">
        <v>1860</v>
      </c>
      <c r="C1432" s="21">
        <v>1781899131927570</v>
      </c>
      <c r="D1432" s="3" t="s">
        <v>1838</v>
      </c>
      <c r="E1432" s="21">
        <v>115391</v>
      </c>
      <c r="F1432" s="3" t="s">
        <v>123</v>
      </c>
      <c r="G1432" s="3" t="s">
        <v>124</v>
      </c>
      <c r="H1432" s="3" t="s">
        <v>120</v>
      </c>
      <c r="I1432" s="3" t="s">
        <v>159</v>
      </c>
    </row>
    <row r="1433" spans="1:9" x14ac:dyDescent="0.25">
      <c r="A1433" s="3">
        <v>44</v>
      </c>
      <c r="B1433" s="3" t="s">
        <v>1861</v>
      </c>
      <c r="C1433" s="21">
        <v>1781899176989610</v>
      </c>
      <c r="D1433" s="3" t="s">
        <v>1838</v>
      </c>
      <c r="E1433" s="21">
        <v>160453</v>
      </c>
      <c r="F1433" s="3" t="s">
        <v>123</v>
      </c>
      <c r="G1433" s="3" t="s">
        <v>124</v>
      </c>
      <c r="H1433" s="3" t="s">
        <v>120</v>
      </c>
      <c r="I1433" s="3" t="s">
        <v>260</v>
      </c>
    </row>
    <row r="1434" spans="1:9" x14ac:dyDescent="0.25">
      <c r="A1434" s="3">
        <v>44</v>
      </c>
      <c r="B1434" s="3" t="s">
        <v>1862</v>
      </c>
      <c r="C1434" s="21">
        <v>1781899176990120</v>
      </c>
      <c r="D1434" s="3" t="s">
        <v>1838</v>
      </c>
      <c r="E1434" s="21">
        <v>160453</v>
      </c>
      <c r="F1434" s="3" t="s">
        <v>98</v>
      </c>
      <c r="G1434" s="3" t="s">
        <v>99</v>
      </c>
      <c r="H1434" s="3" t="s">
        <v>120</v>
      </c>
      <c r="I1434" s="3" t="s">
        <v>262</v>
      </c>
    </row>
    <row r="1435" spans="1:9" x14ac:dyDescent="0.25">
      <c r="A1435" s="3">
        <v>44</v>
      </c>
      <c r="B1435" s="3" t="s">
        <v>1863</v>
      </c>
      <c r="C1435" s="21">
        <v>1781899256731700</v>
      </c>
      <c r="D1435" s="3" t="s">
        <v>1838</v>
      </c>
      <c r="E1435" s="21">
        <v>240195</v>
      </c>
      <c r="F1435" s="3" t="s">
        <v>166</v>
      </c>
      <c r="G1435" s="3" t="s">
        <v>167</v>
      </c>
      <c r="H1435" s="3" t="s">
        <v>1864</v>
      </c>
      <c r="I1435" s="3"/>
    </row>
    <row r="1436" spans="1:9" x14ac:dyDescent="0.25">
      <c r="A1436" s="3">
        <v>44</v>
      </c>
      <c r="B1436" s="3" t="s">
        <v>1865</v>
      </c>
      <c r="C1436" s="21">
        <v>1781899273717020</v>
      </c>
      <c r="D1436" s="3" t="s">
        <v>1838</v>
      </c>
      <c r="E1436" s="21">
        <v>257180</v>
      </c>
      <c r="F1436" s="3" t="s">
        <v>123</v>
      </c>
      <c r="G1436" s="3" t="s">
        <v>124</v>
      </c>
      <c r="H1436" s="3" t="s">
        <v>120</v>
      </c>
      <c r="I1436" s="3" t="s">
        <v>157</v>
      </c>
    </row>
    <row r="1437" spans="1:9" x14ac:dyDescent="0.25">
      <c r="A1437" s="3">
        <v>44</v>
      </c>
      <c r="B1437" s="3" t="s">
        <v>1866</v>
      </c>
      <c r="C1437" s="21">
        <v>1781899273717560</v>
      </c>
      <c r="D1437" s="3" t="s">
        <v>1838</v>
      </c>
      <c r="E1437" s="21">
        <v>257181</v>
      </c>
      <c r="F1437" s="3" t="s">
        <v>98</v>
      </c>
      <c r="G1437" s="3" t="s">
        <v>99</v>
      </c>
      <c r="H1437" s="3" t="s">
        <v>120</v>
      </c>
      <c r="I1437" s="3" t="s">
        <v>155</v>
      </c>
    </row>
    <row r="1438" spans="1:9" x14ac:dyDescent="0.25">
      <c r="A1438" s="3">
        <v>44</v>
      </c>
      <c r="B1438" s="3" t="s">
        <v>1867</v>
      </c>
      <c r="C1438" s="21">
        <v>1781899275217340</v>
      </c>
      <c r="D1438" s="3" t="s">
        <v>1838</v>
      </c>
      <c r="E1438" s="21">
        <v>258680</v>
      </c>
      <c r="F1438" s="3" t="s">
        <v>123</v>
      </c>
      <c r="G1438" s="3" t="s">
        <v>124</v>
      </c>
      <c r="H1438" s="3" t="s">
        <v>120</v>
      </c>
      <c r="I1438" s="3" t="s">
        <v>159</v>
      </c>
    </row>
    <row r="1439" spans="1:9" x14ac:dyDescent="0.25">
      <c r="A1439" s="3">
        <v>44</v>
      </c>
      <c r="B1439" s="3" t="s">
        <v>1868</v>
      </c>
      <c r="C1439" s="21">
        <v>1781899320245420</v>
      </c>
      <c r="D1439" s="3" t="s">
        <v>1838</v>
      </c>
      <c r="E1439" s="21">
        <v>303708</v>
      </c>
      <c r="F1439" s="3" t="s">
        <v>123</v>
      </c>
      <c r="G1439" s="3" t="s">
        <v>124</v>
      </c>
      <c r="H1439" s="3" t="s">
        <v>120</v>
      </c>
      <c r="I1439" s="3" t="s">
        <v>260</v>
      </c>
    </row>
    <row r="1440" spans="1:9" x14ac:dyDescent="0.25">
      <c r="A1440" s="3">
        <v>44</v>
      </c>
      <c r="B1440" s="3" t="s">
        <v>1869</v>
      </c>
      <c r="C1440" s="21">
        <v>1781899320246260</v>
      </c>
      <c r="D1440" s="3" t="s">
        <v>1838</v>
      </c>
      <c r="E1440" s="21">
        <v>303709</v>
      </c>
      <c r="F1440" s="3" t="s">
        <v>98</v>
      </c>
      <c r="G1440" s="3" t="s">
        <v>99</v>
      </c>
      <c r="H1440" s="3" t="s">
        <v>120</v>
      </c>
      <c r="I1440" s="3" t="s">
        <v>262</v>
      </c>
    </row>
    <row r="1441" spans="1:9" x14ac:dyDescent="0.25">
      <c r="A1441" s="3">
        <v>44</v>
      </c>
      <c r="B1441" s="3" t="s">
        <v>1870</v>
      </c>
      <c r="C1441" s="21">
        <v>1781899323457170</v>
      </c>
      <c r="D1441" s="3" t="s">
        <v>1838</v>
      </c>
      <c r="E1441" s="21">
        <v>306920</v>
      </c>
      <c r="F1441" s="3" t="s">
        <v>166</v>
      </c>
      <c r="G1441" s="3" t="s">
        <v>167</v>
      </c>
      <c r="H1441" s="3" t="s">
        <v>1871</v>
      </c>
      <c r="I1441" s="3"/>
    </row>
    <row r="1442" spans="1:9" x14ac:dyDescent="0.25">
      <c r="B1442" t="s">
        <v>1872</v>
      </c>
      <c r="C1442" s="12">
        <v>1781899460622100</v>
      </c>
      <c r="D1442" t="s">
        <v>1838</v>
      </c>
      <c r="E1442" s="12">
        <v>444085</v>
      </c>
      <c r="F1442" t="s">
        <v>166</v>
      </c>
      <c r="G1442" t="s">
        <v>167</v>
      </c>
      <c r="H1442" t="s">
        <v>711</v>
      </c>
    </row>
    <row r="1443" spans="1:9" x14ac:dyDescent="0.25">
      <c r="B1443" t="s">
        <v>1873</v>
      </c>
      <c r="C1443" s="12">
        <v>1781899556122370</v>
      </c>
      <c r="D1443" t="s">
        <v>1838</v>
      </c>
      <c r="E1443" s="12">
        <v>539585</v>
      </c>
      <c r="F1443" t="s">
        <v>98</v>
      </c>
      <c r="G1443" t="s">
        <v>99</v>
      </c>
      <c r="H1443" t="s">
        <v>100</v>
      </c>
      <c r="I1443" t="s">
        <v>101</v>
      </c>
    </row>
    <row r="1444" spans="1:9" x14ac:dyDescent="0.25">
      <c r="A1444" s="4">
        <v>45</v>
      </c>
      <c r="B1444" s="4" t="s">
        <v>1874</v>
      </c>
      <c r="C1444" s="18">
        <v>1781899580781830</v>
      </c>
      <c r="D1444" s="4" t="s">
        <v>1838</v>
      </c>
      <c r="E1444" s="18">
        <v>564245</v>
      </c>
      <c r="F1444" s="4" t="s">
        <v>166</v>
      </c>
      <c r="G1444" s="4" t="s">
        <v>167</v>
      </c>
      <c r="H1444" s="4" t="s">
        <v>711</v>
      </c>
      <c r="I1444" s="4"/>
    </row>
    <row r="1445" spans="1:9" x14ac:dyDescent="0.25">
      <c r="A1445" s="4">
        <v>45</v>
      </c>
      <c r="B1445" s="4" t="s">
        <v>1875</v>
      </c>
      <c r="C1445" s="18">
        <v>1781899624603630</v>
      </c>
      <c r="D1445" s="4" t="s">
        <v>1838</v>
      </c>
      <c r="E1445" s="18">
        <v>608067</v>
      </c>
      <c r="F1445" s="4" t="s">
        <v>98</v>
      </c>
      <c r="G1445" s="4" t="s">
        <v>99</v>
      </c>
      <c r="H1445" s="4" t="s">
        <v>120</v>
      </c>
      <c r="I1445" s="4" t="s">
        <v>121</v>
      </c>
    </row>
    <row r="1446" spans="1:9" x14ac:dyDescent="0.25">
      <c r="A1446" s="4">
        <v>45</v>
      </c>
      <c r="B1446" s="4" t="s">
        <v>1876</v>
      </c>
      <c r="C1446" s="18">
        <v>1781899624603810</v>
      </c>
      <c r="D1446" s="4" t="s">
        <v>1838</v>
      </c>
      <c r="E1446" s="18">
        <v>608067</v>
      </c>
      <c r="F1446" s="4" t="s">
        <v>123</v>
      </c>
      <c r="G1446" s="4" t="s">
        <v>124</v>
      </c>
      <c r="H1446" s="4" t="s">
        <v>120</v>
      </c>
      <c r="I1446" s="4" t="s">
        <v>125</v>
      </c>
    </row>
    <row r="1447" spans="1:9" x14ac:dyDescent="0.25">
      <c r="A1447" s="4">
        <v>45</v>
      </c>
      <c r="B1447" s="4" t="s">
        <v>1877</v>
      </c>
      <c r="C1447" s="18">
        <v>1781899636250610</v>
      </c>
      <c r="D1447" s="4" t="s">
        <v>1838</v>
      </c>
      <c r="E1447" s="18">
        <v>619714</v>
      </c>
      <c r="F1447" s="4" t="s">
        <v>123</v>
      </c>
      <c r="G1447" s="4" t="s">
        <v>124</v>
      </c>
      <c r="H1447" s="4" t="s">
        <v>127</v>
      </c>
      <c r="I1447" s="4" t="s">
        <v>1878</v>
      </c>
    </row>
    <row r="1448" spans="1:9" x14ac:dyDescent="0.25">
      <c r="A1448" s="4">
        <v>45</v>
      </c>
      <c r="B1448" s="4" t="s">
        <v>1879</v>
      </c>
      <c r="C1448" s="18">
        <v>1781899636252380</v>
      </c>
      <c r="D1448" s="4" t="s">
        <v>1838</v>
      </c>
      <c r="E1448" s="18">
        <v>619715</v>
      </c>
      <c r="F1448" s="4" t="s">
        <v>98</v>
      </c>
      <c r="G1448" s="4" t="s">
        <v>99</v>
      </c>
      <c r="H1448" s="4" t="s">
        <v>127</v>
      </c>
      <c r="I1448" s="4" t="s">
        <v>1880</v>
      </c>
    </row>
    <row r="1449" spans="1:9" x14ac:dyDescent="0.25">
      <c r="A1449" s="4">
        <v>45</v>
      </c>
      <c r="B1449" s="4" t="s">
        <v>1881</v>
      </c>
      <c r="C1449" s="18">
        <v>1781899638343070</v>
      </c>
      <c r="D1449" s="4" t="s">
        <v>1838</v>
      </c>
      <c r="E1449" s="18">
        <v>621806</v>
      </c>
      <c r="F1449" s="4" t="s">
        <v>132</v>
      </c>
      <c r="G1449" s="4" t="s">
        <v>133</v>
      </c>
      <c r="H1449" s="4" t="s">
        <v>1882</v>
      </c>
      <c r="I1449" s="4" t="s">
        <v>1883</v>
      </c>
    </row>
    <row r="1450" spans="1:9" x14ac:dyDescent="0.25">
      <c r="A1450" s="4">
        <v>45</v>
      </c>
      <c r="B1450" s="4" t="s">
        <v>1884</v>
      </c>
      <c r="C1450" s="18">
        <v>1781899638344930</v>
      </c>
      <c r="D1450" s="4" t="s">
        <v>1838</v>
      </c>
      <c r="E1450" s="18">
        <v>621808</v>
      </c>
      <c r="F1450" s="4" t="s">
        <v>98</v>
      </c>
      <c r="G1450" s="4" t="s">
        <v>99</v>
      </c>
      <c r="H1450" s="4" t="s">
        <v>120</v>
      </c>
      <c r="I1450" s="4" t="s">
        <v>1885</v>
      </c>
    </row>
    <row r="1451" spans="1:9" x14ac:dyDescent="0.25">
      <c r="A1451" s="4">
        <v>45</v>
      </c>
      <c r="B1451" s="4" t="s">
        <v>1886</v>
      </c>
      <c r="C1451" s="18">
        <v>1781899656198700</v>
      </c>
      <c r="D1451" s="4" t="s">
        <v>1838</v>
      </c>
      <c r="E1451" s="18">
        <v>639662</v>
      </c>
      <c r="F1451" s="4" t="s">
        <v>98</v>
      </c>
      <c r="G1451" s="4" t="s">
        <v>99</v>
      </c>
      <c r="H1451" s="4" t="s">
        <v>120</v>
      </c>
      <c r="I1451" s="4" t="s">
        <v>629</v>
      </c>
    </row>
    <row r="1452" spans="1:9" x14ac:dyDescent="0.25">
      <c r="A1452" s="4">
        <v>45</v>
      </c>
      <c r="B1452" s="4" t="s">
        <v>1887</v>
      </c>
      <c r="C1452" s="18">
        <v>1781899706727130</v>
      </c>
      <c r="D1452" s="4" t="s">
        <v>1838</v>
      </c>
      <c r="E1452" s="18">
        <v>690190</v>
      </c>
      <c r="F1452" s="4" t="s">
        <v>166</v>
      </c>
      <c r="G1452" s="4" t="s">
        <v>167</v>
      </c>
      <c r="H1452" s="4" t="s">
        <v>213</v>
      </c>
      <c r="I1452" s="4"/>
    </row>
    <row r="1453" spans="1:9" x14ac:dyDescent="0.25">
      <c r="A1453" s="4">
        <v>45</v>
      </c>
      <c r="B1453" s="4" t="s">
        <v>1888</v>
      </c>
      <c r="C1453" s="18">
        <v>1781899768320070</v>
      </c>
      <c r="D1453" s="4" t="s">
        <v>1838</v>
      </c>
      <c r="E1453" s="18">
        <v>751783</v>
      </c>
      <c r="F1453" s="4" t="s">
        <v>98</v>
      </c>
      <c r="G1453" s="4" t="s">
        <v>99</v>
      </c>
      <c r="H1453" s="4" t="s">
        <v>120</v>
      </c>
      <c r="I1453" s="4" t="s">
        <v>1889</v>
      </c>
    </row>
    <row r="1454" spans="1:9" x14ac:dyDescent="0.25">
      <c r="A1454" s="10"/>
      <c r="B1454" s="10" t="s">
        <v>1890</v>
      </c>
      <c r="C1454" s="22">
        <v>1781899978852050</v>
      </c>
      <c r="D1454" s="10" t="s">
        <v>1838</v>
      </c>
      <c r="E1454" s="22">
        <v>962315</v>
      </c>
      <c r="F1454" s="10" t="s">
        <v>98</v>
      </c>
      <c r="G1454" s="10" t="s">
        <v>99</v>
      </c>
      <c r="H1454" s="10" t="s">
        <v>100</v>
      </c>
      <c r="I1454" s="10" t="s">
        <v>101</v>
      </c>
    </row>
    <row r="1455" spans="1:9" x14ac:dyDescent="0.25">
      <c r="A1455" s="10"/>
      <c r="B1455" s="10" t="s">
        <v>1891</v>
      </c>
      <c r="C1455" s="22">
        <v>1781900018734090</v>
      </c>
      <c r="D1455" s="10" t="s">
        <v>1838</v>
      </c>
      <c r="E1455" s="22">
        <v>1002197</v>
      </c>
      <c r="F1455" s="10" t="s">
        <v>166</v>
      </c>
      <c r="G1455" s="10" t="s">
        <v>167</v>
      </c>
      <c r="H1455" s="10" t="s">
        <v>711</v>
      </c>
      <c r="I1455" s="10"/>
    </row>
    <row r="1456" spans="1:9" x14ac:dyDescent="0.25">
      <c r="A1456" s="10"/>
      <c r="B1456" s="10" t="s">
        <v>1892</v>
      </c>
      <c r="C1456" s="22">
        <v>1781900196032220</v>
      </c>
      <c r="D1456" s="10" t="s">
        <v>1838</v>
      </c>
      <c r="E1456" s="22">
        <v>1179495</v>
      </c>
      <c r="F1456" s="10" t="s">
        <v>103</v>
      </c>
      <c r="G1456" s="10" t="s">
        <v>89</v>
      </c>
      <c r="H1456" s="10" t="s">
        <v>619</v>
      </c>
      <c r="I1456" s="10"/>
    </row>
    <row r="1458" spans="1:9" x14ac:dyDescent="0.25">
      <c r="B1458" t="s">
        <v>1893</v>
      </c>
      <c r="C1458" s="12">
        <v>1781900868238390</v>
      </c>
      <c r="D1458" t="s">
        <v>1894</v>
      </c>
      <c r="E1458" t="s">
        <v>87</v>
      </c>
      <c r="F1458" t="s">
        <v>88</v>
      </c>
      <c r="G1458" t="s">
        <v>89</v>
      </c>
      <c r="H1458" t="s">
        <v>184</v>
      </c>
    </row>
    <row r="1459" spans="1:9" x14ac:dyDescent="0.25">
      <c r="B1459" t="s">
        <v>1895</v>
      </c>
      <c r="C1459" s="12">
        <v>1781900868238900</v>
      </c>
      <c r="D1459" t="s">
        <v>1894</v>
      </c>
      <c r="E1459" t="s">
        <v>108</v>
      </c>
      <c r="F1459" t="s">
        <v>166</v>
      </c>
      <c r="G1459" t="s">
        <v>167</v>
      </c>
      <c r="H1459" t="s">
        <v>213</v>
      </c>
    </row>
    <row r="1460" spans="1:9" x14ac:dyDescent="0.25">
      <c r="B1460" t="s">
        <v>1896</v>
      </c>
      <c r="C1460" s="12">
        <v>1781900889244110</v>
      </c>
      <c r="D1460" t="s">
        <v>1894</v>
      </c>
      <c r="E1460" s="12">
        <v>21006</v>
      </c>
      <c r="F1460" t="s">
        <v>93</v>
      </c>
      <c r="G1460" t="s">
        <v>94</v>
      </c>
      <c r="H1460" t="s">
        <v>195</v>
      </c>
      <c r="I1460" t="s">
        <v>195</v>
      </c>
    </row>
    <row r="1461" spans="1:9" x14ac:dyDescent="0.25">
      <c r="B1461" t="s">
        <v>1897</v>
      </c>
      <c r="C1461" s="12">
        <v>1781900933252890</v>
      </c>
      <c r="D1461" t="s">
        <v>1894</v>
      </c>
      <c r="E1461" s="12">
        <v>65015</v>
      </c>
      <c r="F1461" t="s">
        <v>166</v>
      </c>
      <c r="G1461" t="s">
        <v>167</v>
      </c>
      <c r="H1461" t="s">
        <v>711</v>
      </c>
    </row>
    <row r="1462" spans="1:9" x14ac:dyDescent="0.25">
      <c r="A1462" s="4">
        <v>45</v>
      </c>
      <c r="B1462" s="4" t="s">
        <v>1898</v>
      </c>
      <c r="C1462" s="18">
        <v>1781900944301150</v>
      </c>
      <c r="D1462" s="4" t="s">
        <v>1894</v>
      </c>
      <c r="E1462" s="18">
        <v>76063</v>
      </c>
      <c r="F1462" s="4" t="s">
        <v>98</v>
      </c>
      <c r="G1462" s="4" t="s">
        <v>99</v>
      </c>
      <c r="H1462" s="4" t="s">
        <v>100</v>
      </c>
      <c r="I1462" s="4" t="s">
        <v>101</v>
      </c>
    </row>
    <row r="1463" spans="1:9" x14ac:dyDescent="0.25">
      <c r="A1463" s="4">
        <v>45</v>
      </c>
      <c r="B1463" s="4" t="s">
        <v>1899</v>
      </c>
      <c r="C1463" s="18">
        <v>1781900964314980</v>
      </c>
      <c r="D1463" s="4" t="s">
        <v>1894</v>
      </c>
      <c r="E1463" s="18">
        <v>96077</v>
      </c>
      <c r="F1463" s="4" t="s">
        <v>98</v>
      </c>
      <c r="G1463" s="4" t="s">
        <v>99</v>
      </c>
      <c r="H1463" s="4" t="s">
        <v>120</v>
      </c>
      <c r="I1463" s="4" t="s">
        <v>121</v>
      </c>
    </row>
    <row r="1464" spans="1:9" x14ac:dyDescent="0.25">
      <c r="A1464" s="4">
        <v>45</v>
      </c>
      <c r="B1464" s="4" t="s">
        <v>1900</v>
      </c>
      <c r="C1464" s="18">
        <v>1781900964315220</v>
      </c>
      <c r="D1464" s="4" t="s">
        <v>1894</v>
      </c>
      <c r="E1464" s="18">
        <v>96077</v>
      </c>
      <c r="F1464" s="4" t="s">
        <v>123</v>
      </c>
      <c r="G1464" s="4" t="s">
        <v>124</v>
      </c>
      <c r="H1464" s="4" t="s">
        <v>120</v>
      </c>
      <c r="I1464" s="4" t="s">
        <v>125</v>
      </c>
    </row>
    <row r="1465" spans="1:9" x14ac:dyDescent="0.25">
      <c r="A1465" s="4">
        <v>45</v>
      </c>
      <c r="B1465" s="4" t="s">
        <v>1901</v>
      </c>
      <c r="C1465" s="18">
        <v>1781900985072830</v>
      </c>
      <c r="D1465" s="4" t="s">
        <v>1894</v>
      </c>
      <c r="E1465" s="18">
        <v>116834</v>
      </c>
      <c r="F1465" s="4" t="s">
        <v>98</v>
      </c>
      <c r="G1465" s="4" t="s">
        <v>99</v>
      </c>
      <c r="H1465" s="4" t="s">
        <v>127</v>
      </c>
      <c r="I1465" s="4" t="s">
        <v>1902</v>
      </c>
    </row>
    <row r="1466" spans="1:9" x14ac:dyDescent="0.25">
      <c r="A1466" s="4">
        <v>45</v>
      </c>
      <c r="B1466" s="4" t="s">
        <v>1903</v>
      </c>
      <c r="C1466" s="18">
        <v>1781900985073020</v>
      </c>
      <c r="D1466" s="4" t="s">
        <v>1894</v>
      </c>
      <c r="E1466" s="18">
        <v>116835</v>
      </c>
      <c r="F1466" s="4" t="s">
        <v>123</v>
      </c>
      <c r="G1466" s="4" t="s">
        <v>124</v>
      </c>
      <c r="H1466" s="4" t="s">
        <v>127</v>
      </c>
      <c r="I1466" s="4" t="s">
        <v>1904</v>
      </c>
    </row>
    <row r="1467" spans="1:9" x14ac:dyDescent="0.25">
      <c r="A1467" s="4">
        <v>45</v>
      </c>
      <c r="B1467" s="4" t="s">
        <v>1905</v>
      </c>
      <c r="C1467" s="18">
        <v>1781900986798790</v>
      </c>
      <c r="D1467" s="4" t="s">
        <v>1894</v>
      </c>
      <c r="E1467" s="18">
        <v>118560</v>
      </c>
      <c r="F1467" s="4" t="s">
        <v>132</v>
      </c>
      <c r="G1467" s="4" t="s">
        <v>133</v>
      </c>
      <c r="H1467" s="4" t="s">
        <v>1882</v>
      </c>
      <c r="I1467" s="4" t="s">
        <v>1883</v>
      </c>
    </row>
    <row r="1468" spans="1:9" x14ac:dyDescent="0.25">
      <c r="A1468" s="4">
        <v>45</v>
      </c>
      <c r="B1468" s="4" t="s">
        <v>1906</v>
      </c>
      <c r="C1468" s="18">
        <v>1781900994725270</v>
      </c>
      <c r="D1468" s="4" t="s">
        <v>1894</v>
      </c>
      <c r="E1468" s="18">
        <v>126487</v>
      </c>
      <c r="F1468" s="4" t="s">
        <v>98</v>
      </c>
      <c r="G1468" s="4" t="s">
        <v>99</v>
      </c>
      <c r="H1468" s="4" t="s">
        <v>120</v>
      </c>
      <c r="I1468" s="4" t="s">
        <v>1885</v>
      </c>
    </row>
    <row r="1469" spans="1:9" x14ac:dyDescent="0.25">
      <c r="A1469" s="9">
        <v>46</v>
      </c>
      <c r="B1469" s="9" t="s">
        <v>1907</v>
      </c>
      <c r="C1469" s="13">
        <v>1781901077624590</v>
      </c>
      <c r="D1469" s="9" t="s">
        <v>1894</v>
      </c>
      <c r="E1469" s="13">
        <v>209386</v>
      </c>
      <c r="F1469" s="9" t="s">
        <v>98</v>
      </c>
      <c r="G1469" s="9" t="s">
        <v>99</v>
      </c>
      <c r="H1469" s="9" t="s">
        <v>100</v>
      </c>
      <c r="I1469" s="9" t="s">
        <v>101</v>
      </c>
    </row>
    <row r="1470" spans="1:9" x14ac:dyDescent="0.25">
      <c r="A1470" s="9">
        <v>46</v>
      </c>
      <c r="B1470" s="9" t="s">
        <v>1908</v>
      </c>
      <c r="C1470" s="13">
        <v>1781901094516180</v>
      </c>
      <c r="D1470" s="9" t="s">
        <v>1894</v>
      </c>
      <c r="E1470" s="13">
        <v>226278</v>
      </c>
      <c r="F1470" s="9" t="s">
        <v>98</v>
      </c>
      <c r="G1470" s="9" t="s">
        <v>99</v>
      </c>
      <c r="H1470" s="9" t="s">
        <v>120</v>
      </c>
      <c r="I1470" s="9" t="s">
        <v>121</v>
      </c>
    </row>
    <row r="1471" spans="1:9" x14ac:dyDescent="0.25">
      <c r="A1471" s="9">
        <v>46</v>
      </c>
      <c r="B1471" s="9" t="s">
        <v>1909</v>
      </c>
      <c r="C1471" s="13">
        <v>1781901094516510</v>
      </c>
      <c r="D1471" s="9" t="s">
        <v>1894</v>
      </c>
      <c r="E1471" s="13">
        <v>226278</v>
      </c>
      <c r="F1471" s="9" t="s">
        <v>123</v>
      </c>
      <c r="G1471" s="9" t="s">
        <v>124</v>
      </c>
      <c r="H1471" s="9" t="s">
        <v>120</v>
      </c>
      <c r="I1471" s="9" t="s">
        <v>125</v>
      </c>
    </row>
    <row r="1472" spans="1:9" x14ac:dyDescent="0.25">
      <c r="A1472" s="9">
        <v>46</v>
      </c>
      <c r="B1472" s="9" t="s">
        <v>1910</v>
      </c>
      <c r="C1472" s="13">
        <v>1781901102652910</v>
      </c>
      <c r="D1472" s="9" t="s">
        <v>1894</v>
      </c>
      <c r="E1472" s="13">
        <v>234415</v>
      </c>
      <c r="F1472" s="9" t="s">
        <v>123</v>
      </c>
      <c r="G1472" s="9" t="s">
        <v>124</v>
      </c>
      <c r="H1472" s="9" t="s">
        <v>127</v>
      </c>
      <c r="I1472" s="9" t="s">
        <v>1911</v>
      </c>
    </row>
    <row r="1473" spans="1:9" x14ac:dyDescent="0.25">
      <c r="A1473" s="9">
        <v>46</v>
      </c>
      <c r="B1473" s="9" t="s">
        <v>1912</v>
      </c>
      <c r="C1473" s="13">
        <v>1781901102742900</v>
      </c>
      <c r="D1473" s="9" t="s">
        <v>1894</v>
      </c>
      <c r="E1473" s="13">
        <v>234505</v>
      </c>
      <c r="F1473" s="9" t="s">
        <v>98</v>
      </c>
      <c r="G1473" s="9" t="s">
        <v>99</v>
      </c>
      <c r="H1473" s="9" t="s">
        <v>127</v>
      </c>
      <c r="I1473" s="9" t="s">
        <v>1913</v>
      </c>
    </row>
    <row r="1474" spans="1:9" x14ac:dyDescent="0.25">
      <c r="A1474" s="9">
        <v>46</v>
      </c>
      <c r="B1474" s="9" t="s">
        <v>1914</v>
      </c>
      <c r="C1474" s="13">
        <v>1781901108030420</v>
      </c>
      <c r="D1474" s="9" t="s">
        <v>1894</v>
      </c>
      <c r="E1474" s="13">
        <v>239792</v>
      </c>
      <c r="F1474" s="9" t="s">
        <v>98</v>
      </c>
      <c r="G1474" s="9" t="s">
        <v>99</v>
      </c>
      <c r="H1474" s="9" t="s">
        <v>120</v>
      </c>
      <c r="I1474" s="9" t="s">
        <v>1885</v>
      </c>
    </row>
    <row r="1475" spans="1:9" x14ac:dyDescent="0.25">
      <c r="A1475" s="4">
        <v>47</v>
      </c>
      <c r="B1475" s="4" t="s">
        <v>1915</v>
      </c>
      <c r="C1475" s="18">
        <v>1781901189127790</v>
      </c>
      <c r="D1475" s="4" t="s">
        <v>1894</v>
      </c>
      <c r="E1475" s="18">
        <v>320889</v>
      </c>
      <c r="F1475" s="4" t="s">
        <v>98</v>
      </c>
      <c r="G1475" s="4" t="s">
        <v>99</v>
      </c>
      <c r="H1475" s="4" t="s">
        <v>100</v>
      </c>
      <c r="I1475" s="4" t="s">
        <v>101</v>
      </c>
    </row>
    <row r="1476" spans="1:9" x14ac:dyDescent="0.25">
      <c r="A1476" s="4">
        <v>47</v>
      </c>
      <c r="B1476" s="4" t="s">
        <v>1916</v>
      </c>
      <c r="C1476" s="18">
        <v>1781901215752930</v>
      </c>
      <c r="D1476" s="4" t="s">
        <v>1894</v>
      </c>
      <c r="E1476" s="18">
        <v>347515</v>
      </c>
      <c r="F1476" s="4" t="s">
        <v>123</v>
      </c>
      <c r="G1476" s="4" t="s">
        <v>124</v>
      </c>
      <c r="H1476" s="4" t="s">
        <v>120</v>
      </c>
      <c r="I1476" s="4" t="s">
        <v>125</v>
      </c>
    </row>
    <row r="1477" spans="1:9" x14ac:dyDescent="0.25">
      <c r="A1477" s="4">
        <v>47</v>
      </c>
      <c r="B1477" s="4" t="s">
        <v>1917</v>
      </c>
      <c r="C1477" s="18">
        <v>1781901215830590</v>
      </c>
      <c r="D1477" s="4" t="s">
        <v>1894</v>
      </c>
      <c r="E1477" s="18">
        <v>347592</v>
      </c>
      <c r="F1477" s="4" t="s">
        <v>98</v>
      </c>
      <c r="G1477" s="4" t="s">
        <v>99</v>
      </c>
      <c r="H1477" s="4" t="s">
        <v>120</v>
      </c>
      <c r="I1477" s="4" t="s">
        <v>121</v>
      </c>
    </row>
    <row r="1478" spans="1:9" x14ac:dyDescent="0.25">
      <c r="A1478" s="4">
        <v>47</v>
      </c>
      <c r="B1478" s="4" t="s">
        <v>1918</v>
      </c>
      <c r="C1478" s="18">
        <v>1781901244584930</v>
      </c>
      <c r="D1478" s="4" t="s">
        <v>1894</v>
      </c>
      <c r="E1478" s="18">
        <v>376347</v>
      </c>
      <c r="F1478" s="4" t="s">
        <v>123</v>
      </c>
      <c r="G1478" s="4" t="s">
        <v>124</v>
      </c>
      <c r="H1478" s="4" t="s">
        <v>127</v>
      </c>
      <c r="I1478" s="4" t="s">
        <v>1919</v>
      </c>
    </row>
    <row r="1479" spans="1:9" x14ac:dyDescent="0.25">
      <c r="A1479" s="4">
        <v>47</v>
      </c>
      <c r="B1479" s="4" t="s">
        <v>1920</v>
      </c>
      <c r="C1479" s="18">
        <v>1781901244595680</v>
      </c>
      <c r="D1479" s="4" t="s">
        <v>1894</v>
      </c>
      <c r="E1479" s="18">
        <v>376357</v>
      </c>
      <c r="F1479" s="4" t="s">
        <v>98</v>
      </c>
      <c r="G1479" s="4" t="s">
        <v>99</v>
      </c>
      <c r="H1479" s="4" t="s">
        <v>127</v>
      </c>
      <c r="I1479" s="4" t="s">
        <v>1921</v>
      </c>
    </row>
    <row r="1480" spans="1:9" x14ac:dyDescent="0.25">
      <c r="A1480" s="4">
        <v>47</v>
      </c>
      <c r="B1480" s="4" t="s">
        <v>1922</v>
      </c>
      <c r="C1480" s="18">
        <v>1781901252091930</v>
      </c>
      <c r="D1480" s="4" t="s">
        <v>1894</v>
      </c>
      <c r="E1480" s="18">
        <v>383854</v>
      </c>
      <c r="F1480" s="4" t="s">
        <v>98</v>
      </c>
      <c r="G1480" s="4" t="s">
        <v>99</v>
      </c>
      <c r="H1480" s="4" t="s">
        <v>120</v>
      </c>
      <c r="I1480" s="4" t="s">
        <v>1885</v>
      </c>
    </row>
    <row r="1481" spans="1:9" x14ac:dyDescent="0.25">
      <c r="B1481" t="s">
        <v>1923</v>
      </c>
      <c r="C1481" s="12">
        <v>1781901335937460</v>
      </c>
      <c r="D1481" t="s">
        <v>1894</v>
      </c>
      <c r="E1481" s="12">
        <v>467699</v>
      </c>
      <c r="F1481" t="s">
        <v>166</v>
      </c>
      <c r="G1481" t="s">
        <v>167</v>
      </c>
      <c r="H1481" t="s">
        <v>711</v>
      </c>
    </row>
    <row r="1482" spans="1:9" x14ac:dyDescent="0.25">
      <c r="A1482" s="9">
        <v>48</v>
      </c>
      <c r="B1482" s="9" t="s">
        <v>1924</v>
      </c>
      <c r="C1482" s="13">
        <v>1781901347035720</v>
      </c>
      <c r="D1482" s="9" t="s">
        <v>1894</v>
      </c>
      <c r="E1482" s="13">
        <v>478797</v>
      </c>
      <c r="F1482" s="9" t="s">
        <v>98</v>
      </c>
      <c r="G1482" s="9" t="s">
        <v>99</v>
      </c>
      <c r="H1482" s="9" t="s">
        <v>100</v>
      </c>
      <c r="I1482" s="9" t="s">
        <v>101</v>
      </c>
    </row>
    <row r="1483" spans="1:9" x14ac:dyDescent="0.25">
      <c r="A1483" s="9">
        <v>48</v>
      </c>
      <c r="B1483" s="9" t="s">
        <v>1925</v>
      </c>
      <c r="C1483" s="13">
        <v>1781901372527590</v>
      </c>
      <c r="D1483" s="9" t="s">
        <v>1894</v>
      </c>
      <c r="E1483" s="13">
        <v>504289</v>
      </c>
      <c r="F1483" s="9" t="s">
        <v>123</v>
      </c>
      <c r="G1483" s="9" t="s">
        <v>124</v>
      </c>
      <c r="H1483" s="9" t="s">
        <v>120</v>
      </c>
      <c r="I1483" s="9" t="s">
        <v>125</v>
      </c>
    </row>
    <row r="1484" spans="1:9" x14ac:dyDescent="0.25">
      <c r="A1484" s="9">
        <v>48</v>
      </c>
      <c r="B1484" s="9" t="s">
        <v>1926</v>
      </c>
      <c r="C1484" s="13">
        <v>1781901372529690</v>
      </c>
      <c r="D1484" s="9" t="s">
        <v>1894</v>
      </c>
      <c r="E1484" s="13">
        <v>504291</v>
      </c>
      <c r="F1484" s="9" t="s">
        <v>98</v>
      </c>
      <c r="G1484" s="9" t="s">
        <v>99</v>
      </c>
      <c r="H1484" s="9" t="s">
        <v>120</v>
      </c>
      <c r="I1484" s="9" t="s">
        <v>121</v>
      </c>
    </row>
    <row r="1485" spans="1:9" x14ac:dyDescent="0.25">
      <c r="A1485" s="9">
        <v>48</v>
      </c>
      <c r="B1485" s="9" t="s">
        <v>1927</v>
      </c>
      <c r="C1485" s="13">
        <v>1781901384785230</v>
      </c>
      <c r="D1485" s="9" t="s">
        <v>1894</v>
      </c>
      <c r="E1485" s="13">
        <v>516547</v>
      </c>
      <c r="F1485" s="9" t="s">
        <v>98</v>
      </c>
      <c r="G1485" s="9" t="s">
        <v>99</v>
      </c>
      <c r="H1485" s="9" t="s">
        <v>127</v>
      </c>
      <c r="I1485" s="9" t="s">
        <v>1928</v>
      </c>
    </row>
    <row r="1486" spans="1:9" x14ac:dyDescent="0.25">
      <c r="A1486" s="9">
        <v>48</v>
      </c>
      <c r="B1486" s="9" t="s">
        <v>1929</v>
      </c>
      <c r="C1486" s="13">
        <v>1781901384785430</v>
      </c>
      <c r="D1486" s="9" t="s">
        <v>1894</v>
      </c>
      <c r="E1486" s="13">
        <v>516547</v>
      </c>
      <c r="F1486" s="9" t="s">
        <v>123</v>
      </c>
      <c r="G1486" s="9" t="s">
        <v>124</v>
      </c>
      <c r="H1486" s="9" t="s">
        <v>127</v>
      </c>
      <c r="I1486" s="9" t="s">
        <v>1930</v>
      </c>
    </row>
    <row r="1487" spans="1:9" x14ac:dyDescent="0.25">
      <c r="A1487" s="9">
        <v>48</v>
      </c>
      <c r="B1487" s="9" t="s">
        <v>1931</v>
      </c>
      <c r="C1487" s="13">
        <v>1781901392220560</v>
      </c>
      <c r="D1487" s="9" t="s">
        <v>1894</v>
      </c>
      <c r="E1487" s="13">
        <v>523982</v>
      </c>
      <c r="F1487" s="9" t="s">
        <v>98</v>
      </c>
      <c r="G1487" s="9" t="s">
        <v>99</v>
      </c>
      <c r="H1487" s="9" t="s">
        <v>120</v>
      </c>
      <c r="I1487" s="9" t="s">
        <v>1885</v>
      </c>
    </row>
    <row r="1488" spans="1:9" x14ac:dyDescent="0.25">
      <c r="A1488" s="4">
        <v>49</v>
      </c>
      <c r="B1488" s="4" t="s">
        <v>1932</v>
      </c>
      <c r="C1488" s="18">
        <v>1781901435908000</v>
      </c>
      <c r="D1488" s="4" t="s">
        <v>1894</v>
      </c>
      <c r="E1488" s="18">
        <v>567670</v>
      </c>
      <c r="F1488" s="4" t="s">
        <v>98</v>
      </c>
      <c r="G1488" s="4" t="s">
        <v>99</v>
      </c>
      <c r="H1488" s="4" t="s">
        <v>100</v>
      </c>
      <c r="I1488" s="4" t="s">
        <v>101</v>
      </c>
    </row>
    <row r="1489" spans="1:9" x14ac:dyDescent="0.25">
      <c r="A1489" s="4">
        <v>49</v>
      </c>
      <c r="B1489" s="4" t="s">
        <v>1933</v>
      </c>
      <c r="C1489" s="18">
        <v>1781901449194430</v>
      </c>
      <c r="D1489" s="4" t="s">
        <v>1894</v>
      </c>
      <c r="E1489" s="18">
        <v>580956</v>
      </c>
      <c r="F1489" s="4" t="s">
        <v>123</v>
      </c>
      <c r="G1489" s="4" t="s">
        <v>124</v>
      </c>
      <c r="H1489" s="4" t="s">
        <v>120</v>
      </c>
      <c r="I1489" s="4" t="s">
        <v>125</v>
      </c>
    </row>
    <row r="1490" spans="1:9" x14ac:dyDescent="0.25">
      <c r="A1490" s="4">
        <v>49</v>
      </c>
      <c r="B1490" s="4" t="s">
        <v>1934</v>
      </c>
      <c r="C1490" s="18">
        <v>1781901449195200</v>
      </c>
      <c r="D1490" s="4" t="s">
        <v>1894</v>
      </c>
      <c r="E1490" s="18">
        <v>580957</v>
      </c>
      <c r="F1490" s="4" t="s">
        <v>98</v>
      </c>
      <c r="G1490" s="4" t="s">
        <v>99</v>
      </c>
      <c r="H1490" s="4" t="s">
        <v>120</v>
      </c>
      <c r="I1490" s="4" t="s">
        <v>121</v>
      </c>
    </row>
    <row r="1491" spans="1:9" x14ac:dyDescent="0.25">
      <c r="A1491" s="4">
        <v>49</v>
      </c>
      <c r="B1491" s="4" t="s">
        <v>1935</v>
      </c>
      <c r="C1491" s="18">
        <v>1781901451996400</v>
      </c>
      <c r="D1491" s="4" t="s">
        <v>1894</v>
      </c>
      <c r="E1491" s="18">
        <v>583758</v>
      </c>
      <c r="F1491" s="4" t="s">
        <v>123</v>
      </c>
      <c r="G1491" s="4" t="s">
        <v>124</v>
      </c>
      <c r="H1491" s="4" t="s">
        <v>127</v>
      </c>
      <c r="I1491" s="4" t="s">
        <v>1936</v>
      </c>
    </row>
    <row r="1492" spans="1:9" x14ac:dyDescent="0.25">
      <c r="A1492" s="4">
        <v>49</v>
      </c>
      <c r="B1492" s="4" t="s">
        <v>1937</v>
      </c>
      <c r="C1492" s="18">
        <v>1781901452012900</v>
      </c>
      <c r="D1492" s="4" t="s">
        <v>1894</v>
      </c>
      <c r="E1492" s="18">
        <v>583775</v>
      </c>
      <c r="F1492" s="4" t="s">
        <v>98</v>
      </c>
      <c r="G1492" s="4" t="s">
        <v>99</v>
      </c>
      <c r="H1492" s="4" t="s">
        <v>127</v>
      </c>
      <c r="I1492" s="4" t="s">
        <v>1938</v>
      </c>
    </row>
    <row r="1493" spans="1:9" x14ac:dyDescent="0.25">
      <c r="A1493" s="4">
        <v>49</v>
      </c>
      <c r="B1493" s="4" t="s">
        <v>1939</v>
      </c>
      <c r="C1493" s="18">
        <v>1781901460046390</v>
      </c>
      <c r="D1493" s="4" t="s">
        <v>1894</v>
      </c>
      <c r="E1493" s="18">
        <v>591808</v>
      </c>
      <c r="F1493" s="4" t="s">
        <v>98</v>
      </c>
      <c r="G1493" s="4" t="s">
        <v>99</v>
      </c>
      <c r="H1493" s="4" t="s">
        <v>120</v>
      </c>
      <c r="I1493" s="4" t="s">
        <v>1885</v>
      </c>
    </row>
    <row r="1494" spans="1:9" x14ac:dyDescent="0.25">
      <c r="B1494" t="s">
        <v>1940</v>
      </c>
      <c r="C1494" s="12">
        <v>1781901503513040</v>
      </c>
      <c r="D1494" t="s">
        <v>1894</v>
      </c>
      <c r="E1494" s="12">
        <v>635275</v>
      </c>
      <c r="F1494" t="s">
        <v>166</v>
      </c>
      <c r="G1494" t="s">
        <v>167</v>
      </c>
      <c r="H1494" t="s">
        <v>711</v>
      </c>
    </row>
    <row r="1495" spans="1:9" x14ac:dyDescent="0.25">
      <c r="A1495" s="9">
        <v>50</v>
      </c>
      <c r="B1495" s="9" t="s">
        <v>1941</v>
      </c>
      <c r="C1495" s="13">
        <v>1781901520154320</v>
      </c>
      <c r="D1495" s="9" t="s">
        <v>1894</v>
      </c>
      <c r="E1495" s="13">
        <v>651916</v>
      </c>
      <c r="F1495" s="9" t="s">
        <v>98</v>
      </c>
      <c r="G1495" s="9" t="s">
        <v>99</v>
      </c>
      <c r="H1495" s="9" t="s">
        <v>100</v>
      </c>
      <c r="I1495" s="9" t="s">
        <v>101</v>
      </c>
    </row>
    <row r="1496" spans="1:9" x14ac:dyDescent="0.25">
      <c r="A1496" s="9">
        <v>50</v>
      </c>
      <c r="B1496" s="9" t="s">
        <v>1942</v>
      </c>
      <c r="C1496" s="13">
        <v>1781901545476670</v>
      </c>
      <c r="D1496" s="9" t="s">
        <v>1894</v>
      </c>
      <c r="E1496" s="13">
        <v>677238</v>
      </c>
      <c r="F1496" s="9" t="s">
        <v>98</v>
      </c>
      <c r="G1496" s="9" t="s">
        <v>99</v>
      </c>
      <c r="H1496" s="9" t="s">
        <v>120</v>
      </c>
      <c r="I1496" s="9" t="s">
        <v>121</v>
      </c>
    </row>
    <row r="1497" spans="1:9" x14ac:dyDescent="0.25">
      <c r="A1497" s="9">
        <v>50</v>
      </c>
      <c r="B1497" s="9" t="s">
        <v>1943</v>
      </c>
      <c r="C1497" s="13">
        <v>1781901545476870</v>
      </c>
      <c r="D1497" s="9" t="s">
        <v>1894</v>
      </c>
      <c r="E1497" s="13">
        <v>677239</v>
      </c>
      <c r="F1497" s="9" t="s">
        <v>123</v>
      </c>
      <c r="G1497" s="9" t="s">
        <v>124</v>
      </c>
      <c r="H1497" s="9" t="s">
        <v>120</v>
      </c>
      <c r="I1497" s="9" t="s">
        <v>125</v>
      </c>
    </row>
    <row r="1498" spans="1:9" x14ac:dyDescent="0.25">
      <c r="A1498" s="9">
        <v>50</v>
      </c>
      <c r="B1498" s="9" t="s">
        <v>1944</v>
      </c>
      <c r="C1498" s="13">
        <v>1781901547730600</v>
      </c>
      <c r="D1498" s="9" t="s">
        <v>1894</v>
      </c>
      <c r="E1498" s="13">
        <v>679492</v>
      </c>
      <c r="F1498" s="9" t="s">
        <v>98</v>
      </c>
      <c r="G1498" s="9" t="s">
        <v>99</v>
      </c>
      <c r="H1498" s="9" t="s">
        <v>127</v>
      </c>
      <c r="I1498" s="9" t="s">
        <v>1945</v>
      </c>
    </row>
    <row r="1499" spans="1:9" x14ac:dyDescent="0.25">
      <c r="A1499" s="9">
        <v>50</v>
      </c>
      <c r="B1499" s="9" t="s">
        <v>1946</v>
      </c>
      <c r="C1499" s="13">
        <v>1781901547730810</v>
      </c>
      <c r="D1499" s="9" t="s">
        <v>1894</v>
      </c>
      <c r="E1499" s="13">
        <v>679492</v>
      </c>
      <c r="F1499" s="9" t="s">
        <v>123</v>
      </c>
      <c r="G1499" s="9" t="s">
        <v>124</v>
      </c>
      <c r="H1499" s="9" t="s">
        <v>127</v>
      </c>
      <c r="I1499" s="9" t="s">
        <v>1947</v>
      </c>
    </row>
    <row r="1500" spans="1:9" x14ac:dyDescent="0.25">
      <c r="A1500" s="9">
        <v>50</v>
      </c>
      <c r="B1500" s="9" t="s">
        <v>1948</v>
      </c>
      <c r="C1500" s="13">
        <v>1781901556413720</v>
      </c>
      <c r="D1500" s="9" t="s">
        <v>1894</v>
      </c>
      <c r="E1500" s="13">
        <v>688175</v>
      </c>
      <c r="F1500" s="9" t="s">
        <v>98</v>
      </c>
      <c r="G1500" s="9" t="s">
        <v>99</v>
      </c>
      <c r="H1500" s="9" t="s">
        <v>120</v>
      </c>
      <c r="I1500" s="9" t="s">
        <v>1885</v>
      </c>
    </row>
    <row r="1501" spans="1:9" x14ac:dyDescent="0.25">
      <c r="A1501" s="4">
        <v>51</v>
      </c>
      <c r="B1501" s="4" t="s">
        <v>1949</v>
      </c>
      <c r="C1501" s="18">
        <v>1781901605755560</v>
      </c>
      <c r="D1501" s="4" t="s">
        <v>1894</v>
      </c>
      <c r="E1501" s="18">
        <v>737517</v>
      </c>
      <c r="F1501" s="4" t="s">
        <v>98</v>
      </c>
      <c r="G1501" s="4" t="s">
        <v>99</v>
      </c>
      <c r="H1501" s="4" t="s">
        <v>100</v>
      </c>
      <c r="I1501" s="4" t="s">
        <v>101</v>
      </c>
    </row>
    <row r="1502" spans="1:9" x14ac:dyDescent="0.25">
      <c r="A1502" s="4">
        <v>51</v>
      </c>
      <c r="B1502" s="4" t="s">
        <v>1950</v>
      </c>
      <c r="C1502" s="18">
        <v>1781901606040550</v>
      </c>
      <c r="D1502" s="4" t="s">
        <v>1894</v>
      </c>
      <c r="E1502" s="18">
        <v>737802</v>
      </c>
      <c r="F1502" s="4" t="s">
        <v>103</v>
      </c>
      <c r="G1502" s="4" t="s">
        <v>89</v>
      </c>
      <c r="H1502" s="4" t="s">
        <v>104</v>
      </c>
      <c r="I1502" s="4"/>
    </row>
    <row r="1503" spans="1:9" x14ac:dyDescent="0.25">
      <c r="A1503" s="4">
        <v>51</v>
      </c>
      <c r="B1503" s="4" t="s">
        <v>1951</v>
      </c>
      <c r="C1503" s="18">
        <v>1781901606041120</v>
      </c>
      <c r="D1503" s="4" t="s">
        <v>1952</v>
      </c>
      <c r="E1503" s="4" t="s">
        <v>87</v>
      </c>
      <c r="F1503" s="4" t="s">
        <v>88</v>
      </c>
      <c r="G1503" s="4" t="s">
        <v>89</v>
      </c>
      <c r="H1503" s="4" t="s">
        <v>90</v>
      </c>
      <c r="I1503" s="4"/>
    </row>
    <row r="1504" spans="1:9" x14ac:dyDescent="0.25">
      <c r="A1504" s="4">
        <v>51</v>
      </c>
      <c r="B1504" s="4" t="s">
        <v>1953</v>
      </c>
      <c r="C1504" s="18">
        <v>1781901606041430</v>
      </c>
      <c r="D1504" s="4" t="s">
        <v>1952</v>
      </c>
      <c r="E1504" s="4" t="s">
        <v>87</v>
      </c>
      <c r="F1504" s="4" t="s">
        <v>93</v>
      </c>
      <c r="G1504" s="4" t="s">
        <v>94</v>
      </c>
      <c r="H1504" s="4" t="s">
        <v>95</v>
      </c>
      <c r="I1504" s="4" t="s">
        <v>95</v>
      </c>
    </row>
    <row r="1505" spans="1:9" x14ac:dyDescent="0.25">
      <c r="A1505" s="4">
        <v>51</v>
      </c>
      <c r="B1505" s="4" t="s">
        <v>1954</v>
      </c>
      <c r="C1505" s="18">
        <v>1781901616872830</v>
      </c>
      <c r="D1505" s="4" t="s">
        <v>1952</v>
      </c>
      <c r="E1505" s="18">
        <v>10832</v>
      </c>
      <c r="F1505" s="4" t="s">
        <v>98</v>
      </c>
      <c r="G1505" s="4" t="s">
        <v>99</v>
      </c>
      <c r="H1505" s="4" t="s">
        <v>120</v>
      </c>
      <c r="I1505" s="4" t="s">
        <v>121</v>
      </c>
    </row>
    <row r="1506" spans="1:9" x14ac:dyDescent="0.25">
      <c r="A1506" s="4">
        <v>51</v>
      </c>
      <c r="B1506" s="4" t="s">
        <v>1955</v>
      </c>
      <c r="C1506" s="18">
        <v>1781901616873010</v>
      </c>
      <c r="D1506" s="4" t="s">
        <v>1952</v>
      </c>
      <c r="E1506" s="18">
        <v>10832</v>
      </c>
      <c r="F1506" s="4" t="s">
        <v>123</v>
      </c>
      <c r="G1506" s="4" t="s">
        <v>124</v>
      </c>
      <c r="H1506" s="4" t="s">
        <v>120</v>
      </c>
      <c r="I1506" s="4" t="s">
        <v>125</v>
      </c>
    </row>
    <row r="1507" spans="1:9" x14ac:dyDescent="0.25">
      <c r="A1507" s="4">
        <v>51</v>
      </c>
      <c r="B1507" s="4" t="s">
        <v>1956</v>
      </c>
      <c r="C1507" s="18">
        <v>1781901625669650</v>
      </c>
      <c r="D1507" s="4" t="s">
        <v>1952</v>
      </c>
      <c r="E1507" s="18">
        <v>19629</v>
      </c>
      <c r="F1507" s="4" t="s">
        <v>98</v>
      </c>
      <c r="G1507" s="4" t="s">
        <v>99</v>
      </c>
      <c r="H1507" s="4" t="s">
        <v>127</v>
      </c>
      <c r="I1507" s="4" t="s">
        <v>1957</v>
      </c>
    </row>
    <row r="1508" spans="1:9" x14ac:dyDescent="0.25">
      <c r="A1508" s="4">
        <v>51</v>
      </c>
      <c r="B1508" s="4" t="s">
        <v>1958</v>
      </c>
      <c r="C1508" s="18">
        <v>1781901625670380</v>
      </c>
      <c r="D1508" s="4" t="s">
        <v>1952</v>
      </c>
      <c r="E1508" s="18">
        <v>19629</v>
      </c>
      <c r="F1508" s="4" t="s">
        <v>123</v>
      </c>
      <c r="G1508" s="4" t="s">
        <v>124</v>
      </c>
      <c r="H1508" s="4" t="s">
        <v>127</v>
      </c>
      <c r="I1508" s="4" t="s">
        <v>1959</v>
      </c>
    </row>
    <row r="1509" spans="1:9" x14ac:dyDescent="0.25">
      <c r="A1509" s="4">
        <v>51</v>
      </c>
      <c r="B1509" s="4" t="s">
        <v>1960</v>
      </c>
      <c r="C1509" s="18">
        <v>1781901627770340</v>
      </c>
      <c r="D1509" s="4" t="s">
        <v>1952</v>
      </c>
      <c r="E1509" s="18">
        <v>21729</v>
      </c>
      <c r="F1509" s="4" t="s">
        <v>132</v>
      </c>
      <c r="G1509" s="4" t="s">
        <v>133</v>
      </c>
      <c r="H1509" s="4" t="s">
        <v>1882</v>
      </c>
      <c r="I1509" s="4" t="s">
        <v>1883</v>
      </c>
    </row>
    <row r="1510" spans="1:9" x14ac:dyDescent="0.25">
      <c r="A1510" s="4">
        <v>51</v>
      </c>
      <c r="B1510" s="4" t="s">
        <v>1961</v>
      </c>
      <c r="C1510" s="18">
        <v>1781901629869040</v>
      </c>
      <c r="D1510" s="4" t="s">
        <v>1952</v>
      </c>
      <c r="E1510" s="18">
        <v>23828</v>
      </c>
      <c r="F1510" s="4" t="s">
        <v>98</v>
      </c>
      <c r="G1510" s="4" t="s">
        <v>99</v>
      </c>
      <c r="H1510" s="4" t="s">
        <v>120</v>
      </c>
      <c r="I1510" s="4" t="s">
        <v>1885</v>
      </c>
    </row>
    <row r="1511" spans="1:9" x14ac:dyDescent="0.25">
      <c r="B1511" t="s">
        <v>1962</v>
      </c>
      <c r="C1511" s="12">
        <v>1781901630265510</v>
      </c>
      <c r="D1511" t="s">
        <v>1952</v>
      </c>
      <c r="E1511" s="12">
        <v>24224</v>
      </c>
      <c r="F1511" t="s">
        <v>93</v>
      </c>
      <c r="G1511" t="s">
        <v>94</v>
      </c>
      <c r="H1511" t="s">
        <v>140</v>
      </c>
      <c r="I1511" t="s">
        <v>140</v>
      </c>
    </row>
    <row r="1512" spans="1:9" x14ac:dyDescent="0.25">
      <c r="B1512" t="s">
        <v>1963</v>
      </c>
      <c r="C1512" s="12">
        <v>1781901635999250</v>
      </c>
      <c r="D1512" t="s">
        <v>1952</v>
      </c>
      <c r="E1512" s="12">
        <v>29958</v>
      </c>
      <c r="F1512" t="s">
        <v>98</v>
      </c>
      <c r="G1512" t="s">
        <v>99</v>
      </c>
      <c r="H1512" t="s">
        <v>120</v>
      </c>
      <c r="I1512" t="s">
        <v>629</v>
      </c>
    </row>
    <row r="1513" spans="1:9" x14ac:dyDescent="0.25">
      <c r="B1513" t="s">
        <v>1964</v>
      </c>
      <c r="C1513" s="12">
        <v>1781901636406360</v>
      </c>
      <c r="D1513" t="s">
        <v>1952</v>
      </c>
      <c r="E1513" s="12">
        <v>30365</v>
      </c>
      <c r="F1513" t="s">
        <v>93</v>
      </c>
      <c r="G1513" t="s">
        <v>94</v>
      </c>
      <c r="H1513" t="s">
        <v>140</v>
      </c>
      <c r="I1513" t="s">
        <v>140</v>
      </c>
    </row>
    <row r="1514" spans="1:9" x14ac:dyDescent="0.25">
      <c r="A1514" s="9">
        <v>52</v>
      </c>
      <c r="B1514" s="9" t="s">
        <v>1965</v>
      </c>
      <c r="C1514" s="13">
        <v>1781901696470090</v>
      </c>
      <c r="D1514" s="9" t="s">
        <v>1952</v>
      </c>
      <c r="E1514" s="13">
        <v>90429</v>
      </c>
      <c r="F1514" s="9" t="s">
        <v>98</v>
      </c>
      <c r="G1514" s="9" t="s">
        <v>99</v>
      </c>
      <c r="H1514" s="9" t="s">
        <v>100</v>
      </c>
      <c r="I1514" s="9" t="s">
        <v>101</v>
      </c>
    </row>
    <row r="1515" spans="1:9" x14ac:dyDescent="0.25">
      <c r="A1515" s="9">
        <v>52</v>
      </c>
      <c r="B1515" s="9" t="s">
        <v>1966</v>
      </c>
      <c r="C1515" s="13">
        <v>1781901710124210</v>
      </c>
      <c r="D1515" s="9" t="s">
        <v>1952</v>
      </c>
      <c r="E1515" s="13">
        <v>104083</v>
      </c>
      <c r="F1515" s="9" t="s">
        <v>123</v>
      </c>
      <c r="G1515" s="9" t="s">
        <v>124</v>
      </c>
      <c r="H1515" s="9" t="s">
        <v>120</v>
      </c>
      <c r="I1515" s="9" t="s">
        <v>125</v>
      </c>
    </row>
    <row r="1516" spans="1:9" x14ac:dyDescent="0.25">
      <c r="A1516" s="9">
        <v>52</v>
      </c>
      <c r="B1516" s="9" t="s">
        <v>1967</v>
      </c>
      <c r="C1516" s="13">
        <v>1781901710124580</v>
      </c>
      <c r="D1516" s="9" t="s">
        <v>1952</v>
      </c>
      <c r="E1516" s="13">
        <v>104083</v>
      </c>
      <c r="F1516" s="9" t="s">
        <v>98</v>
      </c>
      <c r="G1516" s="9" t="s">
        <v>99</v>
      </c>
      <c r="H1516" s="9" t="s">
        <v>120</v>
      </c>
      <c r="I1516" s="9" t="s">
        <v>121</v>
      </c>
    </row>
    <row r="1517" spans="1:9" x14ac:dyDescent="0.25">
      <c r="A1517" s="9">
        <v>52</v>
      </c>
      <c r="B1517" s="9" t="s">
        <v>1968</v>
      </c>
      <c r="C1517" s="13">
        <v>1781901723770430</v>
      </c>
      <c r="D1517" s="9" t="s">
        <v>1952</v>
      </c>
      <c r="E1517" s="13">
        <v>117729</v>
      </c>
      <c r="F1517" s="9" t="s">
        <v>123</v>
      </c>
      <c r="G1517" s="9" t="s">
        <v>124</v>
      </c>
      <c r="H1517" s="9" t="s">
        <v>127</v>
      </c>
      <c r="I1517" s="9" t="s">
        <v>1969</v>
      </c>
    </row>
    <row r="1518" spans="1:9" x14ac:dyDescent="0.25">
      <c r="A1518" s="9">
        <v>52</v>
      </c>
      <c r="B1518" s="9" t="s">
        <v>1970</v>
      </c>
      <c r="C1518" s="13">
        <v>1781901723770800</v>
      </c>
      <c r="D1518" s="9" t="s">
        <v>1952</v>
      </c>
      <c r="E1518" s="13">
        <v>117730</v>
      </c>
      <c r="F1518" s="9" t="s">
        <v>98</v>
      </c>
      <c r="G1518" s="9" t="s">
        <v>99</v>
      </c>
      <c r="H1518" s="9" t="s">
        <v>127</v>
      </c>
      <c r="I1518" s="9" t="s">
        <v>1971</v>
      </c>
    </row>
    <row r="1519" spans="1:9" x14ac:dyDescent="0.25">
      <c r="A1519" s="9">
        <v>52</v>
      </c>
      <c r="B1519" s="9" t="s">
        <v>1972</v>
      </c>
      <c r="C1519" s="13">
        <v>1781901734854860</v>
      </c>
      <c r="D1519" s="9" t="s">
        <v>1952</v>
      </c>
      <c r="E1519" s="13">
        <v>128814</v>
      </c>
      <c r="F1519" s="9" t="s">
        <v>98</v>
      </c>
      <c r="G1519" s="9" t="s">
        <v>99</v>
      </c>
      <c r="H1519" s="9" t="s">
        <v>120</v>
      </c>
      <c r="I1519" s="9" t="s">
        <v>1885</v>
      </c>
    </row>
    <row r="1520" spans="1:9" x14ac:dyDescent="0.25">
      <c r="B1520" t="s">
        <v>1973</v>
      </c>
      <c r="C1520" s="12">
        <v>1781901735052240</v>
      </c>
      <c r="D1520" t="s">
        <v>1952</v>
      </c>
      <c r="E1520" s="12">
        <v>129011</v>
      </c>
      <c r="F1520" t="s">
        <v>93</v>
      </c>
      <c r="G1520" t="s">
        <v>94</v>
      </c>
      <c r="H1520" t="s">
        <v>140</v>
      </c>
      <c r="I1520" t="s">
        <v>140</v>
      </c>
    </row>
    <row r="1521" spans="1:9" x14ac:dyDescent="0.25">
      <c r="B1521" t="s">
        <v>1974</v>
      </c>
      <c r="C1521" s="12">
        <v>1781901785757900</v>
      </c>
      <c r="D1521" t="s">
        <v>1952</v>
      </c>
      <c r="E1521" s="12">
        <v>179717</v>
      </c>
      <c r="F1521" t="s">
        <v>166</v>
      </c>
      <c r="G1521" t="s">
        <v>167</v>
      </c>
      <c r="H1521" t="s">
        <v>711</v>
      </c>
    </row>
    <row r="1522" spans="1:9" x14ac:dyDescent="0.25">
      <c r="A1522" s="4">
        <v>53</v>
      </c>
      <c r="B1522" s="4" t="s">
        <v>1975</v>
      </c>
      <c r="C1522" s="18">
        <v>1781901795306350</v>
      </c>
      <c r="D1522" s="4" t="s">
        <v>1952</v>
      </c>
      <c r="E1522" s="18">
        <v>189265</v>
      </c>
      <c r="F1522" s="4" t="s">
        <v>98</v>
      </c>
      <c r="G1522" s="4" t="s">
        <v>99</v>
      </c>
      <c r="H1522" s="4" t="s">
        <v>100</v>
      </c>
      <c r="I1522" s="4" t="s">
        <v>101</v>
      </c>
    </row>
    <row r="1523" spans="1:9" x14ac:dyDescent="0.25">
      <c r="A1523" s="4">
        <v>53</v>
      </c>
      <c r="B1523" s="4" t="s">
        <v>1976</v>
      </c>
      <c r="C1523" s="18">
        <v>1781901816519060</v>
      </c>
      <c r="D1523" s="4" t="s">
        <v>1952</v>
      </c>
      <c r="E1523" s="18">
        <v>210478</v>
      </c>
      <c r="F1523" s="4" t="s">
        <v>123</v>
      </c>
      <c r="G1523" s="4" t="s">
        <v>124</v>
      </c>
      <c r="H1523" s="4" t="s">
        <v>120</v>
      </c>
      <c r="I1523" s="4" t="s">
        <v>125</v>
      </c>
    </row>
    <row r="1524" spans="1:9" x14ac:dyDescent="0.25">
      <c r="A1524" s="4">
        <v>53</v>
      </c>
      <c r="B1524" s="4" t="s">
        <v>1977</v>
      </c>
      <c r="C1524" s="18">
        <v>1781901816519820</v>
      </c>
      <c r="D1524" s="4" t="s">
        <v>1952</v>
      </c>
      <c r="E1524" s="18">
        <v>210479</v>
      </c>
      <c r="F1524" s="4" t="s">
        <v>98</v>
      </c>
      <c r="G1524" s="4" t="s">
        <v>99</v>
      </c>
      <c r="H1524" s="4" t="s">
        <v>120</v>
      </c>
      <c r="I1524" s="4" t="s">
        <v>121</v>
      </c>
    </row>
    <row r="1525" spans="1:9" x14ac:dyDescent="0.25">
      <c r="A1525" s="4">
        <v>53</v>
      </c>
      <c r="B1525" s="4" t="s">
        <v>1978</v>
      </c>
      <c r="C1525" s="18">
        <v>1781901829768330</v>
      </c>
      <c r="D1525" s="4" t="s">
        <v>1952</v>
      </c>
      <c r="E1525" s="18">
        <v>223727</v>
      </c>
      <c r="F1525" s="4" t="s">
        <v>123</v>
      </c>
      <c r="G1525" s="4" t="s">
        <v>124</v>
      </c>
      <c r="H1525" s="4" t="s">
        <v>127</v>
      </c>
      <c r="I1525" s="4" t="s">
        <v>1979</v>
      </c>
    </row>
    <row r="1526" spans="1:9" x14ac:dyDescent="0.25">
      <c r="A1526" s="4">
        <v>53</v>
      </c>
      <c r="B1526" s="4" t="s">
        <v>1980</v>
      </c>
      <c r="C1526" s="18">
        <v>1781901829780350</v>
      </c>
      <c r="D1526" s="4" t="s">
        <v>1952</v>
      </c>
      <c r="E1526" s="18">
        <v>223739</v>
      </c>
      <c r="F1526" s="4" t="s">
        <v>98</v>
      </c>
      <c r="G1526" s="4" t="s">
        <v>99</v>
      </c>
      <c r="H1526" s="4" t="s">
        <v>127</v>
      </c>
      <c r="I1526" s="4" t="s">
        <v>1981</v>
      </c>
    </row>
    <row r="1527" spans="1:9" x14ac:dyDescent="0.25">
      <c r="A1527" s="4">
        <v>53</v>
      </c>
      <c r="B1527" s="4" t="s">
        <v>1982</v>
      </c>
      <c r="C1527" s="18">
        <v>1781901836611700</v>
      </c>
      <c r="D1527" s="4" t="s">
        <v>1952</v>
      </c>
      <c r="E1527" s="18">
        <v>230571</v>
      </c>
      <c r="F1527" s="4" t="s">
        <v>98</v>
      </c>
      <c r="G1527" s="4" t="s">
        <v>99</v>
      </c>
      <c r="H1527" s="4" t="s">
        <v>120</v>
      </c>
      <c r="I1527" s="4" t="s">
        <v>1885</v>
      </c>
    </row>
    <row r="1528" spans="1:9" x14ac:dyDescent="0.25">
      <c r="B1528" t="s">
        <v>1983</v>
      </c>
      <c r="C1528" s="12">
        <v>1781901836826580</v>
      </c>
      <c r="D1528" t="s">
        <v>1952</v>
      </c>
      <c r="E1528" s="12">
        <v>230786</v>
      </c>
      <c r="F1528" t="s">
        <v>93</v>
      </c>
      <c r="G1528" t="s">
        <v>94</v>
      </c>
      <c r="H1528" t="s">
        <v>140</v>
      </c>
      <c r="I1528" t="s">
        <v>140</v>
      </c>
    </row>
    <row r="1529" spans="1:9" x14ac:dyDescent="0.25">
      <c r="B1529" t="s">
        <v>1984</v>
      </c>
      <c r="C1529" s="12">
        <v>1781901885142270</v>
      </c>
      <c r="D1529" t="s">
        <v>1952</v>
      </c>
      <c r="E1529" s="12">
        <v>279101</v>
      </c>
      <c r="F1529" t="s">
        <v>166</v>
      </c>
      <c r="G1529" t="s">
        <v>167</v>
      </c>
      <c r="H1529" t="s">
        <v>711</v>
      </c>
    </row>
    <row r="1530" spans="1:9" x14ac:dyDescent="0.25">
      <c r="A1530" s="9">
        <v>54</v>
      </c>
      <c r="B1530" s="9" t="s">
        <v>1985</v>
      </c>
      <c r="C1530" s="13">
        <v>1781901897190940</v>
      </c>
      <c r="D1530" s="9" t="s">
        <v>1952</v>
      </c>
      <c r="E1530" s="13">
        <v>291150</v>
      </c>
      <c r="F1530" s="9" t="s">
        <v>98</v>
      </c>
      <c r="G1530" s="9" t="s">
        <v>99</v>
      </c>
      <c r="H1530" s="9" t="s">
        <v>100</v>
      </c>
      <c r="I1530" s="9" t="s">
        <v>101</v>
      </c>
    </row>
    <row r="1531" spans="1:9" x14ac:dyDescent="0.25">
      <c r="A1531" s="9"/>
      <c r="B1531" s="9" t="s">
        <v>1986</v>
      </c>
      <c r="C1531" s="13">
        <v>1781901919291960</v>
      </c>
      <c r="D1531" s="9" t="s">
        <v>1952</v>
      </c>
      <c r="E1531" s="13">
        <v>313251</v>
      </c>
      <c r="F1531" s="9" t="s">
        <v>123</v>
      </c>
      <c r="G1531" s="9" t="s">
        <v>124</v>
      </c>
      <c r="H1531" s="9" t="s">
        <v>120</v>
      </c>
      <c r="I1531" s="9" t="s">
        <v>125</v>
      </c>
    </row>
    <row r="1532" spans="1:9" x14ac:dyDescent="0.25">
      <c r="A1532" s="9"/>
      <c r="B1532" s="9" t="s">
        <v>1987</v>
      </c>
      <c r="C1532" s="13">
        <v>1781901919293580</v>
      </c>
      <c r="D1532" s="9" t="s">
        <v>1952</v>
      </c>
      <c r="E1532" s="13">
        <v>313253</v>
      </c>
      <c r="F1532" s="9" t="s">
        <v>98</v>
      </c>
      <c r="G1532" s="9" t="s">
        <v>99</v>
      </c>
      <c r="H1532" s="9" t="s">
        <v>120</v>
      </c>
      <c r="I1532" s="9" t="s">
        <v>121</v>
      </c>
    </row>
    <row r="1533" spans="1:9" x14ac:dyDescent="0.25">
      <c r="A1533" s="9"/>
      <c r="B1533" s="9" t="s">
        <v>1988</v>
      </c>
      <c r="C1533" s="13">
        <v>1781901933101220</v>
      </c>
      <c r="D1533" s="9" t="s">
        <v>1952</v>
      </c>
      <c r="E1533" s="13">
        <v>327060</v>
      </c>
      <c r="F1533" s="9" t="s">
        <v>123</v>
      </c>
      <c r="G1533" s="9" t="s">
        <v>124</v>
      </c>
      <c r="H1533" s="9" t="s">
        <v>127</v>
      </c>
      <c r="I1533" s="9" t="s">
        <v>1989</v>
      </c>
    </row>
    <row r="1534" spans="1:9" x14ac:dyDescent="0.25">
      <c r="A1534" s="9"/>
      <c r="B1534" s="9" t="s">
        <v>1990</v>
      </c>
      <c r="C1534" s="13">
        <v>1781901933110300</v>
      </c>
      <c r="D1534" s="9" t="s">
        <v>1952</v>
      </c>
      <c r="E1534" s="13">
        <v>327069</v>
      </c>
      <c r="F1534" s="9" t="s">
        <v>98</v>
      </c>
      <c r="G1534" s="9" t="s">
        <v>99</v>
      </c>
      <c r="H1534" s="9" t="s">
        <v>127</v>
      </c>
      <c r="I1534" s="9" t="s">
        <v>1991</v>
      </c>
    </row>
    <row r="1535" spans="1:9" x14ac:dyDescent="0.25">
      <c r="A1535" s="9">
        <v>54</v>
      </c>
      <c r="B1535" s="9" t="s">
        <v>1992</v>
      </c>
      <c r="C1535" s="13">
        <v>1781901940549340</v>
      </c>
      <c r="D1535" s="9" t="s">
        <v>1952</v>
      </c>
      <c r="E1535" s="13">
        <v>334508</v>
      </c>
      <c r="F1535" s="9" t="s">
        <v>98</v>
      </c>
      <c r="G1535" s="9" t="s">
        <v>99</v>
      </c>
      <c r="H1535" s="9" t="s">
        <v>120</v>
      </c>
      <c r="I1535" s="9" t="s">
        <v>1885</v>
      </c>
    </row>
    <row r="1536" spans="1:9" x14ac:dyDescent="0.25">
      <c r="A1536" s="4">
        <v>55</v>
      </c>
      <c r="B1536" s="4" t="s">
        <v>1993</v>
      </c>
      <c r="C1536" s="18">
        <v>1781901993040480</v>
      </c>
      <c r="D1536" s="4" t="s">
        <v>1952</v>
      </c>
      <c r="E1536" s="18">
        <v>386999</v>
      </c>
      <c r="F1536" s="4" t="s">
        <v>98</v>
      </c>
      <c r="G1536" s="4" t="s">
        <v>99</v>
      </c>
      <c r="H1536" s="4" t="s">
        <v>100</v>
      </c>
      <c r="I1536" s="4" t="s">
        <v>101</v>
      </c>
    </row>
    <row r="1537" spans="1:9" x14ac:dyDescent="0.25">
      <c r="A1537" s="4">
        <v>55</v>
      </c>
      <c r="B1537" s="4" t="s">
        <v>1994</v>
      </c>
      <c r="C1537" s="18">
        <v>1781902013151370</v>
      </c>
      <c r="D1537" s="4" t="s">
        <v>1952</v>
      </c>
      <c r="E1537" s="18">
        <v>407110</v>
      </c>
      <c r="F1537" s="4" t="s">
        <v>98</v>
      </c>
      <c r="G1537" s="4" t="s">
        <v>99</v>
      </c>
      <c r="H1537" s="4" t="s">
        <v>120</v>
      </c>
      <c r="I1537" s="4" t="s">
        <v>121</v>
      </c>
    </row>
    <row r="1538" spans="1:9" x14ac:dyDescent="0.25">
      <c r="A1538" s="4">
        <v>55</v>
      </c>
      <c r="B1538" s="4" t="s">
        <v>1995</v>
      </c>
      <c r="C1538" s="18">
        <v>1781902013151690</v>
      </c>
      <c r="D1538" s="4" t="s">
        <v>1952</v>
      </c>
      <c r="E1538" s="18">
        <v>407111</v>
      </c>
      <c r="F1538" s="4" t="s">
        <v>123</v>
      </c>
      <c r="G1538" s="4" t="s">
        <v>124</v>
      </c>
      <c r="H1538" s="4" t="s">
        <v>120</v>
      </c>
      <c r="I1538" s="4" t="s">
        <v>125</v>
      </c>
    </row>
    <row r="1539" spans="1:9" x14ac:dyDescent="0.25">
      <c r="A1539" s="4">
        <v>55</v>
      </c>
      <c r="B1539" s="4" t="s">
        <v>1996</v>
      </c>
      <c r="C1539" s="18">
        <v>1781902037171490</v>
      </c>
      <c r="D1539" s="4" t="s">
        <v>1952</v>
      </c>
      <c r="E1539" s="18">
        <v>431130</v>
      </c>
      <c r="F1539" s="4" t="s">
        <v>123</v>
      </c>
      <c r="G1539" s="4" t="s">
        <v>124</v>
      </c>
      <c r="H1539" s="4" t="s">
        <v>127</v>
      </c>
      <c r="I1539" s="4" t="s">
        <v>1997</v>
      </c>
    </row>
    <row r="1540" spans="1:9" x14ac:dyDescent="0.25">
      <c r="A1540" s="4">
        <v>55</v>
      </c>
      <c r="B1540" s="4" t="s">
        <v>1998</v>
      </c>
      <c r="C1540" s="18">
        <v>1781902037208600</v>
      </c>
      <c r="D1540" s="4" t="s">
        <v>1952</v>
      </c>
      <c r="E1540" s="18">
        <v>431168</v>
      </c>
      <c r="F1540" s="4" t="s">
        <v>98</v>
      </c>
      <c r="G1540" s="4" t="s">
        <v>99</v>
      </c>
      <c r="H1540" s="4" t="s">
        <v>127</v>
      </c>
      <c r="I1540" s="4" t="s">
        <v>1999</v>
      </c>
    </row>
    <row r="1541" spans="1:9" x14ac:dyDescent="0.25">
      <c r="A1541" s="4">
        <v>55</v>
      </c>
      <c r="B1541" s="4" t="s">
        <v>2000</v>
      </c>
      <c r="C1541" s="18">
        <v>1781902040111350</v>
      </c>
      <c r="D1541" s="4" t="s">
        <v>1952</v>
      </c>
      <c r="E1541" s="18">
        <v>434070</v>
      </c>
      <c r="F1541" s="4" t="s">
        <v>98</v>
      </c>
      <c r="G1541" s="4" t="s">
        <v>99</v>
      </c>
      <c r="H1541" s="4" t="s">
        <v>120</v>
      </c>
      <c r="I1541" s="4" t="s">
        <v>1885</v>
      </c>
    </row>
    <row r="1542" spans="1:9" x14ac:dyDescent="0.25">
      <c r="A1542" s="9">
        <v>56</v>
      </c>
      <c r="B1542" s="9" t="s">
        <v>2001</v>
      </c>
      <c r="C1542" s="13">
        <v>1781902130016770</v>
      </c>
      <c r="D1542" s="9" t="s">
        <v>1952</v>
      </c>
      <c r="E1542" s="13">
        <v>523976</v>
      </c>
      <c r="F1542" s="9" t="s">
        <v>98</v>
      </c>
      <c r="G1542" s="9" t="s">
        <v>99</v>
      </c>
      <c r="H1542" s="9" t="s">
        <v>100</v>
      </c>
      <c r="I1542" s="9" t="s">
        <v>101</v>
      </c>
    </row>
    <row r="1543" spans="1:9" x14ac:dyDescent="0.25">
      <c r="A1543" s="9"/>
      <c r="B1543" s="9" t="s">
        <v>2002</v>
      </c>
      <c r="C1543" s="13">
        <v>1781902146065350</v>
      </c>
      <c r="D1543" s="9" t="s">
        <v>1952</v>
      </c>
      <c r="E1543" s="13">
        <v>540024</v>
      </c>
      <c r="F1543" s="9" t="s">
        <v>98</v>
      </c>
      <c r="G1543" s="9" t="s">
        <v>99</v>
      </c>
      <c r="H1543" s="9" t="s">
        <v>120</v>
      </c>
      <c r="I1543" s="9" t="s">
        <v>121</v>
      </c>
    </row>
    <row r="1544" spans="1:9" x14ac:dyDescent="0.25">
      <c r="A1544" s="9"/>
      <c r="B1544" s="9" t="s">
        <v>2003</v>
      </c>
      <c r="C1544" s="13">
        <v>1781902146068500</v>
      </c>
      <c r="D1544" s="9" t="s">
        <v>1952</v>
      </c>
      <c r="E1544" s="13">
        <v>540027</v>
      </c>
      <c r="F1544" s="9" t="s">
        <v>123</v>
      </c>
      <c r="G1544" s="9" t="s">
        <v>124</v>
      </c>
      <c r="H1544" s="9" t="s">
        <v>120</v>
      </c>
      <c r="I1544" s="9" t="s">
        <v>125</v>
      </c>
    </row>
    <row r="1545" spans="1:9" x14ac:dyDescent="0.25">
      <c r="A1545" s="9"/>
      <c r="B1545" s="9" t="s">
        <v>2004</v>
      </c>
      <c r="C1545" s="13">
        <v>1781902181088370</v>
      </c>
      <c r="D1545" s="9" t="s">
        <v>1952</v>
      </c>
      <c r="E1545" s="13">
        <v>575047</v>
      </c>
      <c r="F1545" s="9" t="s">
        <v>98</v>
      </c>
      <c r="G1545" s="9" t="s">
        <v>99</v>
      </c>
      <c r="H1545" s="9" t="s">
        <v>120</v>
      </c>
      <c r="I1545" s="9" t="s">
        <v>629</v>
      </c>
    </row>
    <row r="1546" spans="1:9" x14ac:dyDescent="0.25">
      <c r="A1546" s="9"/>
      <c r="B1546" s="9" t="s">
        <v>2005</v>
      </c>
      <c r="C1546" s="13">
        <v>1781902191079630</v>
      </c>
      <c r="D1546" s="9" t="s">
        <v>1952</v>
      </c>
      <c r="E1546" s="13">
        <v>585039</v>
      </c>
      <c r="F1546" s="9" t="s">
        <v>123</v>
      </c>
      <c r="G1546" s="9" t="s">
        <v>124</v>
      </c>
      <c r="H1546" s="9" t="s">
        <v>120</v>
      </c>
      <c r="I1546" s="9" t="s">
        <v>631</v>
      </c>
    </row>
    <row r="1547" spans="1:9" x14ac:dyDescent="0.25">
      <c r="A1547" s="9"/>
      <c r="B1547" s="9" t="s">
        <v>2006</v>
      </c>
      <c r="C1547" s="13">
        <v>1781902191080680</v>
      </c>
      <c r="D1547" s="9" t="s">
        <v>1952</v>
      </c>
      <c r="E1547" s="13">
        <v>585040</v>
      </c>
      <c r="F1547" s="9" t="s">
        <v>98</v>
      </c>
      <c r="G1547" s="9" t="s">
        <v>99</v>
      </c>
      <c r="H1547" s="9" t="s">
        <v>120</v>
      </c>
      <c r="I1547" s="9" t="s">
        <v>633</v>
      </c>
    </row>
    <row r="1548" spans="1:9" x14ac:dyDescent="0.25">
      <c r="A1548" s="9">
        <v>56</v>
      </c>
      <c r="B1548" s="9" t="s">
        <v>2007</v>
      </c>
      <c r="C1548" s="13">
        <v>1781902195942930</v>
      </c>
      <c r="D1548" s="9" t="s">
        <v>1952</v>
      </c>
      <c r="E1548" s="13">
        <v>589902</v>
      </c>
      <c r="F1548" s="9" t="s">
        <v>98</v>
      </c>
      <c r="G1548" s="9" t="s">
        <v>99</v>
      </c>
      <c r="H1548" s="9" t="s">
        <v>120</v>
      </c>
      <c r="I1548" s="9" t="s">
        <v>2008</v>
      </c>
    </row>
    <row r="1549" spans="1:9" x14ac:dyDescent="0.25">
      <c r="B1549" t="s">
        <v>2009</v>
      </c>
      <c r="C1549" s="12">
        <v>1781902249335530</v>
      </c>
      <c r="D1549" t="s">
        <v>1952</v>
      </c>
      <c r="E1549" s="12">
        <v>643294</v>
      </c>
      <c r="F1549" t="s">
        <v>98</v>
      </c>
      <c r="G1549" t="s">
        <v>99</v>
      </c>
      <c r="H1549" t="s">
        <v>120</v>
      </c>
      <c r="I1549" t="s">
        <v>121</v>
      </c>
    </row>
    <row r="1550" spans="1:9" x14ac:dyDescent="0.25">
      <c r="B1550" t="s">
        <v>2010</v>
      </c>
      <c r="C1550" s="12">
        <v>1781902249335730</v>
      </c>
      <c r="D1550" t="s">
        <v>1952</v>
      </c>
      <c r="E1550" s="12">
        <v>643295</v>
      </c>
      <c r="F1550" t="s">
        <v>123</v>
      </c>
      <c r="G1550" t="s">
        <v>124</v>
      </c>
      <c r="H1550" t="s">
        <v>120</v>
      </c>
      <c r="I1550" t="s">
        <v>125</v>
      </c>
    </row>
    <row r="1551" spans="1:9" x14ac:dyDescent="0.25">
      <c r="B1551" t="s">
        <v>2011</v>
      </c>
      <c r="C1551" s="12">
        <v>1781902294280050</v>
      </c>
      <c r="D1551" t="s">
        <v>1952</v>
      </c>
      <c r="E1551" s="12">
        <v>688239</v>
      </c>
      <c r="F1551" t="s">
        <v>98</v>
      </c>
      <c r="G1551" t="s">
        <v>99</v>
      </c>
      <c r="H1551" t="s">
        <v>120</v>
      </c>
      <c r="I1551" t="s">
        <v>633</v>
      </c>
    </row>
    <row r="1552" spans="1:9" x14ac:dyDescent="0.25">
      <c r="B1552" t="s">
        <v>2012</v>
      </c>
      <c r="C1552" s="12">
        <v>1781902294280270</v>
      </c>
      <c r="D1552" t="s">
        <v>1952</v>
      </c>
      <c r="E1552" s="12">
        <v>688239</v>
      </c>
      <c r="F1552" t="s">
        <v>123</v>
      </c>
      <c r="G1552" t="s">
        <v>124</v>
      </c>
      <c r="H1552" t="s">
        <v>120</v>
      </c>
      <c r="I1552" t="s">
        <v>631</v>
      </c>
    </row>
    <row r="1553" spans="1:9" x14ac:dyDescent="0.25">
      <c r="B1553" t="s">
        <v>2013</v>
      </c>
      <c r="C1553" s="12">
        <v>1781902298249220</v>
      </c>
      <c r="D1553" t="s">
        <v>1952</v>
      </c>
      <c r="E1553" s="12">
        <v>692208</v>
      </c>
      <c r="F1553" t="s">
        <v>98</v>
      </c>
      <c r="G1553" t="s">
        <v>99</v>
      </c>
      <c r="H1553" t="s">
        <v>120</v>
      </c>
      <c r="I1553" t="s">
        <v>605</v>
      </c>
    </row>
    <row r="1554" spans="1:9" x14ac:dyDescent="0.25">
      <c r="B1554" t="s">
        <v>2014</v>
      </c>
      <c r="C1554" s="12">
        <v>1781902298249630</v>
      </c>
      <c r="D1554" t="s">
        <v>1952</v>
      </c>
      <c r="E1554" s="12">
        <v>692209</v>
      </c>
      <c r="F1554" t="s">
        <v>123</v>
      </c>
      <c r="G1554" t="s">
        <v>124</v>
      </c>
      <c r="H1554" t="s">
        <v>120</v>
      </c>
      <c r="I1554" t="s">
        <v>607</v>
      </c>
    </row>
    <row r="1555" spans="1:9" x14ac:dyDescent="0.25">
      <c r="B1555" t="s">
        <v>2015</v>
      </c>
      <c r="C1555" s="12">
        <v>1781902314099830</v>
      </c>
      <c r="D1555" t="s">
        <v>1952</v>
      </c>
      <c r="E1555" s="12">
        <v>708059</v>
      </c>
      <c r="F1555" t="s">
        <v>93</v>
      </c>
      <c r="G1555" t="s">
        <v>94</v>
      </c>
      <c r="H1555" t="s">
        <v>195</v>
      </c>
      <c r="I1555" t="s">
        <v>195</v>
      </c>
    </row>
    <row r="1556" spans="1:9" x14ac:dyDescent="0.25">
      <c r="B1556" t="s">
        <v>2016</v>
      </c>
      <c r="C1556" s="12">
        <v>1781902340627920</v>
      </c>
      <c r="D1556" t="s">
        <v>1952</v>
      </c>
      <c r="E1556" s="12">
        <v>734587</v>
      </c>
      <c r="F1556" t="s">
        <v>166</v>
      </c>
      <c r="G1556" t="s">
        <v>167</v>
      </c>
      <c r="H1556" t="s">
        <v>711</v>
      </c>
    </row>
    <row r="1557" spans="1:9" x14ac:dyDescent="0.25">
      <c r="B1557" t="s">
        <v>2017</v>
      </c>
      <c r="C1557" s="12">
        <v>1781902349648680</v>
      </c>
      <c r="D1557" t="s">
        <v>1952</v>
      </c>
      <c r="E1557" s="12">
        <v>743608</v>
      </c>
      <c r="F1557" t="s">
        <v>98</v>
      </c>
      <c r="G1557" t="s">
        <v>99</v>
      </c>
      <c r="H1557" t="s">
        <v>100</v>
      </c>
      <c r="I1557" t="s">
        <v>101</v>
      </c>
    </row>
    <row r="1558" spans="1:9" x14ac:dyDescent="0.25">
      <c r="B1558" t="s">
        <v>2018</v>
      </c>
      <c r="C1558" s="12">
        <v>1781902350145450</v>
      </c>
      <c r="D1558" t="s">
        <v>1952</v>
      </c>
      <c r="E1558" s="12">
        <v>744104</v>
      </c>
      <c r="F1558" t="s">
        <v>103</v>
      </c>
      <c r="G1558" t="s">
        <v>89</v>
      </c>
      <c r="H1558" t="s">
        <v>104</v>
      </c>
    </row>
    <row r="1559" spans="1:9" x14ac:dyDescent="0.25">
      <c r="B1559" t="s">
        <v>2019</v>
      </c>
      <c r="C1559" s="12">
        <v>1781902350146250</v>
      </c>
      <c r="D1559" t="s">
        <v>2020</v>
      </c>
      <c r="E1559" t="s">
        <v>87</v>
      </c>
      <c r="F1559" t="s">
        <v>88</v>
      </c>
      <c r="G1559" t="s">
        <v>89</v>
      </c>
      <c r="H1559" t="s">
        <v>90</v>
      </c>
    </row>
    <row r="1560" spans="1:9" x14ac:dyDescent="0.25">
      <c r="A1560" s="4">
        <v>57</v>
      </c>
      <c r="B1560" s="4" t="s">
        <v>2021</v>
      </c>
      <c r="C1560" s="18">
        <v>1781902350146750</v>
      </c>
      <c r="D1560" s="4" t="s">
        <v>2020</v>
      </c>
      <c r="E1560" s="4" t="s">
        <v>108</v>
      </c>
      <c r="F1560" s="4" t="s">
        <v>93</v>
      </c>
      <c r="G1560" s="4" t="s">
        <v>94</v>
      </c>
      <c r="H1560" s="4" t="s">
        <v>95</v>
      </c>
      <c r="I1560" s="4" t="s">
        <v>95</v>
      </c>
    </row>
    <row r="1561" spans="1:9" x14ac:dyDescent="0.25">
      <c r="A1561" s="4">
        <v>57</v>
      </c>
      <c r="B1561" s="4" t="s">
        <v>2022</v>
      </c>
      <c r="C1561" s="18">
        <v>1781902366384030</v>
      </c>
      <c r="D1561" s="4" t="s">
        <v>2020</v>
      </c>
      <c r="E1561" s="18">
        <v>16238</v>
      </c>
      <c r="F1561" s="4" t="s">
        <v>98</v>
      </c>
      <c r="G1561" s="4" t="s">
        <v>99</v>
      </c>
      <c r="H1561" s="4" t="s">
        <v>100</v>
      </c>
      <c r="I1561" s="4" t="s">
        <v>101</v>
      </c>
    </row>
    <row r="1562" spans="1:9" x14ac:dyDescent="0.25">
      <c r="A1562" s="4">
        <v>57</v>
      </c>
      <c r="B1562" s="4" t="s">
        <v>2023</v>
      </c>
      <c r="C1562" s="18">
        <v>1781902375335510</v>
      </c>
      <c r="D1562" s="4" t="s">
        <v>2020</v>
      </c>
      <c r="E1562" s="18">
        <v>25189</v>
      </c>
      <c r="F1562" s="4" t="s">
        <v>98</v>
      </c>
      <c r="G1562" s="4" t="s">
        <v>99</v>
      </c>
      <c r="H1562" s="4" t="s">
        <v>120</v>
      </c>
      <c r="I1562" s="4" t="s">
        <v>121</v>
      </c>
    </row>
    <row r="1563" spans="1:9" x14ac:dyDescent="0.25">
      <c r="A1563" s="4">
        <v>57</v>
      </c>
      <c r="B1563" s="4" t="s">
        <v>2024</v>
      </c>
      <c r="C1563" s="18">
        <v>1781902375412740</v>
      </c>
      <c r="D1563" s="4" t="s">
        <v>2020</v>
      </c>
      <c r="E1563" s="18">
        <v>25267</v>
      </c>
      <c r="F1563" s="4" t="s">
        <v>123</v>
      </c>
      <c r="G1563" s="4" t="s">
        <v>124</v>
      </c>
      <c r="H1563" s="4" t="s">
        <v>120</v>
      </c>
      <c r="I1563" s="4" t="s">
        <v>125</v>
      </c>
    </row>
    <row r="1564" spans="1:9" x14ac:dyDescent="0.25">
      <c r="A1564" s="4">
        <v>57</v>
      </c>
      <c r="B1564" s="4" t="s">
        <v>2025</v>
      </c>
      <c r="C1564" s="18">
        <v>1781902402798620</v>
      </c>
      <c r="D1564" s="4" t="s">
        <v>2020</v>
      </c>
      <c r="E1564" s="18">
        <v>52652</v>
      </c>
      <c r="F1564" s="4" t="s">
        <v>98</v>
      </c>
      <c r="G1564" s="4" t="s">
        <v>99</v>
      </c>
      <c r="H1564" s="4" t="s">
        <v>127</v>
      </c>
      <c r="I1564" s="4" t="s">
        <v>2026</v>
      </c>
    </row>
    <row r="1565" spans="1:9" x14ac:dyDescent="0.25">
      <c r="A1565" s="4">
        <v>57</v>
      </c>
      <c r="B1565" s="4" t="s">
        <v>2027</v>
      </c>
      <c r="C1565" s="18">
        <v>1781902402798850</v>
      </c>
      <c r="D1565" s="4" t="s">
        <v>2020</v>
      </c>
      <c r="E1565" s="18">
        <v>52653</v>
      </c>
      <c r="F1565" s="4" t="s">
        <v>123</v>
      </c>
      <c r="G1565" s="4" t="s">
        <v>124</v>
      </c>
      <c r="H1565" s="4" t="s">
        <v>127</v>
      </c>
      <c r="I1565" s="4" t="s">
        <v>2028</v>
      </c>
    </row>
    <row r="1566" spans="1:9" x14ac:dyDescent="0.25">
      <c r="A1566" s="4">
        <v>57</v>
      </c>
      <c r="B1566" s="4" t="s">
        <v>2029</v>
      </c>
      <c r="C1566" s="18">
        <v>1781902404552910</v>
      </c>
      <c r="D1566" s="4" t="s">
        <v>2020</v>
      </c>
      <c r="E1566" s="18">
        <v>54407</v>
      </c>
      <c r="F1566" s="4" t="s">
        <v>132</v>
      </c>
      <c r="G1566" s="4" t="s">
        <v>133</v>
      </c>
      <c r="H1566" s="4" t="s">
        <v>1882</v>
      </c>
      <c r="I1566" s="4" t="s">
        <v>1883</v>
      </c>
    </row>
    <row r="1567" spans="1:9" x14ac:dyDescent="0.25">
      <c r="A1567" s="4">
        <v>57</v>
      </c>
      <c r="B1567" s="4" t="s">
        <v>2030</v>
      </c>
      <c r="C1567" s="18">
        <v>1781902416007280</v>
      </c>
      <c r="D1567" s="4" t="s">
        <v>2020</v>
      </c>
      <c r="E1567" s="18">
        <v>65861</v>
      </c>
      <c r="F1567" s="4" t="s">
        <v>98</v>
      </c>
      <c r="G1567" s="4" t="s">
        <v>99</v>
      </c>
      <c r="H1567" s="4" t="s">
        <v>120</v>
      </c>
      <c r="I1567" s="4" t="s">
        <v>1885</v>
      </c>
    </row>
    <row r="1568" spans="1:9" x14ac:dyDescent="0.25">
      <c r="B1568" t="s">
        <v>2031</v>
      </c>
      <c r="C1568" s="12">
        <v>1781902416398410</v>
      </c>
      <c r="D1568" t="s">
        <v>2020</v>
      </c>
      <c r="E1568" s="12">
        <v>66252</v>
      </c>
      <c r="F1568" t="s">
        <v>93</v>
      </c>
      <c r="G1568" t="s">
        <v>94</v>
      </c>
      <c r="H1568" t="s">
        <v>140</v>
      </c>
      <c r="I1568" t="s">
        <v>140</v>
      </c>
    </row>
    <row r="1569" spans="1:9" x14ac:dyDescent="0.25">
      <c r="B1569" t="s">
        <v>2032</v>
      </c>
      <c r="C1569" s="12">
        <v>1781902445788700</v>
      </c>
      <c r="D1569" t="s">
        <v>2020</v>
      </c>
      <c r="E1569" s="12">
        <v>95643</v>
      </c>
      <c r="F1569" t="s">
        <v>166</v>
      </c>
      <c r="G1569" t="s">
        <v>167</v>
      </c>
      <c r="H1569" t="s">
        <v>711</v>
      </c>
    </row>
    <row r="1570" spans="1:9" x14ac:dyDescent="0.25">
      <c r="A1570" s="9">
        <v>58</v>
      </c>
      <c r="B1570" s="9" t="s">
        <v>2033</v>
      </c>
      <c r="C1570" s="13">
        <v>1781902469103410</v>
      </c>
      <c r="D1570" s="9" t="s">
        <v>2020</v>
      </c>
      <c r="E1570" s="13">
        <v>118957</v>
      </c>
      <c r="F1570" s="9" t="s">
        <v>98</v>
      </c>
      <c r="G1570" s="9" t="s">
        <v>99</v>
      </c>
      <c r="H1570" s="9" t="s">
        <v>100</v>
      </c>
      <c r="I1570" s="9" t="s">
        <v>101</v>
      </c>
    </row>
    <row r="1571" spans="1:9" x14ac:dyDescent="0.25">
      <c r="A1571" s="9">
        <v>58</v>
      </c>
      <c r="B1571" s="9" t="s">
        <v>2034</v>
      </c>
      <c r="C1571" s="13">
        <v>1781902485584850</v>
      </c>
      <c r="D1571" s="9" t="s">
        <v>2020</v>
      </c>
      <c r="E1571" s="13">
        <v>135439</v>
      </c>
      <c r="F1571" s="9" t="s">
        <v>98</v>
      </c>
      <c r="G1571" s="9" t="s">
        <v>99</v>
      </c>
      <c r="H1571" s="9" t="s">
        <v>120</v>
      </c>
      <c r="I1571" s="9" t="s">
        <v>121</v>
      </c>
    </row>
    <row r="1572" spans="1:9" x14ac:dyDescent="0.25">
      <c r="A1572" s="9">
        <v>58</v>
      </c>
      <c r="B1572" s="9" t="s">
        <v>2035</v>
      </c>
      <c r="C1572" s="13">
        <v>1781902485589980</v>
      </c>
      <c r="D1572" s="9" t="s">
        <v>2020</v>
      </c>
      <c r="E1572" s="13">
        <v>135444</v>
      </c>
      <c r="F1572" s="9" t="s">
        <v>123</v>
      </c>
      <c r="G1572" s="9" t="s">
        <v>124</v>
      </c>
      <c r="H1572" s="9" t="s">
        <v>120</v>
      </c>
      <c r="I1572" s="9" t="s">
        <v>125</v>
      </c>
    </row>
    <row r="1573" spans="1:9" x14ac:dyDescent="0.25">
      <c r="A1573" s="9">
        <v>58</v>
      </c>
      <c r="B1573" s="9" t="s">
        <v>2036</v>
      </c>
      <c r="C1573" s="13">
        <v>1781902495285670</v>
      </c>
      <c r="D1573" s="9" t="s">
        <v>2020</v>
      </c>
      <c r="E1573" s="13">
        <v>145139</v>
      </c>
      <c r="F1573" s="9" t="s">
        <v>98</v>
      </c>
      <c r="G1573" s="9" t="s">
        <v>99</v>
      </c>
      <c r="H1573" s="9" t="s">
        <v>127</v>
      </c>
      <c r="I1573" s="9" t="s">
        <v>2037</v>
      </c>
    </row>
    <row r="1574" spans="1:9" x14ac:dyDescent="0.25">
      <c r="A1574" s="9">
        <v>58</v>
      </c>
      <c r="B1574" s="9" t="s">
        <v>2038</v>
      </c>
      <c r="C1574" s="13">
        <v>1781902495286690</v>
      </c>
      <c r="D1574" s="9" t="s">
        <v>2020</v>
      </c>
      <c r="E1574" s="13">
        <v>145140</v>
      </c>
      <c r="F1574" s="9" t="s">
        <v>123</v>
      </c>
      <c r="G1574" s="9" t="s">
        <v>124</v>
      </c>
      <c r="H1574" s="9" t="s">
        <v>127</v>
      </c>
      <c r="I1574" s="9" t="s">
        <v>2039</v>
      </c>
    </row>
    <row r="1575" spans="1:9" x14ac:dyDescent="0.25">
      <c r="A1575" s="9">
        <v>58</v>
      </c>
      <c r="B1575" s="9" t="s">
        <v>2040</v>
      </c>
      <c r="C1575" s="13">
        <v>1781902514531270</v>
      </c>
      <c r="D1575" s="9" t="s">
        <v>2020</v>
      </c>
      <c r="E1575" s="13">
        <v>164385</v>
      </c>
      <c r="F1575" s="9" t="s">
        <v>98</v>
      </c>
      <c r="G1575" s="9" t="s">
        <v>99</v>
      </c>
      <c r="H1575" s="9" t="s">
        <v>120</v>
      </c>
      <c r="I1575" s="9" t="s">
        <v>1885</v>
      </c>
    </row>
    <row r="1576" spans="1:9" x14ac:dyDescent="0.25">
      <c r="B1576" t="s">
        <v>2041</v>
      </c>
      <c r="C1576" s="12">
        <v>1781902514919580</v>
      </c>
      <c r="D1576" t="s">
        <v>2020</v>
      </c>
      <c r="E1576" s="12">
        <v>164773</v>
      </c>
      <c r="F1576" t="s">
        <v>93</v>
      </c>
      <c r="G1576" t="s">
        <v>94</v>
      </c>
      <c r="H1576" t="s">
        <v>140</v>
      </c>
      <c r="I1576" t="s">
        <v>140</v>
      </c>
    </row>
    <row r="1577" spans="1:9" x14ac:dyDescent="0.25">
      <c r="B1577" t="s">
        <v>2042</v>
      </c>
      <c r="C1577" s="12">
        <v>1781902527301840</v>
      </c>
      <c r="D1577" t="s">
        <v>2020</v>
      </c>
      <c r="E1577" s="12">
        <v>177156</v>
      </c>
      <c r="F1577" t="s">
        <v>93</v>
      </c>
      <c r="G1577" t="s">
        <v>94</v>
      </c>
      <c r="H1577" t="s">
        <v>195</v>
      </c>
      <c r="I1577" t="s">
        <v>195</v>
      </c>
    </row>
    <row r="1578" spans="1:9" x14ac:dyDescent="0.25">
      <c r="A1578" s="4">
        <v>59</v>
      </c>
      <c r="B1578" s="4" t="s">
        <v>2043</v>
      </c>
      <c r="C1578" s="18">
        <v>1781902544737490</v>
      </c>
      <c r="D1578" s="4" t="s">
        <v>2020</v>
      </c>
      <c r="E1578" s="18">
        <v>194591</v>
      </c>
      <c r="F1578" s="4" t="s">
        <v>98</v>
      </c>
      <c r="G1578" s="4" t="s">
        <v>99</v>
      </c>
      <c r="H1578" s="4" t="s">
        <v>100</v>
      </c>
      <c r="I1578" s="4" t="s">
        <v>101</v>
      </c>
    </row>
    <row r="1579" spans="1:9" x14ac:dyDescent="0.25">
      <c r="A1579" s="4">
        <v>59</v>
      </c>
      <c r="B1579" s="4" t="s">
        <v>2044</v>
      </c>
      <c r="C1579" s="18">
        <v>1781902545034230</v>
      </c>
      <c r="D1579" s="4" t="s">
        <v>2020</v>
      </c>
      <c r="E1579" s="18">
        <v>194888</v>
      </c>
      <c r="F1579" s="4" t="s">
        <v>103</v>
      </c>
      <c r="G1579" s="4" t="s">
        <v>89</v>
      </c>
      <c r="H1579" s="4" t="s">
        <v>104</v>
      </c>
      <c r="I1579" s="4"/>
    </row>
    <row r="1580" spans="1:9" x14ac:dyDescent="0.25">
      <c r="A1580" s="4">
        <v>59</v>
      </c>
      <c r="B1580" s="4" t="s">
        <v>2045</v>
      </c>
      <c r="C1580" s="18">
        <v>1781902545034750</v>
      </c>
      <c r="D1580" s="4" t="s">
        <v>2046</v>
      </c>
      <c r="E1580" s="4" t="s">
        <v>87</v>
      </c>
      <c r="F1580" s="4" t="s">
        <v>88</v>
      </c>
      <c r="G1580" s="4" t="s">
        <v>89</v>
      </c>
      <c r="H1580" s="4" t="s">
        <v>90</v>
      </c>
      <c r="I1580" s="4"/>
    </row>
    <row r="1581" spans="1:9" x14ac:dyDescent="0.25">
      <c r="A1581" s="4">
        <v>59</v>
      </c>
      <c r="B1581" s="4" t="s">
        <v>2047</v>
      </c>
      <c r="C1581" s="18">
        <v>1781902545035120</v>
      </c>
      <c r="D1581" s="4" t="s">
        <v>2046</v>
      </c>
      <c r="E1581" s="4" t="s">
        <v>87</v>
      </c>
      <c r="F1581" s="4" t="s">
        <v>93</v>
      </c>
      <c r="G1581" s="4" t="s">
        <v>94</v>
      </c>
      <c r="H1581" s="4" t="s">
        <v>95</v>
      </c>
      <c r="I1581" s="4" t="s">
        <v>95</v>
      </c>
    </row>
    <row r="1582" spans="1:9" x14ac:dyDescent="0.25">
      <c r="A1582" s="4">
        <v>59</v>
      </c>
      <c r="B1582" s="4" t="s">
        <v>2048</v>
      </c>
      <c r="C1582" s="18">
        <v>1781902561351440</v>
      </c>
      <c r="D1582" s="4" t="s">
        <v>2046</v>
      </c>
      <c r="E1582" s="18">
        <v>16317</v>
      </c>
      <c r="F1582" s="4" t="s">
        <v>123</v>
      </c>
      <c r="G1582" s="4" t="s">
        <v>124</v>
      </c>
      <c r="H1582" s="4" t="s">
        <v>120</v>
      </c>
      <c r="I1582" s="4" t="s">
        <v>125</v>
      </c>
    </row>
    <row r="1583" spans="1:9" x14ac:dyDescent="0.25">
      <c r="A1583" s="4">
        <v>59</v>
      </c>
      <c r="B1583" s="4" t="s">
        <v>2049</v>
      </c>
      <c r="C1583" s="18">
        <v>1781902561351810</v>
      </c>
      <c r="D1583" s="4" t="s">
        <v>2046</v>
      </c>
      <c r="E1583" s="18">
        <v>16317</v>
      </c>
      <c r="F1583" s="4" t="s">
        <v>98</v>
      </c>
      <c r="G1583" s="4" t="s">
        <v>99</v>
      </c>
      <c r="H1583" s="4" t="s">
        <v>120</v>
      </c>
      <c r="I1583" s="4" t="s">
        <v>121</v>
      </c>
    </row>
    <row r="1584" spans="1:9" x14ac:dyDescent="0.25">
      <c r="A1584" s="4">
        <v>59</v>
      </c>
      <c r="B1584" s="4" t="s">
        <v>2050</v>
      </c>
      <c r="C1584" s="18">
        <v>1781902571659840</v>
      </c>
      <c r="D1584" s="4" t="s">
        <v>2046</v>
      </c>
      <c r="E1584" s="18">
        <v>26625</v>
      </c>
      <c r="F1584" s="4" t="s">
        <v>98</v>
      </c>
      <c r="G1584" s="4" t="s">
        <v>99</v>
      </c>
      <c r="H1584" s="4" t="s">
        <v>127</v>
      </c>
      <c r="I1584" s="4" t="s">
        <v>2051</v>
      </c>
    </row>
    <row r="1585" spans="1:9" x14ac:dyDescent="0.25">
      <c r="A1585" s="4">
        <v>59</v>
      </c>
      <c r="B1585" s="4" t="s">
        <v>2052</v>
      </c>
      <c r="C1585" s="18">
        <v>1781902571660340</v>
      </c>
      <c r="D1585" s="4" t="s">
        <v>2046</v>
      </c>
      <c r="E1585" s="18">
        <v>26626</v>
      </c>
      <c r="F1585" s="4" t="s">
        <v>123</v>
      </c>
      <c r="G1585" s="4" t="s">
        <v>124</v>
      </c>
      <c r="H1585" s="4" t="s">
        <v>127</v>
      </c>
      <c r="I1585" s="4" t="s">
        <v>2053</v>
      </c>
    </row>
    <row r="1586" spans="1:9" x14ac:dyDescent="0.25">
      <c r="A1586" s="4">
        <v>59</v>
      </c>
      <c r="B1586" s="4" t="s">
        <v>2054</v>
      </c>
      <c r="C1586" s="18">
        <v>1781902573599240</v>
      </c>
      <c r="D1586" s="4" t="s">
        <v>2046</v>
      </c>
      <c r="E1586" s="18">
        <v>28565</v>
      </c>
      <c r="F1586" s="4" t="s">
        <v>132</v>
      </c>
      <c r="G1586" s="4" t="s">
        <v>133</v>
      </c>
      <c r="H1586" s="4" t="s">
        <v>1882</v>
      </c>
      <c r="I1586" s="4" t="s">
        <v>1883</v>
      </c>
    </row>
    <row r="1587" spans="1:9" x14ac:dyDescent="0.25">
      <c r="A1587" s="4">
        <v>59</v>
      </c>
      <c r="B1587" s="4" t="s">
        <v>2055</v>
      </c>
      <c r="C1587" s="18">
        <v>1781902576479000</v>
      </c>
      <c r="D1587" s="4" t="s">
        <v>2046</v>
      </c>
      <c r="E1587" s="18">
        <v>31444</v>
      </c>
      <c r="F1587" s="4" t="s">
        <v>98</v>
      </c>
      <c r="G1587" s="4" t="s">
        <v>99</v>
      </c>
      <c r="H1587" s="4" t="s">
        <v>120</v>
      </c>
      <c r="I1587" s="4" t="s">
        <v>1885</v>
      </c>
    </row>
    <row r="1588" spans="1:9" x14ac:dyDescent="0.25">
      <c r="B1588" t="s">
        <v>2056</v>
      </c>
      <c r="C1588" s="12">
        <v>1781902597569970</v>
      </c>
      <c r="D1588" t="s">
        <v>2046</v>
      </c>
      <c r="E1588" s="12">
        <v>52535</v>
      </c>
      <c r="F1588" t="s">
        <v>103</v>
      </c>
      <c r="G1588" t="s">
        <v>89</v>
      </c>
      <c r="H1588" t="s">
        <v>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38"/>
  <sheetViews>
    <sheetView tabSelected="1" topLeftCell="A3" zoomScaleNormal="100" workbookViewId="0">
      <selection activeCell="B16" sqref="B16"/>
    </sheetView>
  </sheetViews>
  <sheetFormatPr baseColWidth="10" defaultColWidth="9.140625" defaultRowHeight="15" x14ac:dyDescent="0.25"/>
  <cols>
    <col min="1" max="1" width="22" customWidth="1"/>
    <col min="2" max="2" width="34.140625" customWidth="1"/>
    <col min="3" max="4" width="16" customWidth="1"/>
    <col min="5" max="5" width="18" customWidth="1"/>
    <col min="6" max="7" width="16" customWidth="1"/>
    <col min="8" max="8" width="12" customWidth="1"/>
    <col min="9" max="9" width="16" customWidth="1"/>
    <col min="10" max="11" width="14" customWidth="1"/>
    <col min="12" max="12" width="16" customWidth="1"/>
    <col min="13" max="13" width="18.7109375" customWidth="1"/>
    <col min="14" max="22" width="16" customWidth="1"/>
    <col min="23" max="23" width="15.140625" bestFit="1" customWidth="1"/>
    <col min="24" max="25" width="255.7109375" hidden="1" customWidth="1"/>
    <col min="26" max="26" width="9.7109375" bestFit="1" customWidth="1"/>
    <col min="27" max="27" width="22.28515625" customWidth="1"/>
  </cols>
  <sheetData>
    <row r="1" spans="1:27" ht="21" x14ac:dyDescent="0.35">
      <c r="A1" s="70" t="s">
        <v>2057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37"/>
    </row>
    <row r="2" spans="1:27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4" spans="1:27" x14ac:dyDescent="0.25">
      <c r="A4" s="39" t="s">
        <v>2058</v>
      </c>
      <c r="B4" s="39" t="s">
        <v>2059</v>
      </c>
      <c r="C4" s="39" t="s">
        <v>2060</v>
      </c>
      <c r="D4" s="39" t="s">
        <v>5</v>
      </c>
      <c r="G4" s="39" t="s">
        <v>2061</v>
      </c>
      <c r="H4" s="39" t="s">
        <v>2062</v>
      </c>
      <c r="I4" s="39" t="s">
        <v>2063</v>
      </c>
      <c r="J4" s="39" t="s">
        <v>2064</v>
      </c>
      <c r="M4" s="58" t="s">
        <v>2065</v>
      </c>
      <c r="N4" s="58" t="s">
        <v>2119</v>
      </c>
      <c r="O4" s="58" t="s">
        <v>2120</v>
      </c>
      <c r="P4" s="58" t="s">
        <v>2121</v>
      </c>
      <c r="Q4" s="58" t="s">
        <v>2122</v>
      </c>
      <c r="R4" s="39"/>
      <c r="S4" s="39"/>
      <c r="AA4" s="56" t="s">
        <v>2132</v>
      </c>
    </row>
    <row r="5" spans="1:27" x14ac:dyDescent="0.25">
      <c r="A5" t="s">
        <v>2066</v>
      </c>
      <c r="B5">
        <f>COUNTIF(Handnotes!$A$2:$A$95,"y")</f>
        <v>53</v>
      </c>
      <c r="C5">
        <f>COUNTIF(Handnotes!$A$2:$A$95,"y")</f>
        <v>53</v>
      </c>
      <c r="D5" t="s">
        <v>2067</v>
      </c>
      <c r="G5" t="s">
        <v>17</v>
      </c>
      <c r="H5" cm="1">
        <f t="array" ref="H5">SUMPRODUCT((Handnotes!$A$2:$A$95="y")*(Handnotes!$D$2:$D$95="Trash Trolley")*(Handnotes!$E$2:$E$95="success")*(Handnotes!$G$2:$G$95="correct")*(Handnotes!$H$2:$H$95="success")*((Handnotes!$J$2:$J$95="success"))*(Handnotes!$M$2:$M$95="success")*(Handnotes!$O$2:$O$95="success")*(Handnotes!$P$2:$P$95="success")*(Handnotes!$Q$2:$Q$95="success"))</f>
        <v>11</v>
      </c>
      <c r="I5">
        <f>COUNTIFS(Handnotes!$A$2:$A$95,"y",Handnotes!$D$2:$D$95,"Trash Trolley")</f>
        <v>19</v>
      </c>
      <c r="J5" s="42">
        <f t="shared" ref="J5:J14" si="0">IFERROR(H5/I5,"")</f>
        <v>0.57894736842105265</v>
      </c>
      <c r="M5" t="s">
        <v>2068</v>
      </c>
      <c r="N5" s="43">
        <f>AVERAGE(M26:M90)</f>
        <v>12.597102564102565</v>
      </c>
      <c r="O5" s="43">
        <f>MEDIAN(M26:M90)</f>
        <v>11.217000000000001</v>
      </c>
      <c r="P5" s="43">
        <f>MIN(M26:M90)</f>
        <v>2.254</v>
      </c>
      <c r="Q5" s="43">
        <f>MAX(M26:M90)</f>
        <v>29.9</v>
      </c>
      <c r="R5" s="43"/>
      <c r="S5" s="43"/>
    </row>
    <row r="6" spans="1:27" x14ac:dyDescent="0.25">
      <c r="A6" t="s">
        <v>2069</v>
      </c>
      <c r="B6" s="42">
        <f>SUMPRODUCT((Handnotes!$A$2:$A$95="y")*(Handnotes!$E$2:$E$95="success")*(Handnotes!$G$2:$G$95="correct")*(Handnotes!$H$2:$H$95="success")*((Handnotes!$J$2:$J$95="success")+(Handnotes!$J$2:$J$95="sucess"))*(Handnotes!$M$2:$M$95="success")*(Handnotes!$O$2:$O$95="success")*(Handnotes!$P$2:$P$95="success")*(Handnotes!$Q$2:$Q$95="success"))/COUNTIF(Handnotes!$A$2:$A$95,"y")</f>
        <v>0.30188679245283018</v>
      </c>
      <c r="C6">
        <f>COUNTIF(Handnotes!$A$2:$A$95,"y")</f>
        <v>53</v>
      </c>
      <c r="D6" t="s">
        <v>2070</v>
      </c>
      <c r="G6" t="s">
        <v>26</v>
      </c>
      <c r="H6" cm="1">
        <f t="array" ref="H6">SUMPRODUCT((Handnotes!$A$2:$A$95="y")*(Handnotes!$D$2:$D$95="Laundry Trolley")*(Handnotes!$E$2:$E$95="success")*(Handnotes!$G$2:$G$95="correct")*(Handnotes!$H$2:$H$95="success")*((Handnotes!$J$2:$J$95="success"))*(Handnotes!$M$2:$M$95="success")*(Handnotes!$O$2:$O$95="success")*(Handnotes!$P$2:$P$95="success")*(Handnotes!$Q$2:$Q$95="success"))</f>
        <v>5</v>
      </c>
      <c r="I6">
        <f>COUNTIFS(Handnotes!$A$2:$A$95,"y",Handnotes!$D$2:$D$95,"Laundry Trolley")</f>
        <v>19</v>
      </c>
      <c r="J6" s="42">
        <f t="shared" si="0"/>
        <v>0.26315789473684209</v>
      </c>
      <c r="M6" s="56" t="s">
        <v>7</v>
      </c>
      <c r="N6" s="43">
        <f>AVERAGE(N26:N90)</f>
        <v>9.4112903225806459</v>
      </c>
      <c r="O6" s="43">
        <f>MEDIAN(N26:N90)</f>
        <v>9.4309999999999992</v>
      </c>
      <c r="P6" s="43">
        <f>MIN(N26:N90)</f>
        <v>9.0190000000000001</v>
      </c>
      <c r="Q6" s="43">
        <f>MAX(N26:N90)</f>
        <v>9.5869999999999997</v>
      </c>
      <c r="R6" s="43"/>
      <c r="S6" s="43"/>
    </row>
    <row r="7" spans="1:27" x14ac:dyDescent="0.25">
      <c r="A7" t="s">
        <v>2072</v>
      </c>
      <c r="B7" s="43">
        <f>N5</f>
        <v>12.597102564102565</v>
      </c>
      <c r="C7">
        <f>COUNT($M$26:$M$119)</f>
        <v>39</v>
      </c>
      <c r="D7" t="s">
        <v>2073</v>
      </c>
      <c r="G7" t="s">
        <v>2074</v>
      </c>
      <c r="H7" cm="1">
        <f t="array" ref="H7">SUMPRODUCT((Handnotes!$A$2:$A$95="y")*(Handnotes!$C$2:$C$95="Normal")*(Handnotes!$E$2:$E$95="success")*(Handnotes!$G$2:$G$95="correct")*(Handnotes!$H$2:$H$95="success")*((Handnotes!$J$2:$J$95="success")+(Handnotes!$M$2:$M$95="success")*(Handnotes!$O$2:$O$95="success")*(Handnotes!$P$2:$P$95="success")*(Handnotes!$Q$2:$Q$95="success")))</f>
        <v>20</v>
      </c>
      <c r="I7">
        <f>COUNTIFS(Handnotes!$A$2:$A$95,"y",Handnotes!$C$2:$C$95,"Normal")</f>
        <v>28</v>
      </c>
      <c r="J7" s="42">
        <f t="shared" si="0"/>
        <v>0.7142857142857143</v>
      </c>
      <c r="M7" t="s">
        <v>2071</v>
      </c>
      <c r="N7" s="43">
        <f>AVERAGE(O26:O72)</f>
        <v>26.38684615384615</v>
      </c>
      <c r="O7" s="43">
        <f>MEDIAN(O26:O72)</f>
        <v>18.883000000000003</v>
      </c>
      <c r="P7" s="43">
        <f>MIN(O26:O90)</f>
        <v>2.2320000000000002</v>
      </c>
      <c r="Q7" s="43">
        <f>MAX(O26:O72)</f>
        <v>134.04900000000001</v>
      </c>
      <c r="S7" s="43"/>
    </row>
    <row r="8" spans="1:27" x14ac:dyDescent="0.25">
      <c r="A8" t="s">
        <v>2076</v>
      </c>
      <c r="B8" s="43">
        <f>N7</f>
        <v>26.38684615384615</v>
      </c>
      <c r="C8">
        <f>COUNT($O$26:$O$119)</f>
        <v>26</v>
      </c>
      <c r="D8" t="s">
        <v>2077</v>
      </c>
      <c r="G8" t="s">
        <v>21</v>
      </c>
      <c r="H8" cm="1">
        <f t="array" ref="H8">SUMPRODUCT((Handnotes!$A$2:$A$95="y")*(Handnotes!$C$2:$C$95="Flipped 180 deg")*(Handnotes!$E$2:$E$95="success")*(Handnotes!$G$2:$G$95="correct")*(Handnotes!$H$2:$H$95="success")*((Handnotes!$J$2:$J$95="success"))*(Handnotes!$M$2:$M$95="success")*(Handnotes!$O$2:$O$95="success")*(Handnotes!$P$2:$P$95="success")*(Handnotes!$Q$2:$Q$95="success"))</f>
        <v>7</v>
      </c>
      <c r="I8">
        <f>COUNTIFS(Handnotes!$A$2:$A$95,"y",Handnotes!$C$2:$C$95,"Flipped 180 deg")</f>
        <v>25</v>
      </c>
      <c r="J8" s="42">
        <f t="shared" si="0"/>
        <v>0.28000000000000003</v>
      </c>
      <c r="M8" t="s">
        <v>2075</v>
      </c>
      <c r="N8" s="43">
        <f>AVERAGE(Q26:Q72)</f>
        <v>36.443764705882359</v>
      </c>
      <c r="O8" s="43">
        <f>MEDIAN(Q26:Q72)</f>
        <v>31.172000000000001</v>
      </c>
      <c r="P8" s="43">
        <f>MIN(Q26:Q90)</f>
        <v>21.754000000000001</v>
      </c>
      <c r="Q8" s="43">
        <f>MAX(Q26:Q72)</f>
        <v>75.177999999999997</v>
      </c>
      <c r="R8" s="55" t="s">
        <v>2117</v>
      </c>
    </row>
    <row r="9" spans="1:27" x14ac:dyDescent="0.25">
      <c r="A9" t="s">
        <v>2078</v>
      </c>
      <c r="B9" s="43">
        <f>N8</f>
        <v>36.443764705882359</v>
      </c>
      <c r="C9">
        <f>COUNT($Q$26:$Q$119)</f>
        <v>17</v>
      </c>
      <c r="D9" t="s">
        <v>2079</v>
      </c>
      <c r="G9" t="s">
        <v>2080</v>
      </c>
      <c r="H9" cm="1">
        <f t="array" ref="H9">SUMPRODUCT((Handnotes!$A$2:$A$95="y")*(Handnotes!$D$2:$D$95="Trash Trolley")*(Handnotes!$C$2:$C$95="Normal")*(Handnotes!$E$2:$E$95="success")*(Handnotes!$G$2:$G$95="correct")*(Handnotes!$H$2:$H$95="success")*((Handnotes!$J$2:$J$95="success"))*(Handnotes!$M$2:$M$95="success")*(Handnotes!$O$2:$O$95="success")*(Handnotes!$P$2:$P$95="success")*(Handnotes!$Q$2:$Q$95="success"))</f>
        <v>6</v>
      </c>
      <c r="I9">
        <f>COUNTIFS(Handnotes!$A$2:$A$95,"y",Handnotes!$D$2:$D$95,"Trash Trolley",Handnotes!$C$2:$C$95,"Normal")</f>
        <v>10</v>
      </c>
      <c r="J9" s="42">
        <f t="shared" si="0"/>
        <v>0.6</v>
      </c>
      <c r="M9" s="59" t="s">
        <v>2123</v>
      </c>
      <c r="N9" s="60">
        <f>AVERAGE(P26:P72)</f>
        <v>47.378181818181808</v>
      </c>
      <c r="O9" s="60">
        <f>MEDIAN(P26:P72)</f>
        <v>38.903999999999996</v>
      </c>
      <c r="P9" s="60">
        <f>MAX(M26:M90)</f>
        <v>29.9</v>
      </c>
      <c r="Q9" s="60">
        <f>MAX(P26:P72)</f>
        <v>162.20699999999999</v>
      </c>
    </row>
    <row r="10" spans="1:27" x14ac:dyDescent="0.25">
      <c r="A10" t="s">
        <v>2081</v>
      </c>
      <c r="B10" s="72">
        <f>COUNTIFS(Handnotes!$A$2:$A$95,"y",Handnotes!$K$2:$K$95,"YES")</f>
        <v>24</v>
      </c>
      <c r="C10">
        <f>COUNTIF(Handnotes!$A$2:$A$95,"y")</f>
        <v>53</v>
      </c>
      <c r="D10" s="73">
        <f>B10/C10</f>
        <v>0.45283018867924529</v>
      </c>
      <c r="G10" t="s">
        <v>2082</v>
      </c>
      <c r="H10" cm="1">
        <f t="array" ref="H10">SUMPRODUCT((Handnotes!$A$2:$A$95="y")*(Handnotes!$D$2:$D$95="Trash Trolley")*(Handnotes!$C$2:$C$95="Flipped 180 deg")*(Handnotes!$E$2:$E$95="success")*(Handnotes!$G$2:$G$95="correct")*(Handnotes!$H$2:$H$95="success")*((Handnotes!$J$2:$J$95="success"))*(Handnotes!$M$2:$M$95="success")*(Handnotes!$O$2:$O$95="success")*(Handnotes!$P$2:$P$95="success")*(Handnotes!$Q$2:$Q$95="success"))</f>
        <v>5</v>
      </c>
      <c r="I10">
        <f>COUNTIFS(Handnotes!$A$2:$A$95,"y",Handnotes!$D$2:$D$95,"Trash Trolley",Handnotes!$C$2:$C$95,"Flipped 180 deg")</f>
        <v>9</v>
      </c>
      <c r="J10" s="42">
        <f t="shared" si="0"/>
        <v>0.55555555555555558</v>
      </c>
    </row>
    <row r="11" spans="1:27" x14ac:dyDescent="0.25">
      <c r="A11" t="s">
        <v>2167</v>
      </c>
      <c r="B11" s="71">
        <f>COUNTIFS(Handnotes!$J$2:$J$95,"success",Handnotes!$K$2:$K$95,"YES")</f>
        <v>18</v>
      </c>
      <c r="C11">
        <f>B10</f>
        <v>24</v>
      </c>
      <c r="D11" s="73">
        <f>B11/C11</f>
        <v>0.75</v>
      </c>
      <c r="J11" s="42"/>
    </row>
    <row r="12" spans="1:27" x14ac:dyDescent="0.25">
      <c r="A12" t="s">
        <v>2168</v>
      </c>
      <c r="B12">
        <f>COUNTIFS(Handnotes!$J$2:$J$95,"success",Handnotes!$K$2:$K$95,"NO")</f>
        <v>8</v>
      </c>
      <c r="C12">
        <f>COUNTIFS(Handnotes!$A$2:$A$95,"y",Handnotes!$K$2:$K$95,"NO")</f>
        <v>8</v>
      </c>
      <c r="D12" s="69">
        <f>B12/C12</f>
        <v>1</v>
      </c>
      <c r="J12" s="42"/>
    </row>
    <row r="13" spans="1:27" ht="45" x14ac:dyDescent="0.25">
      <c r="A13" t="s">
        <v>2083</v>
      </c>
      <c r="B13" s="45">
        <f ca="1">NOW()</f>
        <v>46216.791535879631</v>
      </c>
      <c r="C13" t="str">
        <f>""</f>
        <v/>
      </c>
      <c r="G13" t="s">
        <v>2084</v>
      </c>
      <c r="H13" cm="1">
        <f t="array" ref="H13">SUMPRODUCT((Handnotes!$A$2:$A$95="y")*(Handnotes!$D$2:$D$95="Laundry Trolley")*(Handnotes!$C$2:$C$95="Normal")*(Handnotes!$E$2:$E$95="success")*(Handnotes!$G$2:$G$95="correct")*(Handnotes!$H$2:$H$95="success")*((Handnotes!$J$2:$J$95="success"))*(Handnotes!$M$2:$M$95="success")*(Handnotes!$O$2:$O$95="success")*(Handnotes!$P$2:$P$95="success")*(Handnotes!$Q$2:$Q$95="success"))</f>
        <v>3</v>
      </c>
      <c r="I13">
        <f>COUNTIFS(Handnotes!$A$2:$A$95,"y",Handnotes!$D$2:$D$95,"Laundry Trolley",Handnotes!$C$2:$C$95,"Normal")</f>
        <v>10</v>
      </c>
      <c r="J13" s="42">
        <f t="shared" si="0"/>
        <v>0.3</v>
      </c>
      <c r="L13" s="56" t="s">
        <v>4</v>
      </c>
      <c r="M13" s="40" t="s">
        <v>2106</v>
      </c>
      <c r="N13" s="57" t="s">
        <v>2128</v>
      </c>
      <c r="O13" s="57" t="s">
        <v>2129</v>
      </c>
      <c r="P13" s="57" t="s">
        <v>2130</v>
      </c>
      <c r="Q13" s="56" t="s">
        <v>2127</v>
      </c>
    </row>
    <row r="14" spans="1:27" x14ac:dyDescent="0.25">
      <c r="G14" t="s">
        <v>2085</v>
      </c>
      <c r="H14" cm="1">
        <f t="array" ref="H14">SUMPRODUCT((Handnotes!$A$2:$A$95="y")*(Handnotes!$D$2:$D$95="Laundry Trolley")*(Handnotes!$C$2:$C$95="Flipped 180 deg")*(Handnotes!$E$2:$E$95="success")*(Handnotes!$G$2:$G$95="correct")*(Handnotes!$H$2:$H$95="success")*((Handnotes!$J$2:$J$95="success"))*(Handnotes!$M$2:$M$95="success")*(Handnotes!$O$2:$O$95="success")*(Handnotes!$P$2:$P$95="success")*(Handnotes!$Q$2:$Q$95="success"))</f>
        <v>2</v>
      </c>
      <c r="I14">
        <f>COUNTIFS(Handnotes!$A$2:$A$95,"y",Handnotes!$D$2:$D$95,"Laundry Trolley",Handnotes!$C$2:$C$95,"Flipped 180 deg")</f>
        <v>9</v>
      </c>
      <c r="J14" s="42">
        <f t="shared" si="0"/>
        <v>0.22222222222222221</v>
      </c>
      <c r="M14">
        <f>R98</f>
        <v>4.083333333333333E-4</v>
      </c>
      <c r="N14">
        <f t="shared" ref="N14:P14" si="1">S98</f>
        <v>5.4000000000000001E-4</v>
      </c>
      <c r="O14">
        <f t="shared" si="1"/>
        <v>3.2083333333333332E-2</v>
      </c>
      <c r="P14">
        <f t="shared" si="1"/>
        <v>0.11699999999999999</v>
      </c>
    </row>
    <row r="15" spans="1:27" x14ac:dyDescent="0.25">
      <c r="A15" s="39" t="s">
        <v>2086</v>
      </c>
      <c r="B15" s="39" t="s">
        <v>2087</v>
      </c>
      <c r="C15" s="39" t="s">
        <v>2112</v>
      </c>
      <c r="D15" s="39" t="s">
        <v>2088</v>
      </c>
      <c r="E15" s="39" t="s">
        <v>2064</v>
      </c>
      <c r="F15" s="39" t="s">
        <v>2089</v>
      </c>
      <c r="L15" s="56" t="s">
        <v>2126</v>
      </c>
      <c r="M15">
        <f>M14*1000</f>
        <v>0.40833333333333333</v>
      </c>
      <c r="N15">
        <f>N14*1000</f>
        <v>0.54</v>
      </c>
    </row>
    <row r="16" spans="1:27" ht="30" x14ac:dyDescent="0.25">
      <c r="A16" t="s">
        <v>4</v>
      </c>
      <c r="B16">
        <f>COUNTIFS(Handnotes!$A$2:$A$95,"y",Handnotes!$E$2:$E$95,"success")</f>
        <v>44</v>
      </c>
      <c r="C16">
        <f>COUNTIFS(Handnotes!$A$2:$A$95,"y",Handnotes!$E$2:$E$95,"partial")</f>
        <v>4</v>
      </c>
      <c r="D16">
        <f>COUNTIFS(Handnotes!$A$2:$A$95,"y",Handnotes!$E$2:$E$95,"unsuccessfull")+COUNTIFS(Handnotes!$A$2:$A$95,"y",Handnotes!$E$2:$E$95,"success") + COUNTIFS(Handnotes!$A$2:$A$95,"y",Handnotes!$E$2:$E$95,"partial")</f>
        <v>53</v>
      </c>
      <c r="E16" s="42">
        <f t="shared" ref="E16:E23" si="2">IFERROR(B16/D16,"")</f>
        <v>0.83018867924528306</v>
      </c>
      <c r="F16" t="s">
        <v>2090</v>
      </c>
      <c r="L16" s="56" t="s">
        <v>2093</v>
      </c>
      <c r="M16" s="40" t="s">
        <v>2106</v>
      </c>
      <c r="N16" s="57" t="s">
        <v>2125</v>
      </c>
      <c r="O16" s="57" t="s">
        <v>2124</v>
      </c>
      <c r="P16" s="57" t="s">
        <v>2131</v>
      </c>
      <c r="Q16" s="40" t="s">
        <v>2108</v>
      </c>
      <c r="R16" s="40" t="s">
        <v>2109</v>
      </c>
      <c r="S16" s="40"/>
      <c r="T16" s="56" t="s">
        <v>2127</v>
      </c>
    </row>
    <row r="17" spans="1:32" x14ac:dyDescent="0.25">
      <c r="A17" t="s">
        <v>6</v>
      </c>
      <c r="B17">
        <f>COUNTIFS(Handnotes!$A$2:$A$95,"y",Handnotes!$G$2:$G$95,"correct")</f>
        <v>52</v>
      </c>
      <c r="D17">
        <f>COUNTIFS(Handnotes!$A$2:$A$95,"y",Handnotes!$G$2:$G$95,"nothing detected")+COUNTIFS(Handnotes!$A$2:$A$95,"y",Handnotes!$G$2:$G$95,"correct")+COUNTIFS(Handnotes!$A$2:$A$95,"y",Handnotes!$G$2:$G$95,"partial")</f>
        <v>53</v>
      </c>
      <c r="E17" s="42">
        <f t="shared" si="2"/>
        <v>0.98113207547169812</v>
      </c>
      <c r="F17" t="s">
        <v>2091</v>
      </c>
      <c r="H17" s="39" t="s">
        <v>6</v>
      </c>
      <c r="I17" s="39" t="s">
        <v>2088</v>
      </c>
      <c r="J17" s="39" t="s">
        <v>2162</v>
      </c>
      <c r="K17" s="39" t="s">
        <v>2064</v>
      </c>
      <c r="M17">
        <f>Z70</f>
        <v>2.9741935483870974E-3</v>
      </c>
      <c r="N17">
        <f t="shared" ref="N17:S17" si="3">AA70</f>
        <v>2.8000000000000004E-3</v>
      </c>
      <c r="O17">
        <f t="shared" si="3"/>
        <v>5.3319999999999991E-3</v>
      </c>
      <c r="P17">
        <f t="shared" si="3"/>
        <v>5.478947368421052E-3</v>
      </c>
      <c r="Q17">
        <f t="shared" si="3"/>
        <v>1.6357894736842105</v>
      </c>
      <c r="R17">
        <f t="shared" si="3"/>
        <v>1.4875999999999996</v>
      </c>
      <c r="S17">
        <f t="shared" si="3"/>
        <v>0</v>
      </c>
    </row>
    <row r="18" spans="1:32" x14ac:dyDescent="0.25">
      <c r="A18" t="s">
        <v>7</v>
      </c>
      <c r="B18">
        <f>COUNTIFS(Handnotes!$A$2:$A$95,"y",Handnotes!$H$2:$H$95,"success")</f>
        <v>31</v>
      </c>
      <c r="C18">
        <f>COUNTIFS(Handnotes!$A$2:$A$95,"y",Handnotes!$H$2:$H$95,"partial")</f>
        <v>0</v>
      </c>
      <c r="D18">
        <f>COUNTIFS(Handnotes!$A$2:$A$95,"y",Handnotes!$H$2:$H$95,"unsuccessfull")+COUNTIFS(Handnotes!$A$2:$A$95,"y",Handnotes!$H$2:$H$95,"success")+COUNTIFS(Handnotes!$A$2:$A$95,"y",Handnotes!$H$2:$H$95,"partial")</f>
        <v>37</v>
      </c>
      <c r="E18" s="42">
        <f t="shared" si="2"/>
        <v>0.83783783783783783</v>
      </c>
      <c r="F18" t="s">
        <v>2092</v>
      </c>
      <c r="H18" s="56" t="s">
        <v>2163</v>
      </c>
      <c r="I18">
        <f>COUNTIF(C26:C90,"Laundry Trolley")</f>
        <v>19</v>
      </c>
      <c r="J18">
        <f>COUNTIFS(E26:E90, "correct",C26:C90,"Laundry Trolley")</f>
        <v>19</v>
      </c>
      <c r="K18" s="69">
        <f>J18/I18</f>
        <v>1</v>
      </c>
      <c r="L18" s="56" t="s">
        <v>2126</v>
      </c>
      <c r="M18" s="61">
        <f>M17*1000</f>
        <v>2.9741935483870976</v>
      </c>
      <c r="N18" s="61">
        <f t="shared" ref="N18:P18" si="4">N17*1000</f>
        <v>2.8000000000000003</v>
      </c>
      <c r="O18" s="61">
        <f t="shared" si="4"/>
        <v>5.331999999999999</v>
      </c>
      <c r="P18" s="61">
        <f t="shared" si="4"/>
        <v>5.4789473684210517</v>
      </c>
      <c r="Q18" s="61"/>
      <c r="R18" s="61"/>
      <c r="S18" s="61"/>
    </row>
    <row r="19" spans="1:32" x14ac:dyDescent="0.25">
      <c r="A19" t="s">
        <v>2093</v>
      </c>
      <c r="B19">
        <f>COUNTIFS(Handnotes!$A$2:$A$95,"y",Handnotes!$J$2:$J$95,"success")+COUNTIFS(Handnotes!$A$2:$A$95,"y",Handnotes!$J$2:$J$95,"sucess")</f>
        <v>26</v>
      </c>
      <c r="C19">
        <f>COUNTIFS(Handnotes!$A$2:$A$95,"y",Handnotes!$J$2:$J$95,"partial")</f>
        <v>2</v>
      </c>
      <c r="D19">
        <f>COUNTIFS(Handnotes!$A$2:$A$95,"y",Handnotes!$J$2:$J$95,"unsuccessfull")+COUNTIFS(Handnotes!$A$2:$A$95,"y",Handnotes!$J$2:$J$95,"success")+COUNTIFS(Handnotes!$A$2:$A$95,"y",Handnotes!$J$2:$J$95,"partial")</f>
        <v>32</v>
      </c>
      <c r="E19" s="42">
        <f t="shared" si="2"/>
        <v>0.8125</v>
      </c>
      <c r="F19" t="s">
        <v>2104</v>
      </c>
      <c r="H19" s="56" t="s">
        <v>2164</v>
      </c>
      <c r="I19">
        <f>COUNTIF(C27:C91,"Trash Trolley")</f>
        <v>18</v>
      </c>
      <c r="J19">
        <f>COUNTIFS(E27:E91, "correct",C27:C91,"Trash Trolley")</f>
        <v>18</v>
      </c>
      <c r="K19" s="69">
        <f t="shared" ref="K19:K21" si="5">J19/I19</f>
        <v>1</v>
      </c>
    </row>
    <row r="20" spans="1:32" x14ac:dyDescent="0.25">
      <c r="A20" t="s">
        <v>2094</v>
      </c>
      <c r="B20">
        <f>COUNTIFS(Handnotes!$A$2:$A$95,"y",Handnotes!$M$2:$M$95,"success")</f>
        <v>20</v>
      </c>
      <c r="C20">
        <f>COUNTIFS(Handnotes!$A$2:$A$95,"y",Handnotes!$M$2:$M$95,"partial")</f>
        <v>4</v>
      </c>
      <c r="D20">
        <f>COUNTIFS(Handnotes!$A$2:$A$95,"y",Handnotes!$M$2:$M$95,"unsuccessfull")+COUNTIFS(Handnotes!$A$2:$A$95,"y",Handnotes!$M$2:$M$95,"success")+COUNTIFS(Handnotes!$A$2:$A$95,"y",Handnotes!$M$2:$M$95,"partial")</f>
        <v>32</v>
      </c>
      <c r="E20" s="42">
        <f t="shared" si="2"/>
        <v>0.625</v>
      </c>
      <c r="F20" t="s">
        <v>2105</v>
      </c>
      <c r="H20" s="56" t="s">
        <v>2165</v>
      </c>
      <c r="I20">
        <f>COUNTIF(C28:C92,"empty")</f>
        <v>15</v>
      </c>
      <c r="J20">
        <f>COUNTIFS(E28:E92, "correct",C28:C92,"empty")</f>
        <v>14</v>
      </c>
      <c r="K20" s="69">
        <f t="shared" si="5"/>
        <v>0.93333333333333335</v>
      </c>
    </row>
    <row r="21" spans="1:32" x14ac:dyDescent="0.25">
      <c r="A21" t="s">
        <v>58</v>
      </c>
      <c r="B21">
        <f>COUNTIFS(Handnotes!$A$2:$A$95,"y",Handnotes!$O$2:$O$95,"success")</f>
        <v>28</v>
      </c>
      <c r="C21">
        <f>COUNTIFS(Handnotes!$A$2:$A$95,"y",Handnotes!$O$2:$O$95,"partial")</f>
        <v>0</v>
      </c>
      <c r="D21">
        <f>COUNTIFS(Handnotes!$A$2:$A$95,"y",Handnotes!$O$2:$O$95,"unsuccessfull")+COUNTIFS(Handnotes!$A$2:$A$95,"y",Handnotes!$O$2:$O$95,"success")+COUNTIFS(Handnotes!$A$2:$A$95,"y",Handnotes!$O$2:$O$95,"partial")</f>
        <v>29</v>
      </c>
      <c r="E21" s="42">
        <f t="shared" si="2"/>
        <v>0.96551724137931039</v>
      </c>
      <c r="F21" t="s">
        <v>2095</v>
      </c>
      <c r="H21" s="56" t="s">
        <v>2166</v>
      </c>
      <c r="I21">
        <f>SUM(I18:I20)</f>
        <v>52</v>
      </c>
      <c r="J21">
        <f>SUM(J18:J20)</f>
        <v>51</v>
      </c>
      <c r="K21" s="69">
        <f t="shared" si="5"/>
        <v>0.98076923076923073</v>
      </c>
    </row>
    <row r="22" spans="1:32" x14ac:dyDescent="0.25">
      <c r="A22" t="s">
        <v>59</v>
      </c>
      <c r="B22">
        <f>COUNTIFS(Handnotes!$A$2:$A$95,"y",Handnotes!$P$2:$P$95,"success")</f>
        <v>27</v>
      </c>
      <c r="C22">
        <f>COUNTIFS(Handnotes!$A$2:$A$95,"y",Handnotes!$P$2:$P$95,"partial")</f>
        <v>0</v>
      </c>
      <c r="D22">
        <f>COUNTIFS(Handnotes!$A$2:$A$95,"y",Handnotes!$P$2:$P$95,"unsuccessfull")+COUNTIFS(Handnotes!$A$2:$A$95,"y",Handnotes!$P$2:$P$95,"success")+COUNTIFS(Handnotes!$A$2:$A$95,"y",Handnotes!$P$2:$P$95,"partial")</f>
        <v>29</v>
      </c>
      <c r="E22" s="42">
        <f t="shared" si="2"/>
        <v>0.93103448275862066</v>
      </c>
      <c r="F22" t="s">
        <v>2096</v>
      </c>
    </row>
    <row r="23" spans="1:32" x14ac:dyDescent="0.25">
      <c r="A23" t="s">
        <v>2097</v>
      </c>
      <c r="B23">
        <f>COUNTIFS(Handnotes!$A$2:$A$95,"y",Handnotes!$Q$2:$Q$95,"success")</f>
        <v>27</v>
      </c>
      <c r="C23">
        <f>COUNTIFS(Handnotes!$A$2:$A$95,"y",Handnotes!$Q$2:$Q$95,"partial")</f>
        <v>0</v>
      </c>
      <c r="D23">
        <f>COUNTIFS(Handnotes!$A$2:$A$95,"y",Handnotes!$Q$2:$Q$95,"unsuccessfull")+COUNTIFS(Handnotes!$A$2:$A$95,"y",Handnotes!$Q$2:$Q$95,"success")+COUNTIFS(Handnotes!$A$2:$A$95,"y",Handnotes!$Q$2:$Q$95,"partial")</f>
        <v>27</v>
      </c>
      <c r="E23" s="42">
        <f t="shared" si="2"/>
        <v>1</v>
      </c>
      <c r="F23" t="s">
        <v>2098</v>
      </c>
      <c r="U23" s="46">
        <f>T26</f>
        <v>-0.28999999999999998</v>
      </c>
      <c r="V23" s="46"/>
    </row>
    <row r="24" spans="1:32" x14ac:dyDescent="0.25">
      <c r="R24" t="s">
        <v>2107</v>
      </c>
      <c r="S24" t="s">
        <v>2107</v>
      </c>
      <c r="T24" t="s">
        <v>2107</v>
      </c>
      <c r="U24" t="s">
        <v>2107</v>
      </c>
      <c r="W24" t="s">
        <v>2107</v>
      </c>
      <c r="Z24" t="s">
        <v>9</v>
      </c>
      <c r="AA24" t="s">
        <v>9</v>
      </c>
      <c r="AB24" t="s">
        <v>9</v>
      </c>
      <c r="AD24" t="s">
        <v>9</v>
      </c>
    </row>
    <row r="25" spans="1:32" ht="75" x14ac:dyDescent="0.25">
      <c r="A25" s="40" t="s">
        <v>1</v>
      </c>
      <c r="B25" s="40" t="s">
        <v>2099</v>
      </c>
      <c r="C25" s="39" t="s">
        <v>3</v>
      </c>
      <c r="D25" s="40" t="s">
        <v>4</v>
      </c>
      <c r="E25" s="40" t="s">
        <v>6</v>
      </c>
      <c r="F25" s="40" t="s">
        <v>7</v>
      </c>
      <c r="G25" s="40" t="s">
        <v>2093</v>
      </c>
      <c r="H25" s="40" t="s">
        <v>2100</v>
      </c>
      <c r="I25" s="40" t="s">
        <v>2094</v>
      </c>
      <c r="J25" s="40" t="s">
        <v>58</v>
      </c>
      <c r="K25" s="40" t="s">
        <v>59</v>
      </c>
      <c r="L25" s="40" t="s">
        <v>2097</v>
      </c>
      <c r="M25" s="40" t="s">
        <v>2101</v>
      </c>
      <c r="N25" s="57" t="s">
        <v>2116</v>
      </c>
      <c r="O25" s="40" t="s">
        <v>2102</v>
      </c>
      <c r="P25" s="40" t="s">
        <v>2118</v>
      </c>
      <c r="Q25" s="40" t="s">
        <v>2103</v>
      </c>
      <c r="R25" s="40" t="s">
        <v>2106</v>
      </c>
      <c r="S25" s="57" t="s">
        <v>2128</v>
      </c>
      <c r="T25" s="57" t="s">
        <v>2129</v>
      </c>
      <c r="U25" s="57" t="s">
        <v>2130</v>
      </c>
      <c r="V25" s="40"/>
      <c r="W25" s="40"/>
      <c r="X25" s="39" t="s">
        <v>2110</v>
      </c>
      <c r="Y25" s="39" t="s">
        <v>9</v>
      </c>
      <c r="Z25" s="40" t="s">
        <v>2106</v>
      </c>
      <c r="AA25" s="57" t="s">
        <v>2125</v>
      </c>
      <c r="AB25" s="57" t="s">
        <v>2124</v>
      </c>
      <c r="AC25" s="57" t="s">
        <v>2131</v>
      </c>
      <c r="AD25" s="40" t="s">
        <v>2108</v>
      </c>
      <c r="AE25" s="40" t="s">
        <v>2109</v>
      </c>
      <c r="AF25" s="40"/>
    </row>
    <row r="26" spans="1:32" x14ac:dyDescent="0.25">
      <c r="A26" s="41">
        <f>IF(Handnotes!$A$2="y",Handnotes!$B$2,"")</f>
        <v>1</v>
      </c>
      <c r="B26" s="41" t="str">
        <f>IF($A26="","",IFERROR(Handnotes!$C$2,""))</f>
        <v>Normal</v>
      </c>
      <c r="C26" t="str">
        <f>IF($A26="","",IFERROR(Handnotes!$D$2,""))</f>
        <v>Trash Trolley</v>
      </c>
      <c r="D26" s="41" t="str">
        <f>IF($A26="","",IFERROR(Handnotes!$E$2,""))</f>
        <v>success</v>
      </c>
      <c r="E26" s="41" t="str">
        <f>IF($A26="","",IFERROR(Handnotes!$G$2,""))</f>
        <v>correct</v>
      </c>
      <c r="F26" s="41" t="str">
        <f>IF($A26="","",IFERROR(Handnotes!$H$2,""))</f>
        <v>success</v>
      </c>
      <c r="G26" s="41" t="str">
        <f>IF($A26="","",IFERROR(Handnotes!$J$2,""))</f>
        <v>success</v>
      </c>
      <c r="H26" s="41" t="str">
        <f>IF($A26="","",IFERROR(Handnotes!$K$2,""))</f>
        <v>NO</v>
      </c>
      <c r="I26" s="41" t="str">
        <f>IF($A26="","",IFERROR(Handnotes!$M$2,""))</f>
        <v>success</v>
      </c>
      <c r="J26" s="41" t="str">
        <f>IF($A26="","",IFERROR(Handnotes!$O$2,""))</f>
        <v>success</v>
      </c>
      <c r="K26" s="41" t="str">
        <f>IF($A26="","",IFERROR(Handnotes!$P$2,""))</f>
        <v>success</v>
      </c>
      <c r="L26" s="41" t="str">
        <f>IF($A26="","",IFERROR(Handnotes!$Q$2,""))</f>
        <v>success</v>
      </c>
      <c r="M26" s="44" cm="1">
        <f t="array" ref="M26">IF($D26="success",_xlfn.LET(_xlpm.run,$A26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5.8680000000000003</v>
      </c>
      <c r="N26" s="44" cm="1">
        <f t="array" ref="N26">IF($F26="success",_xlfn.LET(_xlpm.run,$A26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9.4559999999999995</v>
      </c>
      <c r="O26" s="44" cm="1">
        <f t="array" ref="O26">IF($G26="success",_xlfn.LET(_xlpm.run,$A26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28.055</v>
      </c>
      <c r="P26" s="44">
        <f>IF(AND(D26="success",F26="success",G26="success"),SUM(M26:O26),"")</f>
        <v>43.378999999999998</v>
      </c>
      <c r="Q26" s="44">
        <f>_xlfn.LET(_xlpm.t,$A26,_xlpm.s,_xlfn.MINIFS(Event_logs!$E$2:$E$1588,Event_logs!$A$2:$A$1588,_xlpm.t,Event_logs!$H$2:$H$1588,"fine_align_complete"),_xlpm.e,_xlfn.MINIFS(Event_logs!$E$2:$E$1588,Event_logs!$A$2:$A$1588,_xlpm.t,Event_logs!$H$2:$H$1588,"docking sucessfull"),IF(AND(OR($I26="success",$I26="sucess"),_xlpm.s&gt;0,_xlpm.e&gt;_xlpm.s),(_xlpm.e-_xlpm.s)/1000,""))</f>
        <v>75.177999999999997</v>
      </c>
      <c r="R26" s="48" cm="1">
        <f t="array" ref="R26">IF($D26="success",_xlfn.LET(_xlpm.d,_xlfn.XLOOKUP(1,(Event_logs!$A$2:$A$1588=$A26)*(Event_logs!$H$2:$H$1588="side_align_complete"),Event_logs!$I$2:$I$1588,""),IFERROR(_xlfn.NUMBERVALUE(_xlfn.TEXTBEFORE(_xlfn.TEXTAFTER(_xlpm.d,"error_x=")&amp;" "," "),".",","),"")),"")</f>
        <v>1.6000000000000001E-3</v>
      </c>
      <c r="S26" s="48" cm="1">
        <f t="array" ref="S26">IF(AND($F26="success",$D26="success"),_xlfn.LET(_xlpm.d,_xlfn.XLOOKUP(1,(Event_logs!$A$2:$A$1588=$A26)*(Event_logs!$H$2:$H$1588="side_align_complete"),Event_logs!$I$2:$I$1588,""),IFERROR(_xlfn.NUMBERVALUE(_xlfn.TEXTBEFORE(_xlfn.TEXTAFTER(_xlpm.d,"error_x=")&amp;" "," "),".",","),"")),"")</f>
        <v>1.6000000000000001E-3</v>
      </c>
      <c r="T26" s="47" cm="1">
        <f t="array" ref="T26">IF($D26="success",_xlfn.LET(_xlpm.d,_xlfn.XLOOKUP(1,(Event_logs!$A$2:$A$1588=$A26)*(Event_logs!$H$2:$H$1588="side_align_complete"),Event_logs!$I$2:$I$1588,""),IFERROR(_xlfn.NUMBERVALUE(_xlfn.TEXTBEFORE(_xlfn.TEXTAFTER(_xlpm.d,"yaw_error="),"deg"),".",","),"")),"")</f>
        <v>-0.28999999999999998</v>
      </c>
      <c r="U26" s="44" cm="1">
        <f t="array" ref="U26">IF(AND($F26="success",D26="success"),_xlfn.LET(_xlpm.d,_xlfn.XLOOKUP(1,(Event_logs!$A$2:$A$1588=$A26)*(Event_logs!$H$2:$H$1588="side_align_complete"),Event_logs!$I$2:$I$1588,""),IFERROR(_xlfn.NUMBERVALUE(_xlfn.TEXTBEFORE(_xlfn.TEXTAFTER(_xlpm.d,"yaw_error="),"deg"),".",","),"")),"")</f>
        <v>-0.28999999999999998</v>
      </c>
      <c r="V26" s="44"/>
      <c r="W26" s="44"/>
      <c r="X26" t="str" cm="1">
        <f t="array" ref="X26">IF(OR($G26="success",$G26="sucess"),_xlfn.XLOOKUP(1,(Event_logs!$A$2:$A$1588=$A26)*(Event_logs!$H$2:$H$1588="side_align_complete"),Event_logs!$I$2:$I$1588,""),"")</f>
        <v>side_align_left_done | final camera=left ids=[22, 23, 24, 25, 26] target_pair=[24, 25] target_x=+0.3576 target_y=+0.2541 center_x=+0.3144 center_y=-0.0530 yaw=+179.71deg error_x=+0.0016 yaw_error=-0.29deg tolerance_x=0.0060 tolerance_yaw=2.00deg</v>
      </c>
      <c r="Y26" t="str" cm="1">
        <f t="array" ref="Y26">IF(OR($G26="success",$G26="sucess"),_xlfn.XLOOKUP(1,(Event_logs!$A$2:$A$1588=$A26)*(Event_logs!$H$2:$H$1588="fine_align_complete"),Event_logs!$I$2:$I$1588,""),"")</f>
        <v>fine_align_under_done | final ids=[3, 12] center_x=+0.1290 center_y=-0.0002 yaw=-12.73deg orientation=normal error_x=-0.0035 error_y=-0.0064 yaw_error=-1.73deg target_x=+0.1325 target_y=+0.0062 tolerance_x=0.0040 tolerance_y=0.0100 tolerance_yaw=3.00deg</v>
      </c>
      <c r="Z26" cm="1">
        <f t="array" ref="Z26">IF(OR($G26="success",$G26="sucess",$G26="unsuccessfull",$G26="partial"),_xlfn.LET(_xlpm.d,_xlfn.XLOOKUP(1,(Event_logs!$A$2:$A$1588=$A26)*(Event_logs!$H$2:$H$1588="fine_align_complete"),Event_logs!$I$2:$I$1588,""),IFERROR(_xlfn.NUMBERVALUE(_xlfn.TEXTBEFORE(_xlfn.TEXTAFTER(_xlpm.d,"error_x=")&amp;" "," "),".",","),"")),"")</f>
        <v>-3.5000000000000001E-3</v>
      </c>
      <c r="AA26" cm="1">
        <f t="array" ref="AA26">IF(AND($G26="success",$I26="success"),_xlfn.LET(_xlpm.d,_xlfn.XLOOKUP(1,(Event_logs!$A$2:$A$1588=$A26)*(Event_logs!$H$2:$H$1588="fine_align_complete"),Event_logs!$I$2:$I$1588,""),IFERROR(_xlfn.NUMBERVALUE(_xlfn.TEXTBEFORE(_xlfn.TEXTAFTER(_xlpm.d,"error_x=")&amp;" "," "),".",","),"")),"")</f>
        <v>-3.5000000000000001E-3</v>
      </c>
      <c r="AB26" cm="1">
        <f t="array" ref="AB26">IF($G26="success",_xlfn.LET(_xlpm.d,_xlfn.XLOOKUP(1,(Event_logs!$A$2:$A$1588=$A26)*(Event_logs!$H$2:$H$1588="fine_align_complete"),Event_logs!$I$2:$I$1588,""),IFERROR(_xlfn.NUMBERVALUE(_xlfn.TEXTBEFORE(_xlfn.TEXTAFTER(_xlpm.d,"error_y=")&amp;" "," "),".",","),"")),"")</f>
        <v>-6.4000000000000003E-3</v>
      </c>
      <c r="AC26" cm="1">
        <f t="array" ref="AC26">IF(AND($G26="success",$I26="success"),_xlfn.LET(_xlpm.d,_xlfn.XLOOKUP(1,(Event_logs!$A$2:$A$1588=$A26)*(Event_logs!$H$2:$H$1588="fine_align_complete"),Event_logs!$I$2:$I$1588,""),IFERROR(_xlfn.NUMBERVALUE(_xlfn.TEXTBEFORE(_xlfn.TEXTAFTER(_xlpm.d,"error_y=")&amp;" "," "),".",","),"")),"")</f>
        <v>-6.4000000000000003E-3</v>
      </c>
      <c r="AD26" cm="1">
        <f t="array" ref="AD26">IF(AND($G26="success",$I26="success"),_xlfn.LET(_xlpm.d,_xlfn.XLOOKUP(1,(Event_logs!$A$2:$A$1588=$A26)*(Event_logs!$H$2:$H$1588="fine_align_complete"),Event_logs!$I$2:$I$1588,""),IFERROR(_xlfn.NUMBERVALUE(_xlfn.TEXTBEFORE(_xlfn.TEXTAFTER(_xlpm.d,"yaw_error="),"deg"),".",","),"")),"")</f>
        <v>-1.73</v>
      </c>
      <c r="AE26" cm="1">
        <f t="array" ref="AE26">IF($G26="success",_xlfn.LET(_xlpm.d,_xlfn.XLOOKUP(1,(Event_logs!$A$2:$A$1588=$A26)*(Event_logs!$H$2:$H$1588="fine_align_complete"),Event_logs!$I$2:$I$1588,""),IFERROR(_xlfn.NUMBERVALUE(_xlfn.TEXTBEFORE(_xlfn.TEXTAFTER(_xlpm.d,"yaw_error="),"deg"),".",","),"")),"")</f>
        <v>-1.73</v>
      </c>
    </row>
    <row r="27" spans="1:32" x14ac:dyDescent="0.25">
      <c r="A27" s="41">
        <f>IF(Handnotes!$A$3="y",Handnotes!$B$3,"")</f>
        <v>2</v>
      </c>
      <c r="B27" s="41" t="str">
        <f>IF($A27="","",IFERROR(Handnotes!$C$3,""))</f>
        <v>Normal</v>
      </c>
      <c r="C27" t="str">
        <f>IF($A27="","",IFERROR(Handnotes!$D$3,""))</f>
        <v>Trash Trolley</v>
      </c>
      <c r="D27" s="41" t="str">
        <f>IF($A27="","",IFERROR(Handnotes!$E$3,""))</f>
        <v>success</v>
      </c>
      <c r="E27" s="41" t="str">
        <f>IF($A27="","",IFERROR(Handnotes!$G$3,""))</f>
        <v>correct</v>
      </c>
      <c r="F27" s="41" t="str">
        <f>IF($A27="","",IFERROR(Handnotes!$H$3,""))</f>
        <v>success</v>
      </c>
      <c r="G27" s="41" t="str">
        <f>IF($A27="","",IFERROR(Handnotes!$J$3,""))</f>
        <v>success</v>
      </c>
      <c r="H27" s="41" t="str">
        <f>IF($A27="","",IFERROR(Handnotes!$K$3,""))</f>
        <v>NO</v>
      </c>
      <c r="I27" s="41" t="str">
        <f>IF($A27="","",IFERROR(Handnotes!$M$3,""))</f>
        <v>success</v>
      </c>
      <c r="J27" s="41" t="str">
        <f>IF($A27="","",IFERROR(Handnotes!$O$3,""))</f>
        <v>success</v>
      </c>
      <c r="K27" s="41" t="str">
        <f>IF($A27="","",IFERROR(Handnotes!$P$3,""))</f>
        <v>success</v>
      </c>
      <c r="L27" s="41" t="str">
        <f>IF($A27="","",IFERROR(Handnotes!$Q$3,""))</f>
        <v>success</v>
      </c>
      <c r="M27" s="44" cm="1">
        <f t="array" ref="M27">IF($D27="success",_xlfn.LET(_xlpm.run,$A27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7.6029999999999998</v>
      </c>
      <c r="N27" s="44" cm="1">
        <f t="array" ref="N27">IF($F27="success",_xlfn.LET(_xlpm.run,$A27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9.43</v>
      </c>
      <c r="O27" s="44" cm="1">
        <f t="array" ref="O27">IF($G27="success",_xlfn.LET(_xlpm.run,$A27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2.2320000000000002</v>
      </c>
      <c r="P27" s="44">
        <f t="shared" ref="P27:P72" si="6">IF(AND(D27="success",F27="success",G27="success"),SUM(M27:O27),"")</f>
        <v>19.265000000000001</v>
      </c>
      <c r="Q27" s="44">
        <f>_xlfn.LET(_xlpm.t,$A27,_xlpm.s,_xlfn.MINIFS(Event_logs!$E$2:$E$1588,Event_logs!$A$2:$A$1588,_xlpm.t,Event_logs!$H$2:$H$1588,"fine_align_complete"),_xlpm.e,_xlfn.MINIFS(Event_logs!$E$2:$E$1588,Event_logs!$A$2:$A$1588,_xlpm.t,Event_logs!$H$2:$H$1588,"docking sucessfull"),IF(AND(OR($I27="success",$I27="sucess"),_xlpm.s&gt;0,_xlpm.e&gt;_xlpm.s),(_xlpm.e-_xlpm.s)/1000,""))</f>
        <v>33.933</v>
      </c>
      <c r="R27" s="48" cm="1">
        <f t="array" ref="R27">IF($D27="success",_xlfn.LET(_xlpm.d,_xlfn.XLOOKUP(1,(Event_logs!$A$2:$A$1588=$A27)*(Event_logs!$H$2:$H$1588="side_align_complete"),Event_logs!$I$2:$I$1588,""),IFERROR(_xlfn.NUMBERVALUE(_xlfn.TEXTBEFORE(_xlfn.TEXTAFTER(_xlpm.d,"error_x=")&amp;" "," "),".",","),"")),"")</f>
        <v>3.3999999999999998E-3</v>
      </c>
      <c r="S27" s="48" cm="1">
        <f t="array" ref="S27">IF(AND($F27="success",$D27="success"),_xlfn.LET(_xlpm.d,_xlfn.XLOOKUP(1,(Event_logs!$A$2:$A$1588=$A27)*(Event_logs!$H$2:$H$1588="side_align_complete"),Event_logs!$I$2:$I$1588,""),IFERROR(_xlfn.NUMBERVALUE(_xlfn.TEXTBEFORE(_xlfn.TEXTAFTER(_xlpm.d,"error_x=")&amp;" "," "),".",","),"")),"")</f>
        <v>3.3999999999999998E-3</v>
      </c>
      <c r="T27" s="47" cm="1">
        <f t="array" ref="T27">IF($D27="success",_xlfn.LET(_xlpm.d,_xlfn.XLOOKUP(1,(Event_logs!$A$2:$A$1588=$A27)*(Event_logs!$H$2:$H$1588="side_align_complete"),Event_logs!$I$2:$I$1588,""),IFERROR(_xlfn.NUMBERVALUE(_xlfn.TEXTBEFORE(_xlfn.TEXTAFTER(_xlpm.d,"yaw_error="),"deg"),".",","),"")),"")</f>
        <v>-0.25</v>
      </c>
      <c r="U27" s="44" cm="1">
        <f t="array" ref="U27">IF(AND($F27="success",D27="success"),_xlfn.LET(_xlpm.d,_xlfn.XLOOKUP(1,(Event_logs!$A$2:$A$1588=$A27)*(Event_logs!$H$2:$H$1588="side_align_complete"),Event_logs!$I$2:$I$1588,""),IFERROR(_xlfn.NUMBERVALUE(_xlfn.TEXTBEFORE(_xlfn.TEXTAFTER(_xlpm.d,"yaw_error="),"deg"),".",","),"")),"")</f>
        <v>-0.25</v>
      </c>
      <c r="V27" s="44"/>
      <c r="W27" s="44" cm="1">
        <f t="array" ref="W27">IF(OR($G27="success",$G27="sucess"),_xlfn.LET(_xlpm.d,_xlfn.XLOOKUP(1,(Event_logs!$A$2:$A$1588=$A27)*(Event_logs!$H$2:$H$1588="side_align_complete"),Event_logs!$I$2:$I$1588,""),IFERROR(_xlfn.NUMBERVALUE(_xlfn.TEXTBEFORE(_xlfn.TEXTAFTER(_xlpm.d,"yaw="),"deg"),".",","),"")),"")</f>
        <v>179.75</v>
      </c>
      <c r="X27" t="str" cm="1">
        <f t="array" ref="X27">IF(OR($G27="success",$G27="sucess"),_xlfn.XLOOKUP(1,(Event_logs!$A$2:$A$1588=$A27)*(Event_logs!$H$2:$H$1588="side_align_complete"),Event_logs!$I$2:$I$1588,""),"")</f>
        <v>side_align_left_done | final camera=left ids=[23, 24, 25, 26] target_pair=[24, 25] target_x=+0.3594 target_y=+0.2713 center_x=+0.3676 center_y=-0.0358 yaw=+179.75deg error_x=+0.0034 yaw_error=-0.25deg tolerance_x=0.0060 tolerance_yaw=2.00deg</v>
      </c>
      <c r="Z27" cm="1">
        <f t="array" ref="Z27">IF(OR($G27="success",$G27="sucess",$G27="unsuccessfull",$G27="partial"),_xlfn.LET(_xlpm.d,_xlfn.XLOOKUP(1,(Event_logs!$A$2:$A$1588=$A27)*(Event_logs!$H$2:$H$1588="fine_align_complete"),Event_logs!$I$2:$I$1588,""),IFERROR(_xlfn.NUMBERVALUE(_xlfn.TEXTBEFORE(_xlfn.TEXTAFTER(_xlpm.d,"error_x=")&amp;" "," "),".",","),"")),"")</f>
        <v>-1.9E-3</v>
      </c>
      <c r="AA27" cm="1">
        <f t="array" ref="AA27">IF(AND($G27="success",$I27="success"),_xlfn.LET(_xlpm.d,_xlfn.XLOOKUP(1,(Event_logs!$A$2:$A$1588=$A27)*(Event_logs!$H$2:$H$1588="fine_align_complete"),Event_logs!$I$2:$I$1588,""),IFERROR(_xlfn.NUMBERVALUE(_xlfn.TEXTBEFORE(_xlfn.TEXTAFTER(_xlpm.d,"error_x=")&amp;" "," "),".",","),"")),"")</f>
        <v>-1.9E-3</v>
      </c>
      <c r="AB27" cm="1">
        <f t="array" ref="AB27">IF($G27="success",_xlfn.LET(_xlpm.d,_xlfn.XLOOKUP(1,(Event_logs!$A$2:$A$1588=$A27)*(Event_logs!$H$2:$H$1588="fine_align_complete"),Event_logs!$I$2:$I$1588,""),IFERROR(_xlfn.NUMBERVALUE(_xlfn.TEXTBEFORE(_xlfn.TEXTAFTER(_xlpm.d,"error_y=")&amp;" "," "),".",","),"")),"")</f>
        <v>-5.3E-3</v>
      </c>
      <c r="AC27" cm="1">
        <f t="array" ref="AC27">IF(AND($G27="success",$I27="success"),_xlfn.LET(_xlpm.d,_xlfn.XLOOKUP(1,(Event_logs!$A$2:$A$1588=$A27)*(Event_logs!$H$2:$H$1588="fine_align_complete"),Event_logs!$I$2:$I$1588,""),IFERROR(_xlfn.NUMBERVALUE(_xlfn.TEXTBEFORE(_xlfn.TEXTAFTER(_xlpm.d,"error_y=")&amp;" "," "),".",","),"")),"")</f>
        <v>-5.3E-3</v>
      </c>
      <c r="AD27" cm="1">
        <f t="array" ref="AD27">IF(AND($G27="success",$I27="success"),_xlfn.LET(_xlpm.d,_xlfn.XLOOKUP(1,(Event_logs!$A$2:$A$1588=$A27)*(Event_logs!$H$2:$H$1588="fine_align_complete"),Event_logs!$I$2:$I$1588,""),IFERROR(_xlfn.NUMBERVALUE(_xlfn.TEXTBEFORE(_xlfn.TEXTAFTER(_xlpm.d,"yaw_error="),"deg"),".",","),"")),"")</f>
        <v>-2.02</v>
      </c>
      <c r="AE27" cm="1">
        <f t="array" ref="AE27">IF($G27="success",_xlfn.LET(_xlpm.d,_xlfn.XLOOKUP(1,(Event_logs!$A$2:$A$1588=$A27)*(Event_logs!$H$2:$H$1588="fine_align_complete"),Event_logs!$I$2:$I$1588,""),IFERROR(_xlfn.NUMBERVALUE(_xlfn.TEXTBEFORE(_xlfn.TEXTAFTER(_xlpm.d,"yaw_error="),"deg"),".",","),"")),"")</f>
        <v>-2.02</v>
      </c>
    </row>
    <row r="28" spans="1:32" x14ac:dyDescent="0.25">
      <c r="A28" s="41">
        <f>IF(Handnotes!$A$4="y",Handnotes!$B$4,"")</f>
        <v>3</v>
      </c>
      <c r="B28" s="41" t="str">
        <f>IF($A28="","",IFERROR(Handnotes!$C$4,""))</f>
        <v>Flipped 180 deg</v>
      </c>
      <c r="C28" t="str">
        <f>IF($A28="","",IFERROR(Handnotes!$D$4,""))</f>
        <v>Trash Trolley</v>
      </c>
      <c r="D28" s="41" t="str">
        <f>IF($A28="","",IFERROR(Handnotes!$E$4,""))</f>
        <v>success</v>
      </c>
      <c r="E28" s="41" t="str">
        <f>IF($A28="","",IFERROR(Handnotes!$G$4,""))</f>
        <v>correct</v>
      </c>
      <c r="F28" s="41" t="str">
        <f>IF($A28="","",IFERROR(Handnotes!$H$4,""))</f>
        <v>success</v>
      </c>
      <c r="G28" s="41" t="str">
        <f>IF($A28="","",IFERROR(Handnotes!$J$4,""))</f>
        <v>success</v>
      </c>
      <c r="H28" s="41" t="str">
        <f>IF($A28="","",IFERROR(Handnotes!$K$4,""))</f>
        <v>YES</v>
      </c>
      <c r="I28" s="41" t="str">
        <f>IF($A28="","",IFERROR(Handnotes!$M$4,""))</f>
        <v>unsuccessfull</v>
      </c>
      <c r="J28" s="41" t="str">
        <f>IF($A28="","",IFERROR(Handnotes!$O$4,""))</f>
        <v>success</v>
      </c>
      <c r="K28" s="41" t="str">
        <f>IF($A28="","",IFERROR(Handnotes!$P$4,""))</f>
        <v>success</v>
      </c>
      <c r="L28" s="41" t="str">
        <f>IF($A28="","",IFERROR(Handnotes!$Q$4,""))</f>
        <v>success</v>
      </c>
      <c r="M28" s="44" cm="1">
        <f t="array" ref="M28">IF($D28="success",_xlfn.LET(_xlpm.run,$A28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18.675000000000001</v>
      </c>
      <c r="N28" s="44" cm="1">
        <f t="array" ref="N28">IF($F28="success",_xlfn.LET(_xlpm.run,$A28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9.4830000000000005</v>
      </c>
      <c r="O28" s="44" cm="1">
        <f t="array" ref="O28">IF($G28="success",_xlfn.LET(_xlpm.run,$A28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134.04900000000001</v>
      </c>
      <c r="P28" s="44">
        <f t="shared" si="6"/>
        <v>162.20699999999999</v>
      </c>
      <c r="Q28" s="44" t="str">
        <f>_xlfn.LET(_xlpm.t,$A28,_xlpm.s,_xlfn.MINIFS(Event_logs!$E$2:$E$1588,Event_logs!$A$2:$A$1588,_xlpm.t,Event_logs!$H$2:$H$1588,"fine_align_complete"),_xlpm.e,_xlfn.MINIFS(Event_logs!$E$2:$E$1588,Event_logs!$A$2:$A$1588,_xlpm.t,Event_logs!$H$2:$H$1588,"docking sucessfull"),IF(AND(OR($I28="success",$I28="sucess"),_xlpm.s&gt;0,_xlpm.e&gt;_xlpm.s),(_xlpm.e-_xlpm.s)/1000,""))</f>
        <v/>
      </c>
      <c r="R28" s="48" cm="1">
        <f t="array" ref="R28">IF($D28="success",_xlfn.LET(_xlpm.d,_xlfn.XLOOKUP(1,(Event_logs!$A$2:$A$1588=$A28)*(Event_logs!$H$2:$H$1588="side_align_complete"),Event_logs!$I$2:$I$1588,""),IFERROR(_xlfn.NUMBERVALUE(_xlfn.TEXTBEFORE(_xlfn.TEXTAFTER(_xlpm.d,"error_x=")&amp;" "," "),".",","),"")),"")</f>
        <v>-5.7000000000000002E-3</v>
      </c>
      <c r="S28" s="48" cm="1">
        <f t="array" ref="S28">IF(AND($F28="success",$D28="success"),_xlfn.LET(_xlpm.d,_xlfn.XLOOKUP(1,(Event_logs!$A$2:$A$1588=$A28)*(Event_logs!$H$2:$H$1588="side_align_complete"),Event_logs!$I$2:$I$1588,""),IFERROR(_xlfn.NUMBERVALUE(_xlfn.TEXTBEFORE(_xlfn.TEXTAFTER(_xlpm.d,"error_x=")&amp;" "," "),".",","),"")),"")</f>
        <v>-5.7000000000000002E-3</v>
      </c>
      <c r="T28" s="47" cm="1">
        <f t="array" ref="T28">IF($D28="success",_xlfn.LET(_xlpm.d,_xlfn.XLOOKUP(1,(Event_logs!$A$2:$A$1588=$A28)*(Event_logs!$H$2:$H$1588="side_align_complete"),Event_logs!$I$2:$I$1588,""),IFERROR(_xlfn.NUMBERVALUE(_xlfn.TEXTBEFORE(_xlfn.TEXTAFTER(_xlpm.d,"yaw_error="),"deg"),".",","),"")),"")</f>
        <v>0.08</v>
      </c>
      <c r="U28" s="44" cm="1">
        <f t="array" ref="U28">IF(AND($F28="success",D28="success"),_xlfn.LET(_xlpm.d,_xlfn.XLOOKUP(1,(Event_logs!$A$2:$A$1588=$A28)*(Event_logs!$H$2:$H$1588="side_align_complete"),Event_logs!$I$2:$I$1588,""),IFERROR(_xlfn.NUMBERVALUE(_xlfn.TEXTBEFORE(_xlfn.TEXTAFTER(_xlpm.d,"yaw_error="),"deg"),".",","),"")),"")</f>
        <v>0.08</v>
      </c>
      <c r="V28" s="44"/>
      <c r="W28" s="44" cm="1">
        <f t="array" ref="W28">IF(OR($G28="success",$G28="sucess"),_xlfn.LET(_xlpm.d,_xlfn.XLOOKUP(1,(Event_logs!$A$2:$A$1588=$A28)*(Event_logs!$H$2:$H$1588="side_align_complete"),Event_logs!$I$2:$I$1588,""),IFERROR(_xlfn.NUMBERVALUE(_xlfn.TEXTBEFORE(_xlfn.TEXTAFTER(_xlpm.d,"yaw="),"deg"),".",","),"")),"")</f>
        <v>-179.92</v>
      </c>
      <c r="X28" t="str" cm="1">
        <f t="array" ref="X28">IF(OR($G28="success",$G28="sucess"),_xlfn.XLOOKUP(1,(Event_logs!$A$2:$A$1588=$A28)*(Event_logs!$H$2:$H$1588="side_align_complete"),Event_logs!$I$2:$I$1588,""),"")</f>
        <v>side_align_left_done | final camera=left ids=[17, 18, 19, 20] target_pair=[18, 19] target_x=+0.3503 target_y=+0.2783 center_x=+0.3593 center_y=+0.5844 yaw=-179.92deg error_x=-0.0057 yaw_error=+0.08deg tolerance_x=0.0060 tolerance_yaw=2.00deg</v>
      </c>
      <c r="Z28" cm="1">
        <f t="array" ref="Z28">IF(OR($G28="success",$G28="sucess",$G28="unsuccessfull",$G28="partial"),_xlfn.LET(_xlpm.d,_xlfn.XLOOKUP(1,(Event_logs!$A$2:$A$1588=$A28)*(Event_logs!$H$2:$H$1588="fine_align_complete"),Event_logs!$I$2:$I$1588,""),IFERROR(_xlfn.NUMBERVALUE(_xlfn.TEXTBEFORE(_xlfn.TEXTAFTER(_xlpm.d,"error_x=")&amp;" "," "),".",","),"")),"")</f>
        <v>3.7000000000000002E-3</v>
      </c>
      <c r="AA28" t="str" cm="1">
        <f t="array" ref="AA28">IF(AND($G28="success",$I28="success"),_xlfn.LET(_xlpm.d,_xlfn.XLOOKUP(1,(Event_logs!$A$2:$A$1588=$A28)*(Event_logs!$H$2:$H$1588="fine_align_complete"),Event_logs!$I$2:$I$1588,""),IFERROR(_xlfn.NUMBERVALUE(_xlfn.TEXTBEFORE(_xlfn.TEXTAFTER(_xlpm.d,"error_x=")&amp;" "," "),".",","),"")),"")</f>
        <v/>
      </c>
      <c r="AB28" cm="1">
        <f t="array" ref="AB28">IF($G28="success",_xlfn.LET(_xlpm.d,_xlfn.XLOOKUP(1,(Event_logs!$A$2:$A$1588=$A28)*(Event_logs!$H$2:$H$1588="fine_align_complete"),Event_logs!$I$2:$I$1588,""),IFERROR(_xlfn.NUMBERVALUE(_xlfn.TEXTBEFORE(_xlfn.TEXTAFTER(_xlpm.d,"error_y=")&amp;" "," "),".",","),"")),"")</f>
        <v>5.0000000000000001E-3</v>
      </c>
      <c r="AC28" t="str" cm="1">
        <f t="array" ref="AC28">IF(AND($G28="success",$I28="success"),_xlfn.LET(_xlpm.d,_xlfn.XLOOKUP(1,(Event_logs!$A$2:$A$1588=$A28)*(Event_logs!$H$2:$H$1588="fine_align_complete"),Event_logs!$I$2:$I$1588,""),IFERROR(_xlfn.NUMBERVALUE(_xlfn.TEXTBEFORE(_xlfn.TEXTAFTER(_xlpm.d,"error_y=")&amp;" "," "),".",","),"")),"")</f>
        <v/>
      </c>
      <c r="AD28" t="str" cm="1">
        <f t="array" ref="AD28">IF(AND($G28="success",$I28="success"),_xlfn.LET(_xlpm.d,_xlfn.XLOOKUP(1,(Event_logs!$A$2:$A$1588=$A28)*(Event_logs!$H$2:$H$1588="fine_align_complete"),Event_logs!$I$2:$I$1588,""),IFERROR(_xlfn.NUMBERVALUE(_xlfn.TEXTBEFORE(_xlfn.TEXTAFTER(_xlpm.d,"yaw_error="),"deg"),".",","),"")),"")</f>
        <v/>
      </c>
      <c r="AE28" cm="1">
        <f t="array" ref="AE28">IF($G28="success",_xlfn.LET(_xlpm.d,_xlfn.XLOOKUP(1,(Event_logs!$A$2:$A$1588=$A28)*(Event_logs!$H$2:$H$1588="fine_align_complete"),Event_logs!$I$2:$I$1588,""),IFERROR(_xlfn.NUMBERVALUE(_xlfn.TEXTBEFORE(_xlfn.TEXTAFTER(_xlpm.d,"yaw_error="),"deg"),".",","),"")),"")</f>
        <v>-0.01</v>
      </c>
    </row>
    <row r="29" spans="1:32" x14ac:dyDescent="0.25">
      <c r="A29" s="41">
        <f>IF(Handnotes!$A$5="y",Handnotes!$B$5,"")</f>
        <v>4</v>
      </c>
      <c r="B29" s="41" t="str">
        <f>IF($A29="","",IFERROR(Handnotes!$C$5,""))</f>
        <v>Flipped 180 deg</v>
      </c>
      <c r="C29" t="str">
        <f>IF($A29="","",IFERROR(Handnotes!$D$5,""))</f>
        <v>Laundry Trolley</v>
      </c>
      <c r="D29" s="41" t="str">
        <f>IF($A29="","",IFERROR(Handnotes!$E$5,""))</f>
        <v>success</v>
      </c>
      <c r="E29" s="41" t="str">
        <f>IF($A29="","",IFERROR(Handnotes!$G$5,""))</f>
        <v>correct</v>
      </c>
      <c r="F29" s="41" t="str">
        <f>IF($A29="","",IFERROR(Handnotes!$H$5,""))</f>
        <v>success</v>
      </c>
      <c r="G29" s="41" t="str">
        <f>IF($A29="","",IFERROR(Handnotes!$J$5,""))</f>
        <v>success</v>
      </c>
      <c r="H29" s="41" t="str">
        <f>IF($A29="","",IFERROR(Handnotes!$K$5,""))</f>
        <v>NO</v>
      </c>
      <c r="I29" s="41" t="str">
        <f>IF($A29="","",IFERROR(Handnotes!$M$5,""))</f>
        <v>success</v>
      </c>
      <c r="J29" s="41" t="str">
        <f>IF($A29="","",IFERROR(Handnotes!$O$5,""))</f>
        <v>success</v>
      </c>
      <c r="K29" s="41" t="str">
        <f>IF($A29="","",IFERROR(Handnotes!$P$5,""))</f>
        <v>success</v>
      </c>
      <c r="L29" s="41" t="str">
        <f>IF($A29="","",IFERROR(Handnotes!$Q$5,""))</f>
        <v>success</v>
      </c>
      <c r="M29" s="44" cm="1">
        <f t="array" ref="M29">IF($D29="success",_xlfn.LET(_xlpm.run,$A29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6.173</v>
      </c>
      <c r="N29" s="44" cm="1">
        <f t="array" ref="N29">IF($F29="success",_xlfn.LET(_xlpm.run,$A29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9.4529999999999994</v>
      </c>
      <c r="O29" s="44" cm="1">
        <f t="array" ref="O29">IF($G29="success",_xlfn.LET(_xlpm.run,$A29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7.431</v>
      </c>
      <c r="P29" s="44">
        <f t="shared" si="6"/>
        <v>23.056999999999999</v>
      </c>
      <c r="Q29" s="44">
        <f>_xlfn.LET(_xlpm.t,$A29,_xlpm.s,_xlfn.MINIFS(Event_logs!$E$2:$E$1588,Event_logs!$A$2:$A$1588,_xlpm.t,Event_logs!$H$2:$H$1588,"fine_align_complete"),_xlpm.e,_xlfn.MINIFS(Event_logs!$E$2:$E$1588,Event_logs!$A$2:$A$1588,_xlpm.t,Event_logs!$H$2:$H$1588,"docking sucessfull"),IF(AND(OR($I29="success",$I29="sucess"),_xlpm.s&gt;0,_xlpm.e&gt;_xlpm.s),(_xlpm.e-_xlpm.s)/1000,""))</f>
        <v>32.801000000000002</v>
      </c>
      <c r="R29" s="48" cm="1">
        <f t="array" ref="R29">IF($D29="success",_xlfn.LET(_xlpm.d,_xlfn.XLOOKUP(1,(Event_logs!$A$2:$A$1588=$A29)*(Event_logs!$H$2:$H$1588="side_align_complete"),Event_logs!$I$2:$I$1588,""),IFERROR(_xlfn.NUMBERVALUE(_xlfn.TEXTBEFORE(_xlfn.TEXTAFTER(_xlpm.d,"error_x=")&amp;" "," "),".",","),"")),"")</f>
        <v>4.0000000000000002E-4</v>
      </c>
      <c r="S29" s="48" cm="1">
        <f t="array" ref="S29">IF(AND($F29="success",$D29="success"),_xlfn.LET(_xlpm.d,_xlfn.XLOOKUP(1,(Event_logs!$A$2:$A$1588=$A29)*(Event_logs!$H$2:$H$1588="side_align_complete"),Event_logs!$I$2:$I$1588,""),IFERROR(_xlfn.NUMBERVALUE(_xlfn.TEXTBEFORE(_xlfn.TEXTAFTER(_xlpm.d,"error_x=")&amp;" "," "),".",","),"")),"")</f>
        <v>4.0000000000000002E-4</v>
      </c>
      <c r="T29" s="47" cm="1">
        <f t="array" ref="T29">IF($D29="success",_xlfn.LET(_xlpm.d,_xlfn.XLOOKUP(1,(Event_logs!$A$2:$A$1588=$A29)*(Event_logs!$H$2:$H$1588="side_align_complete"),Event_logs!$I$2:$I$1588,""),IFERROR(_xlfn.NUMBERVALUE(_xlfn.TEXTBEFORE(_xlfn.TEXTAFTER(_xlpm.d,"yaw_error="),"deg"),".",","),"")),"")</f>
        <v>1.0900000000000001</v>
      </c>
      <c r="U29" s="44" cm="1">
        <f t="array" ref="U29">IF(AND($F29="success",D29="success"),_xlfn.LET(_xlpm.d,_xlfn.XLOOKUP(1,(Event_logs!$A$2:$A$1588=$A29)*(Event_logs!$H$2:$H$1588="side_align_complete"),Event_logs!$I$2:$I$1588,""),IFERROR(_xlfn.NUMBERVALUE(_xlfn.TEXTBEFORE(_xlfn.TEXTAFTER(_xlpm.d,"yaw_error="),"deg"),".",","),"")),"")</f>
        <v>1.0900000000000001</v>
      </c>
      <c r="V29" s="44"/>
      <c r="W29" s="44" cm="1">
        <f t="array" ref="W29">IF(OR($G29="success",$G29="sucess"),_xlfn.LET(_xlpm.d,_xlfn.XLOOKUP(1,(Event_logs!$A$2:$A$1588=$A29)*(Event_logs!$H$2:$H$1588="side_align_complete"),Event_logs!$I$2:$I$1588,""),IFERROR(_xlfn.NUMBERVALUE(_xlfn.TEXTBEFORE(_xlfn.TEXTAFTER(_xlpm.d,"yaw="),"deg"),".",","),"")),"")</f>
        <v>-178.91</v>
      </c>
      <c r="X29" t="str" cm="1">
        <f t="array" ref="X29">IF(OR($G29="success",$G29="sucess"),_xlfn.XLOOKUP(1,(Event_logs!$A$2:$A$1588=$A29)*(Event_logs!$H$2:$H$1588="side_align_complete"),Event_logs!$I$2:$I$1588,""),"")</f>
        <v>side_align_left_done | final camera=left ids=[17, 18, 19, 20] target_pair=[18, 19] target_x=+0.3564 target_y=+0.2735 center_x=+0.3584 center_y=+0.5793 yaw=-178.91deg error_x=+0.0004 yaw_error=+1.09deg tolerance_x=0.0060 tolerance_yaw=2.00deg</v>
      </c>
      <c r="Z29" cm="1">
        <f t="array" ref="Z29">IF(OR($G29="success",$G29="sucess",$G29="unsuccessfull",$G29="partial"),_xlfn.LET(_xlpm.d,_xlfn.XLOOKUP(1,(Event_logs!$A$2:$A$1588=$A29)*(Event_logs!$H$2:$H$1588="fine_align_complete"),Event_logs!$I$2:$I$1588,""),IFERROR(_xlfn.NUMBERVALUE(_xlfn.TEXTBEFORE(_xlfn.TEXTAFTER(_xlpm.d,"error_x=")&amp;" "," "),".",","),"")),"")</f>
        <v>1.9E-3</v>
      </c>
      <c r="AA29" cm="1">
        <f t="array" ref="AA29">IF(AND($G29="success",$I29="success"),_xlfn.LET(_xlpm.d,_xlfn.XLOOKUP(1,(Event_logs!$A$2:$A$1588=$A29)*(Event_logs!$H$2:$H$1588="fine_align_complete"),Event_logs!$I$2:$I$1588,""),IFERROR(_xlfn.NUMBERVALUE(_xlfn.TEXTBEFORE(_xlfn.TEXTAFTER(_xlpm.d,"error_x=")&amp;" "," "),".",","),"")),"")</f>
        <v>1.9E-3</v>
      </c>
      <c r="AB29" cm="1">
        <f t="array" ref="AB29">IF($G29="success",_xlfn.LET(_xlpm.d,_xlfn.XLOOKUP(1,(Event_logs!$A$2:$A$1588=$A29)*(Event_logs!$H$2:$H$1588="fine_align_complete"),Event_logs!$I$2:$I$1588,""),IFERROR(_xlfn.NUMBERVALUE(_xlfn.TEXTBEFORE(_xlfn.TEXTAFTER(_xlpm.d,"error_y=")&amp;" "," "),".",","),"")),"")</f>
        <v>9.5999999999999992E-3</v>
      </c>
      <c r="AC29" cm="1">
        <f t="array" ref="AC29">IF(AND($G29="success",$I29="success"),_xlfn.LET(_xlpm.d,_xlfn.XLOOKUP(1,(Event_logs!$A$2:$A$1588=$A29)*(Event_logs!$H$2:$H$1588="fine_align_complete"),Event_logs!$I$2:$I$1588,""),IFERROR(_xlfn.NUMBERVALUE(_xlfn.TEXTBEFORE(_xlfn.TEXTAFTER(_xlpm.d,"error_y=")&amp;" "," "),".",","),"")),"")</f>
        <v>9.5999999999999992E-3</v>
      </c>
      <c r="AD29" cm="1">
        <f t="array" ref="AD29">IF(AND($G29="success",$I29="success"),_xlfn.LET(_xlpm.d,_xlfn.XLOOKUP(1,(Event_logs!$A$2:$A$1588=$A29)*(Event_logs!$H$2:$H$1588="fine_align_complete"),Event_logs!$I$2:$I$1588,""),IFERROR(_xlfn.NUMBERVALUE(_xlfn.TEXTBEFORE(_xlfn.TEXTAFTER(_xlpm.d,"yaw_error="),"deg"),".",","),"")),"")</f>
        <v>-1.45</v>
      </c>
      <c r="AE29" cm="1">
        <f t="array" ref="AE29">IF($G29="success",_xlfn.LET(_xlpm.d,_xlfn.XLOOKUP(1,(Event_logs!$A$2:$A$1588=$A29)*(Event_logs!$H$2:$H$1588="fine_align_complete"),Event_logs!$I$2:$I$1588,""),IFERROR(_xlfn.NUMBERVALUE(_xlfn.TEXTBEFORE(_xlfn.TEXTAFTER(_xlpm.d,"yaw_error="),"deg"),".",","),"")),"")</f>
        <v>-1.45</v>
      </c>
    </row>
    <row r="30" spans="1:32" x14ac:dyDescent="0.25">
      <c r="A30" s="41">
        <f>IF(Handnotes!$A$6="y",Handnotes!$B$6,"")</f>
        <v>5</v>
      </c>
      <c r="B30" s="41" t="str">
        <f>IF($A30="","",IFERROR(Handnotes!$C$6,""))</f>
        <v>Flipped 180 deg</v>
      </c>
      <c r="C30" t="str">
        <f>IF($A30="","",IFERROR(Handnotes!$D$6,""))</f>
        <v>Laundry Trolley</v>
      </c>
      <c r="D30" s="41" t="str">
        <f>IF($A30="","",IFERROR(Handnotes!$E$6,""))</f>
        <v>success</v>
      </c>
      <c r="E30" s="41" t="str">
        <f>IF($A30="","",IFERROR(Handnotes!$G$6,""))</f>
        <v>correct</v>
      </c>
      <c r="F30" s="41" t="str">
        <f>IF($A30="","",IFERROR(Handnotes!$H$6,""))</f>
        <v>success</v>
      </c>
      <c r="G30" s="41" t="str">
        <f>IF($A30="","",IFERROR(Handnotes!$J$6,""))</f>
        <v>unsuccessfull</v>
      </c>
      <c r="H30" s="41" t="str">
        <f>IF($A30="","",IFERROR(Handnotes!$K$6,""))</f>
        <v>YES</v>
      </c>
      <c r="I30" s="41" t="str">
        <f>IF($A30="","",IFERROR(Handnotes!$M$6,""))</f>
        <v>unsuccessfull</v>
      </c>
      <c r="J30" s="41" t="str">
        <f>IF($A30="","",IFERROR(Handnotes!$O$6,""))</f>
        <v>success</v>
      </c>
      <c r="K30" s="41" t="str">
        <f>IF($A30="","",IFERROR(Handnotes!$P$6,""))</f>
        <v>success</v>
      </c>
      <c r="L30" s="41" t="str">
        <f>IF($A30="","",IFERROR(Handnotes!$Q$6,""))</f>
        <v>success</v>
      </c>
      <c r="M30" s="44" cm="1">
        <f t="array" ref="M30">IF($D30="success",_xlfn.LET(_xlpm.run,$A30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15.462999999999999</v>
      </c>
      <c r="N30" s="44" cm="1">
        <f t="array" ref="N30">IF($F30="success",_xlfn.LET(_xlpm.run,$A30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9.4380000000000006</v>
      </c>
      <c r="O30" s="44" t="str" cm="1">
        <f t="array" ref="O30">IF($G30="success",_xlfn.LET(_xlpm.run,$A30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30" s="44" t="str">
        <f t="shared" si="6"/>
        <v/>
      </c>
      <c r="Q30" s="44" t="str">
        <f>_xlfn.LET(_xlpm.t,$A30,_xlpm.s,_xlfn.MINIFS(Event_logs!$E$2:$E$1588,Event_logs!$A$2:$A$1588,_xlpm.t,Event_logs!$H$2:$H$1588,"fine_align_complete"),_xlpm.e,_xlfn.MINIFS(Event_logs!$E$2:$E$1588,Event_logs!$A$2:$A$1588,_xlpm.t,Event_logs!$H$2:$H$1588,"docking sucessfull"),IF(AND(OR($I30="success",$I30="sucess"),_xlpm.s&gt;0,_xlpm.e&gt;_xlpm.s),(_xlpm.e-_xlpm.s)/1000,""))</f>
        <v/>
      </c>
      <c r="R30" s="48" cm="1">
        <f t="array" ref="R30">IF($D30="success",_xlfn.LET(_xlpm.d,_xlfn.XLOOKUP(1,(Event_logs!$A$2:$A$1588=$A30)*(Event_logs!$H$2:$H$1588="side_align_complete"),Event_logs!$I$2:$I$1588,""),IFERROR(_xlfn.NUMBERVALUE(_xlfn.TEXTBEFORE(_xlfn.TEXTAFTER(_xlpm.d,"error_x=")&amp;" "," "),".",","),"")),"")</f>
        <v>-2.7000000000000001E-3</v>
      </c>
      <c r="S30" s="48" cm="1">
        <f t="array" ref="S30">IF(AND($F30="success",$D30="success"),_xlfn.LET(_xlpm.d,_xlfn.XLOOKUP(1,(Event_logs!$A$2:$A$1588=$A30)*(Event_logs!$H$2:$H$1588="side_align_complete"),Event_logs!$I$2:$I$1588,""),IFERROR(_xlfn.NUMBERVALUE(_xlfn.TEXTBEFORE(_xlfn.TEXTAFTER(_xlpm.d,"error_x=")&amp;" "," "),".",","),"")),"")</f>
        <v>-2.7000000000000001E-3</v>
      </c>
      <c r="T30" s="47" cm="1">
        <f t="array" ref="T30">IF($D30="success",_xlfn.LET(_xlpm.d,_xlfn.XLOOKUP(1,(Event_logs!$A$2:$A$1588=$A30)*(Event_logs!$H$2:$H$1588="side_align_complete"),Event_logs!$I$2:$I$1588,""),IFERROR(_xlfn.NUMBERVALUE(_xlfn.TEXTBEFORE(_xlfn.TEXTAFTER(_xlpm.d,"yaw_error="),"deg"),".",","),"")),"")</f>
        <v>-0.2</v>
      </c>
      <c r="U30" s="44" cm="1">
        <f t="array" ref="U30">IF(AND($F30="success",D30="success"),_xlfn.LET(_xlpm.d,_xlfn.XLOOKUP(1,(Event_logs!$A$2:$A$1588=$A30)*(Event_logs!$H$2:$H$1588="side_align_complete"),Event_logs!$I$2:$I$1588,""),IFERROR(_xlfn.NUMBERVALUE(_xlfn.TEXTBEFORE(_xlfn.TEXTAFTER(_xlpm.d,"yaw_error="),"deg"),".",","),"")),"")</f>
        <v>-0.2</v>
      </c>
      <c r="V30" s="44"/>
      <c r="W30" s="44" t="str" cm="1">
        <f t="array" ref="W30">IF(OR($G30="success",$G30="sucess"),_xlfn.LET(_xlpm.d,_xlfn.XLOOKUP(1,(Event_logs!$A$2:$A$1588=$A30)*(Event_logs!$H$2:$H$1588="side_align_complete"),Event_logs!$I$2:$I$1588,""),IFERROR(_xlfn.NUMBERVALUE(_xlfn.TEXTBEFORE(_xlfn.TEXTAFTER(_xlpm.d,"yaw="),"deg"),".",","),"")),"")</f>
        <v/>
      </c>
      <c r="X30" t="str" cm="1">
        <f t="array" ref="X30">IF(OR($G30="success",$G30="sucess"),_xlfn.XLOOKUP(1,(Event_logs!$A$2:$A$1588=$A30)*(Event_logs!$H$2:$H$1588="side_align_complete"),Event_logs!$I$2:$I$1588,""),"")</f>
        <v/>
      </c>
      <c r="Z30" cm="1">
        <f t="array" ref="Z30">IF(OR($G30="success",$G30="sucess",$G30="unsuccessfull",$G30="partial"),_xlfn.LET(_xlpm.d,_xlfn.XLOOKUP(1,(Event_logs!$A$2:$A$1588=$A30)*(Event_logs!$H$2:$H$1588="fine_align_complete"),Event_logs!$I$2:$I$1588,""),IFERROR(_xlfn.NUMBERVALUE(_xlfn.TEXTBEFORE(_xlfn.TEXTAFTER(_xlpm.d,"error_x=")&amp;" "," "),".",","),"")),"")</f>
        <v>3.3999999999999998E-3</v>
      </c>
      <c r="AA30" t="str" cm="1">
        <f t="array" ref="AA30">IF(AND($G30="success",$I30="success"),_xlfn.LET(_xlpm.d,_xlfn.XLOOKUP(1,(Event_logs!$A$2:$A$1588=$A30)*(Event_logs!$H$2:$H$1588="fine_align_complete"),Event_logs!$I$2:$I$1588,""),IFERROR(_xlfn.NUMBERVALUE(_xlfn.TEXTBEFORE(_xlfn.TEXTAFTER(_xlpm.d,"error_x=")&amp;" "," "),".",","),"")),"")</f>
        <v/>
      </c>
      <c r="AB30" t="str" cm="1">
        <f t="array" ref="AB30">IF($G30="success",_xlfn.LET(_xlpm.d,_xlfn.XLOOKUP(1,(Event_logs!$A$2:$A$1588=$A30)*(Event_logs!$H$2:$H$1588="fine_align_complete"),Event_logs!$I$2:$I$1588,""),IFERROR(_xlfn.NUMBERVALUE(_xlfn.TEXTBEFORE(_xlfn.TEXTAFTER(_xlpm.d,"error_y=")&amp;" "," "),".",","),"")),"")</f>
        <v/>
      </c>
      <c r="AC30" t="str" cm="1">
        <f t="array" ref="AC30">IF(AND($G30="success",$I30="success"),_xlfn.LET(_xlpm.d,_xlfn.XLOOKUP(1,(Event_logs!$A$2:$A$1588=$A30)*(Event_logs!$H$2:$H$1588="fine_align_complete"),Event_logs!$I$2:$I$1588,""),IFERROR(_xlfn.NUMBERVALUE(_xlfn.TEXTBEFORE(_xlfn.TEXTAFTER(_xlpm.d,"error_y=")&amp;" "," "),".",","),"")),"")</f>
        <v/>
      </c>
      <c r="AD30" t="str" cm="1">
        <f t="array" ref="AD30">IF(AND($G30="success",$I30="success"),_xlfn.LET(_xlpm.d,_xlfn.XLOOKUP(1,(Event_logs!$A$2:$A$1588=$A30)*(Event_logs!$H$2:$H$1588="fine_align_complete"),Event_logs!$I$2:$I$1588,""),IFERROR(_xlfn.NUMBERVALUE(_xlfn.TEXTBEFORE(_xlfn.TEXTAFTER(_xlpm.d,"yaw_error="),"deg"),".",","),"")),"")</f>
        <v/>
      </c>
      <c r="AE30" t="str" cm="1">
        <f t="array" ref="AE30">IF($G30="success",_xlfn.LET(_xlpm.d,_xlfn.XLOOKUP(1,(Event_logs!$A$2:$A$1588=$A30)*(Event_logs!$H$2:$H$1588="fine_align_complete"),Event_logs!$I$2:$I$1588,""),IFERROR(_xlfn.NUMBERVALUE(_xlfn.TEXTBEFORE(_xlfn.TEXTAFTER(_xlpm.d,"yaw_error="),"deg"),".",","),"")),"")</f>
        <v/>
      </c>
    </row>
    <row r="31" spans="1:32" x14ac:dyDescent="0.25">
      <c r="A31" s="41">
        <f>IF(Handnotes!$A$7="y",Handnotes!$B$7,"")</f>
        <v>6</v>
      </c>
      <c r="B31" s="41" t="str">
        <f>IF($A31="","",IFERROR(Handnotes!$C$7,""))</f>
        <v>Normal</v>
      </c>
      <c r="C31" t="str">
        <f>IF($A31="","",IFERROR(Handnotes!$D$7,""))</f>
        <v>Laundry Trolley</v>
      </c>
      <c r="D31" s="41" t="str">
        <f>IF($A31="","",IFERROR(Handnotes!$E$7,""))</f>
        <v>success</v>
      </c>
      <c r="E31" s="41" t="str">
        <f>IF($A31="","",IFERROR(Handnotes!$G$7,""))</f>
        <v>correct</v>
      </c>
      <c r="F31" s="41" t="str">
        <f>IF($A31="","",IFERROR(Handnotes!$H$7,""))</f>
        <v>success</v>
      </c>
      <c r="G31" s="41" t="str">
        <f>IF($A31="","",IFERROR(Handnotes!$J$7,""))</f>
        <v>success</v>
      </c>
      <c r="H31" s="41" t="str">
        <f>IF($A31="","",IFERROR(Handnotes!$K$7,""))</f>
        <v>NO</v>
      </c>
      <c r="I31" s="41" t="str">
        <f>IF($A31="","",IFERROR(Handnotes!$M$7,""))</f>
        <v>success</v>
      </c>
      <c r="J31" s="41" t="str">
        <f>IF($A31="","",IFERROR(Handnotes!$O$7,""))</f>
        <v>success</v>
      </c>
      <c r="K31" s="41" t="str">
        <f>IF($A31="","",IFERROR(Handnotes!$P$7,""))</f>
        <v>success</v>
      </c>
      <c r="L31" s="41" t="str">
        <f>IF($A31="","",IFERROR(Handnotes!$Q$7,""))</f>
        <v>success</v>
      </c>
      <c r="M31" s="44" cm="1">
        <f t="array" ref="M31">IF($D31="success",_xlfn.LET(_xlpm.run,$A31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15.004</v>
      </c>
      <c r="N31" s="44" cm="1">
        <f t="array" ref="N31">IF($F31="success",_xlfn.LET(_xlpm.run,$A31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9.4499999999999993</v>
      </c>
      <c r="O31" s="44" cm="1">
        <f t="array" ref="O31">IF($G31="success",_xlfn.LET(_xlpm.run,$A31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11.869</v>
      </c>
      <c r="P31" s="44">
        <f t="shared" si="6"/>
        <v>36.323</v>
      </c>
      <c r="Q31" s="44">
        <f>_xlfn.LET(_xlpm.t,$A31,_xlpm.s,_xlfn.MINIFS(Event_logs!$E$2:$E$1588,Event_logs!$A$2:$A$1588,_xlpm.t,Event_logs!$H$2:$H$1588,"fine_align_complete"),_xlpm.e,_xlfn.MINIFS(Event_logs!$E$2:$E$1588,Event_logs!$A$2:$A$1588,_xlpm.t,Event_logs!$H$2:$H$1588,"docking sucessfull"),IF(AND(OR($I31="success",$I31="sucess"),_xlpm.s&gt;0,_xlpm.e&gt;_xlpm.s),(_xlpm.e-_xlpm.s)/1000,""))</f>
        <v>52.387</v>
      </c>
      <c r="R31" s="48" cm="1">
        <f t="array" ref="R31">IF($D31="success",_xlfn.LET(_xlpm.d,_xlfn.XLOOKUP(1,(Event_logs!$A$2:$A$1588=$A31)*(Event_logs!$H$2:$H$1588="side_align_complete"),Event_logs!$I$2:$I$1588,""),IFERROR(_xlfn.NUMBERVALUE(_xlfn.TEXTBEFORE(_xlfn.TEXTAFTER(_xlpm.d,"error_x=")&amp;" "," "),".",","),"")),"")</f>
        <v>-5.0000000000000001E-4</v>
      </c>
      <c r="S31" s="48" cm="1">
        <f t="array" ref="S31">IF(AND($F31="success",$D31="success"),_xlfn.LET(_xlpm.d,_xlfn.XLOOKUP(1,(Event_logs!$A$2:$A$1588=$A31)*(Event_logs!$H$2:$H$1588="side_align_complete"),Event_logs!$I$2:$I$1588,""),IFERROR(_xlfn.NUMBERVALUE(_xlfn.TEXTBEFORE(_xlfn.TEXTAFTER(_xlpm.d,"error_x=")&amp;" "," "),".",","),"")),"")</f>
        <v>-5.0000000000000001E-4</v>
      </c>
      <c r="T31" s="47" cm="1">
        <f t="array" ref="T31">IF($D31="success",_xlfn.LET(_xlpm.d,_xlfn.XLOOKUP(1,(Event_logs!$A$2:$A$1588=$A31)*(Event_logs!$H$2:$H$1588="side_align_complete"),Event_logs!$I$2:$I$1588,""),IFERROR(_xlfn.NUMBERVALUE(_xlfn.TEXTBEFORE(_xlfn.TEXTAFTER(_xlpm.d,"yaw_error="),"deg"),".",","),"")),"")</f>
        <v>1.62</v>
      </c>
      <c r="U31" s="44" cm="1">
        <f t="array" ref="U31">IF(AND($F31="success",D31="success"),_xlfn.LET(_xlpm.d,_xlfn.XLOOKUP(1,(Event_logs!$A$2:$A$1588=$A31)*(Event_logs!$H$2:$H$1588="side_align_complete"),Event_logs!$I$2:$I$1588,""),IFERROR(_xlfn.NUMBERVALUE(_xlfn.TEXTBEFORE(_xlfn.TEXTAFTER(_xlpm.d,"yaw_error="),"deg"),".",","),"")),"")</f>
        <v>1.62</v>
      </c>
      <c r="V31" s="44"/>
      <c r="W31" s="44" cm="1">
        <f t="array" ref="W31">IF(OR($G31="success",$G31="sucess"),_xlfn.LET(_xlpm.d,_xlfn.XLOOKUP(1,(Event_logs!$A$2:$A$1588=$A31)*(Event_logs!$H$2:$H$1588="side_align_complete"),Event_logs!$I$2:$I$1588,""),IFERROR(_xlfn.NUMBERVALUE(_xlfn.TEXTBEFORE(_xlfn.TEXTAFTER(_xlpm.d,"yaw="),"deg"),".",","),"")),"")</f>
        <v>-178.38</v>
      </c>
      <c r="X31" t="str" cm="1">
        <f t="array" ref="X31">IF(OR($G31="success",$G31="sucess"),_xlfn.XLOOKUP(1,(Event_logs!$A$2:$A$1588=$A31)*(Event_logs!$H$2:$H$1588="side_align_complete"),Event_logs!$I$2:$I$1588,""),"")</f>
        <v>side_align_left_done | final camera=left ids=[23, 24, 25, 26] target_pair=[24, 25] target_x=+0.3555 target_y=+0.2667 center_x=+0.3715 center_y=-0.0403 yaw=-178.38deg error_x=-0.0005 yaw_error=+1.62deg tolerance_x=0.0060 tolerance_yaw=2.00deg</v>
      </c>
      <c r="Z31" cm="1">
        <f t="array" ref="Z31">IF(OR($G31="success",$G31="sucess",$G31="unsuccessfull",$G31="partial"),_xlfn.LET(_xlpm.d,_xlfn.XLOOKUP(1,(Event_logs!$A$2:$A$1588=$A31)*(Event_logs!$H$2:$H$1588="fine_align_complete"),Event_logs!$I$2:$I$1588,""),IFERROR(_xlfn.NUMBERVALUE(_xlfn.TEXTBEFORE(_xlfn.TEXTAFTER(_xlpm.d,"error_x=")&amp;" "," "),".",","),"")),"")</f>
        <v>-3.3999999999999998E-3</v>
      </c>
      <c r="AA31" cm="1">
        <f t="array" ref="AA31">IF(AND($G31="success",$I31="success"),_xlfn.LET(_xlpm.d,_xlfn.XLOOKUP(1,(Event_logs!$A$2:$A$1588=$A31)*(Event_logs!$H$2:$H$1588="fine_align_complete"),Event_logs!$I$2:$I$1588,""),IFERROR(_xlfn.NUMBERVALUE(_xlfn.TEXTBEFORE(_xlfn.TEXTAFTER(_xlpm.d,"error_x=")&amp;" "," "),".",","),"")),"")</f>
        <v>-3.3999999999999998E-3</v>
      </c>
      <c r="AB31" cm="1">
        <f t="array" ref="AB31">IF($G31="success",_xlfn.LET(_xlpm.d,_xlfn.XLOOKUP(1,(Event_logs!$A$2:$A$1588=$A31)*(Event_logs!$H$2:$H$1588="fine_align_complete"),Event_logs!$I$2:$I$1588,""),IFERROR(_xlfn.NUMBERVALUE(_xlfn.TEXTBEFORE(_xlfn.TEXTAFTER(_xlpm.d,"error_y=")&amp;" "," "),".",","),"")),"")</f>
        <v>-7.7000000000000002E-3</v>
      </c>
      <c r="AC31" cm="1">
        <f t="array" ref="AC31">IF(AND($G31="success",$I31="success"),_xlfn.LET(_xlpm.d,_xlfn.XLOOKUP(1,(Event_logs!$A$2:$A$1588=$A31)*(Event_logs!$H$2:$H$1588="fine_align_complete"),Event_logs!$I$2:$I$1588,""),IFERROR(_xlfn.NUMBERVALUE(_xlfn.TEXTBEFORE(_xlfn.TEXTAFTER(_xlpm.d,"error_y=")&amp;" "," "),".",","),"")),"")</f>
        <v>-7.7000000000000002E-3</v>
      </c>
      <c r="AD31" cm="1">
        <f t="array" ref="AD31">IF(AND($G31="success",$I31="success"),_xlfn.LET(_xlpm.d,_xlfn.XLOOKUP(1,(Event_logs!$A$2:$A$1588=$A31)*(Event_logs!$H$2:$H$1588="fine_align_complete"),Event_logs!$I$2:$I$1588,""),IFERROR(_xlfn.NUMBERVALUE(_xlfn.TEXTBEFORE(_xlfn.TEXTAFTER(_xlpm.d,"yaw_error="),"deg"),".",","),"")),"")</f>
        <v>-2.23</v>
      </c>
      <c r="AE31" cm="1">
        <f t="array" ref="AE31">IF($G31="success",_xlfn.LET(_xlpm.d,_xlfn.XLOOKUP(1,(Event_logs!$A$2:$A$1588=$A31)*(Event_logs!$H$2:$H$1588="fine_align_complete"),Event_logs!$I$2:$I$1588,""),IFERROR(_xlfn.NUMBERVALUE(_xlfn.TEXTBEFORE(_xlfn.TEXTAFTER(_xlpm.d,"yaw_error="),"deg"),".",","),"")),"")</f>
        <v>-2.23</v>
      </c>
    </row>
    <row r="32" spans="1:32" x14ac:dyDescent="0.25">
      <c r="A32" s="41">
        <f>IF(Handnotes!$A$8="y",Handnotes!$B$8,"")</f>
        <v>7</v>
      </c>
      <c r="B32" s="41" t="str">
        <f>IF($A32="","",IFERROR(Handnotes!$C$8,""))</f>
        <v>Normal</v>
      </c>
      <c r="C32" t="str">
        <f>IF($A32="","",IFERROR(Handnotes!$D$8,""))</f>
        <v>Laundry Trolley</v>
      </c>
      <c r="D32" s="41" t="str">
        <f>IF($A32="","",IFERROR(Handnotes!$E$8,""))</f>
        <v>success</v>
      </c>
      <c r="E32" s="41" t="str">
        <f>IF($A32="","",IFERROR(Handnotes!$G$8,""))</f>
        <v>correct</v>
      </c>
      <c r="F32" s="41" t="str">
        <f>IF($A32="","",IFERROR(Handnotes!$H$8,""))</f>
        <v>success</v>
      </c>
      <c r="G32" s="41" t="str">
        <f>IF($A32="","",IFERROR(Handnotes!$J$8,""))</f>
        <v>success</v>
      </c>
      <c r="H32" s="41" t="str">
        <f>IF($A32="","",IFERROR(Handnotes!$K$8,""))</f>
        <v>NO</v>
      </c>
      <c r="I32" s="41" t="str">
        <f>IF($A32="","",IFERROR(Handnotes!$M$8,""))</f>
        <v>success</v>
      </c>
      <c r="J32" s="41" t="str">
        <f>IF($A32="","",IFERROR(Handnotes!$O$8,""))</f>
        <v>success</v>
      </c>
      <c r="K32" s="41" t="str">
        <f>IF($A32="","",IFERROR(Handnotes!$P$8,""))</f>
        <v>success</v>
      </c>
      <c r="L32" s="41" t="str">
        <f>IF($A32="","",IFERROR(Handnotes!$Q$8,""))</f>
        <v>success</v>
      </c>
      <c r="M32" s="44" cm="1">
        <f t="array" ref="M32">IF($D32="success",_xlfn.LET(_xlpm.run,$A32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5.6879999999999997</v>
      </c>
      <c r="N32" s="44" cm="1">
        <f t="array" ref="N32">IF($F32="success",_xlfn.LET(_xlpm.run,$A32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9.3330000000000002</v>
      </c>
      <c r="O32" s="44" cm="1">
        <f t="array" ref="O32">IF($G32="success",_xlfn.LET(_xlpm.run,$A32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11.307</v>
      </c>
      <c r="P32" s="44">
        <f t="shared" si="6"/>
        <v>26.328000000000003</v>
      </c>
      <c r="Q32" s="44" t="str">
        <f>_xlfn.LET(_xlpm.t,$A32,_xlpm.s,_xlfn.MINIFS(Event_logs!$E$2:$E$1588,Event_logs!$A$2:$A$1588,_xlpm.t,Event_logs!$H$2:$H$1588,"fine_align_complete"),_xlpm.e,_xlfn.MINIFS(Event_logs!$E$2:$E$1588,Event_logs!$A$2:$A$1588,_xlpm.t,Event_logs!$H$2:$H$1588,"docking sucessfull"),IF(AND(OR($I32="success",$I32="sucess"),_xlpm.s&gt;0,_xlpm.e&gt;_xlpm.s),(_xlpm.e-_xlpm.s)/1000,""))</f>
        <v/>
      </c>
      <c r="R32" s="48" cm="1">
        <f t="array" ref="R32">IF($D32="success",_xlfn.LET(_xlpm.d,_xlfn.XLOOKUP(1,(Event_logs!$A$2:$A$1588=$A32)*(Event_logs!$H$2:$H$1588="side_align_complete"),Event_logs!$I$2:$I$1588,""),IFERROR(_xlfn.NUMBERVALUE(_xlfn.TEXTBEFORE(_xlfn.TEXTAFTER(_xlpm.d,"error_x=")&amp;" "," "),".",","),"")),"")</f>
        <v>1.6000000000000001E-3</v>
      </c>
      <c r="S32" s="48" cm="1">
        <f t="array" ref="S32">IF(AND($F32="success",$D32="success"),_xlfn.LET(_xlpm.d,_xlfn.XLOOKUP(1,(Event_logs!$A$2:$A$1588=$A32)*(Event_logs!$H$2:$H$1588="side_align_complete"),Event_logs!$I$2:$I$1588,""),IFERROR(_xlfn.NUMBERVALUE(_xlfn.TEXTBEFORE(_xlfn.TEXTAFTER(_xlpm.d,"error_x=")&amp;" "," "),".",","),"")),"")</f>
        <v>1.6000000000000001E-3</v>
      </c>
      <c r="T32" s="47" cm="1">
        <f t="array" ref="T32">IF($D32="success",_xlfn.LET(_xlpm.d,_xlfn.XLOOKUP(1,(Event_logs!$A$2:$A$1588=$A32)*(Event_logs!$H$2:$H$1588="side_align_complete"),Event_logs!$I$2:$I$1588,""),IFERROR(_xlfn.NUMBERVALUE(_xlfn.TEXTBEFORE(_xlfn.TEXTAFTER(_xlpm.d,"yaw_error="),"deg"),".",","),"")),"")</f>
        <v>1.72</v>
      </c>
      <c r="U32" s="44" cm="1">
        <f t="array" ref="U32">IF(AND($F32="success",D32="success"),_xlfn.LET(_xlpm.d,_xlfn.XLOOKUP(1,(Event_logs!$A$2:$A$1588=$A32)*(Event_logs!$H$2:$H$1588="side_align_complete"),Event_logs!$I$2:$I$1588,""),IFERROR(_xlfn.NUMBERVALUE(_xlfn.TEXTBEFORE(_xlfn.TEXTAFTER(_xlpm.d,"yaw_error="),"deg"),".",","),"")),"")</f>
        <v>1.72</v>
      </c>
      <c r="V32" s="44"/>
      <c r="W32" s="44" cm="1">
        <f t="array" ref="W32">IF(OR($G32="success",$G32="sucess"),_xlfn.LET(_xlpm.d,_xlfn.XLOOKUP(1,(Event_logs!$A$2:$A$1588=$A32)*(Event_logs!$H$2:$H$1588="side_align_complete"),Event_logs!$I$2:$I$1588,""),IFERROR(_xlfn.NUMBERVALUE(_xlfn.TEXTBEFORE(_xlfn.TEXTAFTER(_xlpm.d,"yaw="),"deg"),".",","),"")),"")</f>
        <v>-178.28</v>
      </c>
      <c r="X32" t="str" cm="1">
        <f t="array" ref="X32">IF(OR($G32="success",$G32="sucess"),_xlfn.XLOOKUP(1,(Event_logs!$A$2:$A$1588=$A32)*(Event_logs!$H$2:$H$1588="side_align_complete"),Event_logs!$I$2:$I$1588,""),"")</f>
        <v>side_align_left_done | final camera=left ids=[23, 24, 25, 26] target_pair=[24, 25] target_x=+0.3576 target_y=+0.2735 center_x=+0.3761 center_y=-0.0334 yaw=-178.28deg error_x=+0.0016 yaw_error=+1.72deg tolerance_x=0.0060 tolerance_yaw=2.00deg</v>
      </c>
      <c r="Z32" cm="1">
        <f t="array" ref="Z32">IF(OR($G32="success",$G32="sucess",$G32="unsuccessfull",$G32="partial"),_xlfn.LET(_xlpm.d,_xlfn.XLOOKUP(1,(Event_logs!$A$2:$A$1588=$A32)*(Event_logs!$H$2:$H$1588="fine_align_complete"),Event_logs!$I$2:$I$1588,""),IFERROR(_xlfn.NUMBERVALUE(_xlfn.TEXTBEFORE(_xlfn.TEXTAFTER(_xlpm.d,"error_x=")&amp;" "," "),".",","),"")),"")</f>
        <v>3.8E-3</v>
      </c>
      <c r="AA32" cm="1">
        <f t="array" ref="AA32">IF(AND($G32="success",$I32="success"),_xlfn.LET(_xlpm.d,_xlfn.XLOOKUP(1,(Event_logs!$A$2:$A$1588=$A32)*(Event_logs!$H$2:$H$1588="fine_align_complete"),Event_logs!$I$2:$I$1588,""),IFERROR(_xlfn.NUMBERVALUE(_xlfn.TEXTBEFORE(_xlfn.TEXTAFTER(_xlpm.d,"error_x=")&amp;" "," "),".",","),"")),"")</f>
        <v>3.8E-3</v>
      </c>
      <c r="AB32" cm="1">
        <f t="array" ref="AB32">IF($G32="success",_xlfn.LET(_xlpm.d,_xlfn.XLOOKUP(1,(Event_logs!$A$2:$A$1588=$A32)*(Event_logs!$H$2:$H$1588="fine_align_complete"),Event_logs!$I$2:$I$1588,""),IFERROR(_xlfn.NUMBERVALUE(_xlfn.TEXTBEFORE(_xlfn.TEXTAFTER(_xlpm.d,"error_y=")&amp;" "," "),".",","),"")),"")</f>
        <v>-2.0000000000000001E-4</v>
      </c>
      <c r="AC32" cm="1">
        <f t="array" ref="AC32">IF(AND($G32="success",$I32="success"),_xlfn.LET(_xlpm.d,_xlfn.XLOOKUP(1,(Event_logs!$A$2:$A$1588=$A32)*(Event_logs!$H$2:$H$1588="fine_align_complete"),Event_logs!$I$2:$I$1588,""),IFERROR(_xlfn.NUMBERVALUE(_xlfn.TEXTBEFORE(_xlfn.TEXTAFTER(_xlpm.d,"error_y=")&amp;" "," "),".",","),"")),"")</f>
        <v>-2.0000000000000001E-4</v>
      </c>
      <c r="AD32" cm="1">
        <f t="array" ref="AD32">IF(AND($G32="success",$I32="success"),_xlfn.LET(_xlpm.d,_xlfn.XLOOKUP(1,(Event_logs!$A$2:$A$1588=$A32)*(Event_logs!$H$2:$H$1588="fine_align_complete"),Event_logs!$I$2:$I$1588,""),IFERROR(_xlfn.NUMBERVALUE(_xlfn.TEXTBEFORE(_xlfn.TEXTAFTER(_xlpm.d,"yaw_error="),"deg"),".",","),"")),"")</f>
        <v>-1.41</v>
      </c>
      <c r="AE32" cm="1">
        <f t="array" ref="AE32">IF($G32="success",_xlfn.LET(_xlpm.d,_xlfn.XLOOKUP(1,(Event_logs!$A$2:$A$1588=$A32)*(Event_logs!$H$2:$H$1588="fine_align_complete"),Event_logs!$I$2:$I$1588,""),IFERROR(_xlfn.NUMBERVALUE(_xlfn.TEXTBEFORE(_xlfn.TEXTAFTER(_xlpm.d,"yaw_error="),"deg"),".",","),"")),"")</f>
        <v>-1.41</v>
      </c>
    </row>
    <row r="33" spans="1:31" x14ac:dyDescent="0.25">
      <c r="A33" s="41"/>
      <c r="B33" s="41"/>
      <c r="D33" s="41"/>
      <c r="E33" s="41"/>
      <c r="F33" s="41"/>
      <c r="G33" s="41"/>
      <c r="H33" s="41"/>
      <c r="I33" s="41"/>
      <c r="J33" s="41"/>
      <c r="K33" s="41"/>
      <c r="L33" s="41"/>
      <c r="M33" s="44" t="str" cm="1">
        <f t="array" ref="M33">IF($D33="success",_xlfn.LET(_xlpm.run,$A33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33" s="44" t="str" cm="1">
        <f t="array" ref="N33">IF($F33="success",_xlfn.LET(_xlpm.run,$A33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O33" s="44" t="str" cm="1">
        <f t="array" ref="O33">IF($G33="success",_xlfn.LET(_xlpm.run,$A33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33" s="44" t="str">
        <f t="shared" si="6"/>
        <v/>
      </c>
      <c r="Q33" s="44" t="str">
        <f>_xlfn.LET(_xlpm.t,$A33,_xlpm.s,_xlfn.MINIFS(Event_logs!$E$2:$E$1588,Event_logs!$A$2:$A$1588,_xlpm.t,Event_logs!$H$2:$H$1588,"fine_align_complete"),_xlpm.e,_xlfn.MINIFS(Event_logs!$E$2:$E$1588,Event_logs!$A$2:$A$1588,_xlpm.t,Event_logs!$H$2:$H$1588,"docking sucessfull"),IF(AND(OR($I33="success",$I33="sucess"),_xlpm.s&gt;0,_xlpm.e&gt;_xlpm.s),(_xlpm.e-_xlpm.s)/1000,""))</f>
        <v/>
      </c>
      <c r="R33" s="48" t="str" cm="1">
        <f t="array" ref="R33">IF($D33="success",_xlfn.LET(_xlpm.d,_xlfn.XLOOKUP(1,(Event_logs!$A$2:$A$1588=$A33)*(Event_logs!$H$2:$H$1588="side_align_complete"),Event_logs!$I$2:$I$1588,""),IFERROR(_xlfn.NUMBERVALUE(_xlfn.TEXTBEFORE(_xlfn.TEXTAFTER(_xlpm.d,"error_x=")&amp;" "," "),".",","),"")),"")</f>
        <v/>
      </c>
      <c r="S33" s="48" t="str" cm="1">
        <f t="array" ref="S33">IF(AND($F33="success",$D33="success"),_xlfn.LET(_xlpm.d,_xlfn.XLOOKUP(1,(Event_logs!$A$2:$A$1588=$A33)*(Event_logs!$H$2:$H$1588="side_align_complete"),Event_logs!$I$2:$I$1588,""),IFERROR(_xlfn.NUMBERVALUE(_xlfn.TEXTBEFORE(_xlfn.TEXTAFTER(_xlpm.d,"error_x=")&amp;" "," "),".",","),"")),"")</f>
        <v/>
      </c>
      <c r="T33" s="47" t="str" cm="1">
        <f t="array" ref="T33">IF($D33="success",_xlfn.LET(_xlpm.d,_xlfn.XLOOKUP(1,(Event_logs!$A$2:$A$1588=$A33)*(Event_logs!$H$2:$H$1588="side_align_complete"),Event_logs!$I$2:$I$1588,""),IFERROR(_xlfn.NUMBERVALUE(_xlfn.TEXTBEFORE(_xlfn.TEXTAFTER(_xlpm.d,"yaw_error="),"deg"),".",","),"")),"")</f>
        <v/>
      </c>
      <c r="U33" s="44" t="str" cm="1">
        <f t="array" ref="U33">IF(AND($F33="success",D33="success"),_xlfn.LET(_xlpm.d,_xlfn.XLOOKUP(1,(Event_logs!$A$2:$A$1588=$A33)*(Event_logs!$H$2:$H$1588="side_align_complete"),Event_logs!$I$2:$I$1588,""),IFERROR(_xlfn.NUMBERVALUE(_xlfn.TEXTBEFORE(_xlfn.TEXTAFTER(_xlpm.d,"yaw_error="),"deg"),".",","),"")),"")</f>
        <v/>
      </c>
      <c r="V33" s="44"/>
      <c r="W33" s="44" t="str" cm="1">
        <f t="array" ref="W33">IF(OR($G33="success",$G33="sucess"),_xlfn.LET(_xlpm.d,_xlfn.XLOOKUP(1,(Event_logs!$A$2:$A$1588=$A33)*(Event_logs!$H$2:$H$1588="side_align_complete"),Event_logs!$I$2:$I$1588,""),IFERROR(_xlfn.NUMBERVALUE(_xlfn.TEXTBEFORE(_xlfn.TEXTAFTER(_xlpm.d,"yaw="),"deg"),".",","),"")),"")</f>
        <v/>
      </c>
      <c r="X33" t="str" cm="1">
        <f t="array" ref="X33">IF(OR($G33="success",$G33="sucess"),_xlfn.XLOOKUP(1,(Event_logs!$A$2:$A$1588=$A33)*(Event_logs!$H$2:$H$1588="side_align_complete"),Event_logs!$I$2:$I$1588,""),"")</f>
        <v/>
      </c>
      <c r="Z33" t="str" cm="1">
        <f t="array" ref="Z33">IF(OR($G33="success",$G33="sucess",$G33="unsuccessfull",$G33="partial"),_xlfn.LET(_xlpm.d,_xlfn.XLOOKUP(1,(Event_logs!$A$2:$A$1588=$A33)*(Event_logs!$H$2:$H$1588="fine_align_complete"),Event_logs!$I$2:$I$1588,""),IFERROR(_xlfn.NUMBERVALUE(_xlfn.TEXTBEFORE(_xlfn.TEXTAFTER(_xlpm.d,"error_x=")&amp;" "," "),".",","),"")),"")</f>
        <v/>
      </c>
      <c r="AA33" t="str" cm="1">
        <f t="array" ref="AA33">IF(AND($G33="success",$I33="success"),_xlfn.LET(_xlpm.d,_xlfn.XLOOKUP(1,(Event_logs!$A$2:$A$1588=$A33)*(Event_logs!$H$2:$H$1588="fine_align_complete"),Event_logs!$I$2:$I$1588,""),IFERROR(_xlfn.NUMBERVALUE(_xlfn.TEXTBEFORE(_xlfn.TEXTAFTER(_xlpm.d,"error_x=")&amp;" "," "),".",","),"")),"")</f>
        <v/>
      </c>
      <c r="AB33" t="str" cm="1">
        <f t="array" ref="AB33">IF($G33="success",_xlfn.LET(_xlpm.d,_xlfn.XLOOKUP(1,(Event_logs!$A$2:$A$1588=$A33)*(Event_logs!$H$2:$H$1588="fine_align_complete"),Event_logs!$I$2:$I$1588,""),IFERROR(_xlfn.NUMBERVALUE(_xlfn.TEXTBEFORE(_xlfn.TEXTAFTER(_xlpm.d,"error_y=")&amp;" "," "),".",","),"")),"")</f>
        <v/>
      </c>
      <c r="AC33" t="str" cm="1">
        <f t="array" ref="AC33">IF(AND($G33="success",$I33="success"),_xlfn.LET(_xlpm.d,_xlfn.XLOOKUP(1,(Event_logs!$A$2:$A$1588=$A33)*(Event_logs!$H$2:$H$1588="fine_align_complete"),Event_logs!$I$2:$I$1588,""),IFERROR(_xlfn.NUMBERVALUE(_xlfn.TEXTBEFORE(_xlfn.TEXTAFTER(_xlpm.d,"error_y=")&amp;" "," "),".",","),"")),"")</f>
        <v/>
      </c>
      <c r="AD33" t="str" cm="1">
        <f t="array" ref="AD33">IF(AND($G33="success",$I33="success"),_xlfn.LET(_xlpm.d,_xlfn.XLOOKUP(1,(Event_logs!$A$2:$A$1588=$A33)*(Event_logs!$H$2:$H$1588="fine_align_complete"),Event_logs!$I$2:$I$1588,""),IFERROR(_xlfn.NUMBERVALUE(_xlfn.TEXTBEFORE(_xlfn.TEXTAFTER(_xlpm.d,"yaw_error="),"deg"),".",","),"")),"")</f>
        <v/>
      </c>
      <c r="AE33" t="str" cm="1">
        <f t="array" ref="AE33">IF($G33="success",_xlfn.LET(_xlpm.d,_xlfn.XLOOKUP(1,(Event_logs!$A$2:$A$1588=$A33)*(Event_logs!$H$2:$H$1588="fine_align_complete"),Event_logs!$I$2:$I$1588,""),IFERROR(_xlfn.NUMBERVALUE(_xlfn.TEXTBEFORE(_xlfn.TEXTAFTER(_xlpm.d,"yaw_error="),"deg"),".",","),"")),"")</f>
        <v/>
      </c>
    </row>
    <row r="34" spans="1:31" x14ac:dyDescent="0.25">
      <c r="A34" s="41">
        <f>IF(Handnotes!$A$10="y",Handnotes!$B$10,"")</f>
        <v>9</v>
      </c>
      <c r="B34" s="41" t="str">
        <f>IF($A34="","",IFERROR(Handnotes!$C$10,""))</f>
        <v>Flipped 180 deg</v>
      </c>
      <c r="C34" t="str">
        <f>IF($A34="","",IFERROR(Handnotes!$D$10,""))</f>
        <v>Trash Trolley</v>
      </c>
      <c r="D34" s="41" t="str">
        <f>IF($A34="","",IFERROR(Handnotes!$E$10,""))</f>
        <v>success</v>
      </c>
      <c r="E34" s="41" t="str">
        <f>IF($A34="","",IFERROR(Handnotes!$G$10,""))</f>
        <v>correct</v>
      </c>
      <c r="F34" s="41" t="str">
        <f>IF($A34="","",IFERROR(Handnotes!$H$10,""))</f>
        <v>success</v>
      </c>
      <c r="G34" s="41" t="str">
        <f>IF($A34="","",IFERROR(Handnotes!$J$10,""))</f>
        <v>success</v>
      </c>
      <c r="H34" s="41" t="str">
        <f>IF($A34="","",IFERROR(Handnotes!$K$10,""))</f>
        <v>NO</v>
      </c>
      <c r="I34" s="41" t="str">
        <f>IF($A34="","",IFERROR(Handnotes!$M$10,""))</f>
        <v>success</v>
      </c>
      <c r="J34" s="41" t="str">
        <f>IF($A34="","",IFERROR(Handnotes!$O$10,""))</f>
        <v>success</v>
      </c>
      <c r="K34" s="41" t="str">
        <f>IF($A34="","",IFERROR(Handnotes!$P$10,""))</f>
        <v>success</v>
      </c>
      <c r="L34" s="41" t="str">
        <f>IF($A34="","",IFERROR(Handnotes!$Q$10,""))</f>
        <v>success</v>
      </c>
      <c r="M34" s="44" cm="1">
        <f t="array" ref="M34">IF($D34="success",_xlfn.LET(_xlpm.run,$A34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21.879000000000001</v>
      </c>
      <c r="N34" s="44" cm="1">
        <f t="array" ref="N34">IF($F34="success",_xlfn.LET(_xlpm.run,$A34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9.4190000000000005</v>
      </c>
      <c r="O34" s="44" cm="1">
        <f t="array" ref="O34">IF($G34="success",_xlfn.LET(_xlpm.run,$A34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6</v>
      </c>
      <c r="P34" s="44">
        <f t="shared" si="6"/>
        <v>37.298000000000002</v>
      </c>
      <c r="Q34" s="44">
        <f>_xlfn.LET(_xlpm.t,$A34,_xlpm.s,_xlfn.MINIFS(Event_logs!$E$2:$E$1588,Event_logs!$A$2:$A$1588,_xlpm.t,Event_logs!$H$2:$H$1588,"fine_align_complete"),_xlpm.e,_xlfn.MINIFS(Event_logs!$E$2:$E$1588,Event_logs!$A$2:$A$1588,_xlpm.t,Event_logs!$H$2:$H$1588,"docking sucessfull"),IF(AND(OR($I34="success",$I34="sucess"),_xlpm.s&gt;0,_xlpm.e&gt;_xlpm.s),(_xlpm.e-_xlpm.s)/1000,""))</f>
        <v>61.2</v>
      </c>
      <c r="R34" s="48" cm="1">
        <f t="array" ref="R34">IF($D34="success",_xlfn.LET(_xlpm.d,_xlfn.XLOOKUP(1,(Event_logs!$A$2:$A$1588=$A34)*(Event_logs!$H$2:$H$1588="side_align_complete"),Event_logs!$I$2:$I$1588,""),IFERROR(_xlfn.NUMBERVALUE(_xlfn.TEXTBEFORE(_xlfn.TEXTAFTER(_xlpm.d,"error_x=")&amp;" "," "),".",","),"")),"")</f>
        <v>-4.5999999999999999E-3</v>
      </c>
      <c r="S34" s="48" cm="1">
        <f t="array" ref="S34">IF(AND($F34="success",$D34="success"),_xlfn.LET(_xlpm.d,_xlfn.XLOOKUP(1,(Event_logs!$A$2:$A$1588=$A34)*(Event_logs!$H$2:$H$1588="side_align_complete"),Event_logs!$I$2:$I$1588,""),IFERROR(_xlfn.NUMBERVALUE(_xlfn.TEXTBEFORE(_xlfn.TEXTAFTER(_xlpm.d,"error_x=")&amp;" "," "),".",","),"")),"")</f>
        <v>-4.5999999999999999E-3</v>
      </c>
      <c r="T34" s="47" cm="1">
        <f t="array" ref="T34">IF($D34="success",_xlfn.LET(_xlpm.d,_xlfn.XLOOKUP(1,(Event_logs!$A$2:$A$1588=$A34)*(Event_logs!$H$2:$H$1588="side_align_complete"),Event_logs!$I$2:$I$1588,""),IFERROR(_xlfn.NUMBERVALUE(_xlfn.TEXTBEFORE(_xlfn.TEXTAFTER(_xlpm.d,"yaw_error="),"deg"),".",","),"")),"")</f>
        <v>0.17</v>
      </c>
      <c r="U34" s="44" cm="1">
        <f t="array" ref="U34">IF(AND($F34="success",D34="success"),_xlfn.LET(_xlpm.d,_xlfn.XLOOKUP(1,(Event_logs!$A$2:$A$1588=$A34)*(Event_logs!$H$2:$H$1588="side_align_complete"),Event_logs!$I$2:$I$1588,""),IFERROR(_xlfn.NUMBERVALUE(_xlfn.TEXTBEFORE(_xlfn.TEXTAFTER(_xlpm.d,"yaw_error="),"deg"),".",","),"")),"")</f>
        <v>0.17</v>
      </c>
      <c r="V34" s="44"/>
      <c r="W34" s="44" cm="1">
        <f t="array" ref="W34">IF(OR($G34="success",$G34="sucess"),_xlfn.LET(_xlpm.d,_xlfn.XLOOKUP(1,(Event_logs!$A$2:$A$1588=$A34)*(Event_logs!$H$2:$H$1588="side_align_complete"),Event_logs!$I$2:$I$1588,""),IFERROR(_xlfn.NUMBERVALUE(_xlfn.TEXTBEFORE(_xlfn.TEXTAFTER(_xlpm.d,"yaw="),"deg"),".",","),"")),"")</f>
        <v>-179.83</v>
      </c>
      <c r="X34" t="str" cm="1">
        <f t="array" ref="X34">IF(OR($G34="success",$G34="sucess"),_xlfn.XLOOKUP(1,(Event_logs!$A$2:$A$1588=$A34)*(Event_logs!$H$2:$H$1588="side_align_complete"),Event_logs!$I$2:$I$1588,""),"")</f>
        <v>side_align_left_done | final camera=left ids=[17, 18, 19, 20] target_pair=[18, 19] target_x=+0.3514 target_y=+0.2723 center_x=+0.3595 center_y=+0.5781 yaw=-179.83deg error_x=-0.0046 yaw_error=+0.17deg tolerance_x=0.0060 tolerance_yaw=2.00deg</v>
      </c>
      <c r="Z34" cm="1">
        <f t="array" ref="Z34">IF(OR($G34="success",$G34="sucess",$G34="unsuccessfull",$G34="partial"),_xlfn.LET(_xlpm.d,_xlfn.XLOOKUP(1,(Event_logs!$A$2:$A$1588=$A34)*(Event_logs!$H$2:$H$1588="fine_align_complete"),Event_logs!$I$2:$I$1588,""),IFERROR(_xlfn.NUMBERVALUE(_xlfn.TEXTBEFORE(_xlfn.TEXTAFTER(_xlpm.d,"error_x=")&amp;" "," "),".",","),"")),"")</f>
        <v>-5.0000000000000001E-4</v>
      </c>
      <c r="AA34" cm="1">
        <f t="array" ref="AA34">IF(AND($G34="success",$I34="success"),_xlfn.LET(_xlpm.d,_xlfn.XLOOKUP(1,(Event_logs!$A$2:$A$1588=$A34)*(Event_logs!$H$2:$H$1588="fine_align_complete"),Event_logs!$I$2:$I$1588,""),IFERROR(_xlfn.NUMBERVALUE(_xlfn.TEXTBEFORE(_xlfn.TEXTAFTER(_xlpm.d,"error_x=")&amp;" "," "),".",","),"")),"")</f>
        <v>-5.0000000000000001E-4</v>
      </c>
      <c r="AB34" cm="1">
        <f t="array" ref="AB34">IF($G34="success",_xlfn.LET(_xlpm.d,_xlfn.XLOOKUP(1,(Event_logs!$A$2:$A$1588=$A34)*(Event_logs!$H$2:$H$1588="fine_align_complete"),Event_logs!$I$2:$I$1588,""),IFERROR(_xlfn.NUMBERVALUE(_xlfn.TEXTBEFORE(_xlfn.TEXTAFTER(_xlpm.d,"error_y=")&amp;" "," "),".",","),"")),"")</f>
        <v>8.9999999999999993E-3</v>
      </c>
      <c r="AC34" cm="1">
        <f t="array" ref="AC34">IF(AND($G34="success",$I34="success"),_xlfn.LET(_xlpm.d,_xlfn.XLOOKUP(1,(Event_logs!$A$2:$A$1588=$A34)*(Event_logs!$H$2:$H$1588="fine_align_complete"),Event_logs!$I$2:$I$1588,""),IFERROR(_xlfn.NUMBERVALUE(_xlfn.TEXTBEFORE(_xlfn.TEXTAFTER(_xlpm.d,"error_y=")&amp;" "," "),".",","),"")),"")</f>
        <v>8.9999999999999993E-3</v>
      </c>
      <c r="AD34" cm="1">
        <f t="array" ref="AD34">IF(AND($G34="success",$I34="success"),_xlfn.LET(_xlpm.d,_xlfn.XLOOKUP(1,(Event_logs!$A$2:$A$1588=$A34)*(Event_logs!$H$2:$H$1588="fine_align_complete"),Event_logs!$I$2:$I$1588,""),IFERROR(_xlfn.NUMBERVALUE(_xlfn.TEXTBEFORE(_xlfn.TEXTAFTER(_xlpm.d,"yaw_error="),"deg"),".",","),"")),"")</f>
        <v>-0.64</v>
      </c>
      <c r="AE34" cm="1">
        <f t="array" ref="AE34">IF($G34="success",_xlfn.LET(_xlpm.d,_xlfn.XLOOKUP(1,(Event_logs!$A$2:$A$1588=$A34)*(Event_logs!$H$2:$H$1588="fine_align_complete"),Event_logs!$I$2:$I$1588,""),IFERROR(_xlfn.NUMBERVALUE(_xlfn.TEXTBEFORE(_xlfn.TEXTAFTER(_xlpm.d,"yaw_error="),"deg"),".",","),"")),"")</f>
        <v>-0.64</v>
      </c>
    </row>
    <row r="35" spans="1:31" x14ac:dyDescent="0.25">
      <c r="A35" s="41" t="str">
        <f>IF(Handnotes!$A$11="y",Handnotes!$B$11,"")</f>
        <v/>
      </c>
      <c r="B35" s="41" t="str">
        <f>IF($A35="","",IFERROR(Handnotes!$C$11,""))</f>
        <v/>
      </c>
      <c r="C35" t="str">
        <f>IF($A35="","",IFERROR(Handnotes!$D$11,""))</f>
        <v/>
      </c>
      <c r="D35" s="41" t="str">
        <f>IF($A35="","",IFERROR(Handnotes!$E$11,""))</f>
        <v/>
      </c>
      <c r="E35" s="41" t="str">
        <f>IF($A35="","",IFERROR(Handnotes!$G$11,""))</f>
        <v/>
      </c>
      <c r="F35" s="41" t="str">
        <f>IF($A35="","",IFERROR(Handnotes!$H$11,""))</f>
        <v/>
      </c>
      <c r="G35" s="41" t="str">
        <f>IF($A35="","",IFERROR(Handnotes!$J$11,""))</f>
        <v/>
      </c>
      <c r="H35" s="41" t="str">
        <f>IF($A35="","",IFERROR(Handnotes!$K$11,""))</f>
        <v/>
      </c>
      <c r="I35" s="41" t="str">
        <f>IF($A35="","",IFERROR(Handnotes!$M$11,""))</f>
        <v/>
      </c>
      <c r="J35" s="41" t="str">
        <f>IF($A35="","",IFERROR(Handnotes!$O$11,""))</f>
        <v/>
      </c>
      <c r="K35" s="41" t="str">
        <f>IF($A35="","",IFERROR(Handnotes!$P$11,""))</f>
        <v/>
      </c>
      <c r="L35" s="41" t="str">
        <f>IF($A35="","",IFERROR(Handnotes!$Q$11,""))</f>
        <v/>
      </c>
      <c r="M35" s="44" t="str" cm="1">
        <f t="array" ref="M35">IF($D35="success",_xlfn.LET(_xlpm.run,$A35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35" s="44" t="str" cm="1">
        <f t="array" ref="N35">IF($F35="success",_xlfn.LET(_xlpm.run,$A35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O35" s="44" t="str" cm="1">
        <f t="array" ref="O35">IF($G35="success",_xlfn.LET(_xlpm.run,$A35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35" s="44" t="str">
        <f t="shared" si="6"/>
        <v/>
      </c>
      <c r="Q35" s="44" t="str">
        <f>_xlfn.LET(_xlpm.t,$A35,_xlpm.s,_xlfn.MINIFS(Event_logs!$E$2:$E$1588,Event_logs!$A$2:$A$1588,_xlpm.t,Event_logs!$H$2:$H$1588,"fine_align_complete"),_xlpm.e,_xlfn.MINIFS(Event_logs!$E$2:$E$1588,Event_logs!$A$2:$A$1588,_xlpm.t,Event_logs!$H$2:$H$1588,"docking sucessfull"),IF(AND(OR($I35="success",$I35="sucess"),_xlpm.s&gt;0,_xlpm.e&gt;_xlpm.s),(_xlpm.e-_xlpm.s)/1000,""))</f>
        <v/>
      </c>
      <c r="R35" s="48" t="str" cm="1">
        <f t="array" ref="R35">IF($D35="success",_xlfn.LET(_xlpm.d,_xlfn.XLOOKUP(1,(Event_logs!$A$2:$A$1588=$A35)*(Event_logs!$H$2:$H$1588="side_align_complete"),Event_logs!$I$2:$I$1588,""),IFERROR(_xlfn.NUMBERVALUE(_xlfn.TEXTBEFORE(_xlfn.TEXTAFTER(_xlpm.d,"error_x=")&amp;" "," "),".",","),"")),"")</f>
        <v/>
      </c>
      <c r="S35" s="48" t="str" cm="1">
        <f t="array" ref="S35">IF(AND($F35="success",$D35="success"),_xlfn.LET(_xlpm.d,_xlfn.XLOOKUP(1,(Event_logs!$A$2:$A$1588=$A35)*(Event_logs!$H$2:$H$1588="side_align_complete"),Event_logs!$I$2:$I$1588,""),IFERROR(_xlfn.NUMBERVALUE(_xlfn.TEXTBEFORE(_xlfn.TEXTAFTER(_xlpm.d,"error_x=")&amp;" "," "),".",","),"")),"")</f>
        <v/>
      </c>
      <c r="T35" s="47" t="str" cm="1">
        <f t="array" ref="T35">IF($D35="success",_xlfn.LET(_xlpm.d,_xlfn.XLOOKUP(1,(Event_logs!$A$2:$A$1588=$A35)*(Event_logs!$H$2:$H$1588="side_align_complete"),Event_logs!$I$2:$I$1588,""),IFERROR(_xlfn.NUMBERVALUE(_xlfn.TEXTBEFORE(_xlfn.TEXTAFTER(_xlpm.d,"yaw_error="),"deg"),".",","),"")),"")</f>
        <v/>
      </c>
      <c r="U35" s="44" t="str" cm="1">
        <f t="array" ref="U35">IF(AND($F35="success",D35="success"),_xlfn.LET(_xlpm.d,_xlfn.XLOOKUP(1,(Event_logs!$A$2:$A$1588=$A35)*(Event_logs!$H$2:$H$1588="side_align_complete"),Event_logs!$I$2:$I$1588,""),IFERROR(_xlfn.NUMBERVALUE(_xlfn.TEXTBEFORE(_xlfn.TEXTAFTER(_xlpm.d,"yaw_error="),"deg"),".",","),"")),"")</f>
        <v/>
      </c>
      <c r="V35" s="44"/>
      <c r="W35" s="44" t="str" cm="1">
        <f t="array" ref="W35">IF(OR($G35="success",$G35="sucess"),_xlfn.LET(_xlpm.d,_xlfn.XLOOKUP(1,(Event_logs!$A$2:$A$1588=$A35)*(Event_logs!$H$2:$H$1588="side_align_complete"),Event_logs!$I$2:$I$1588,""),IFERROR(_xlfn.NUMBERVALUE(_xlfn.TEXTBEFORE(_xlfn.TEXTAFTER(_xlpm.d,"yaw="),"deg"),".",","),"")),"")</f>
        <v/>
      </c>
      <c r="X35" t="str" cm="1">
        <f t="array" ref="X35">IF(OR($G35="success",$G35="sucess"),_xlfn.XLOOKUP(1,(Event_logs!$A$2:$A$1588=$A35)*(Event_logs!$H$2:$H$1588="side_align_complete"),Event_logs!$I$2:$I$1588,""),"")</f>
        <v/>
      </c>
      <c r="Z35" t="str" cm="1">
        <f t="array" ref="Z35">IF(OR($G35="success",$G35="sucess",$G35="unsuccessfull",$G35="partial"),_xlfn.LET(_xlpm.d,_xlfn.XLOOKUP(1,(Event_logs!$A$2:$A$1588=$A35)*(Event_logs!$H$2:$H$1588="fine_align_complete"),Event_logs!$I$2:$I$1588,""),IFERROR(_xlfn.NUMBERVALUE(_xlfn.TEXTBEFORE(_xlfn.TEXTAFTER(_xlpm.d,"error_x=")&amp;" "," "),".",","),"")),"")</f>
        <v/>
      </c>
      <c r="AA35" t="str" cm="1">
        <f t="array" ref="AA35">IF(AND($G35="success",$I35="success"),_xlfn.LET(_xlpm.d,_xlfn.XLOOKUP(1,(Event_logs!$A$2:$A$1588=$A35)*(Event_logs!$H$2:$H$1588="fine_align_complete"),Event_logs!$I$2:$I$1588,""),IFERROR(_xlfn.NUMBERVALUE(_xlfn.TEXTBEFORE(_xlfn.TEXTAFTER(_xlpm.d,"error_x=")&amp;" "," "),".",","),"")),"")</f>
        <v/>
      </c>
      <c r="AB35" t="str" cm="1">
        <f t="array" ref="AB35">IF($G35="success",_xlfn.LET(_xlpm.d,_xlfn.XLOOKUP(1,(Event_logs!$A$2:$A$1588=$A35)*(Event_logs!$H$2:$H$1588="fine_align_complete"),Event_logs!$I$2:$I$1588,""),IFERROR(_xlfn.NUMBERVALUE(_xlfn.TEXTBEFORE(_xlfn.TEXTAFTER(_xlpm.d,"error_y=")&amp;" "," "),".",","),"")),"")</f>
        <v/>
      </c>
      <c r="AC35" t="str" cm="1">
        <f t="array" ref="AC35">IF(AND($G35="success",$I35="success"),_xlfn.LET(_xlpm.d,_xlfn.XLOOKUP(1,(Event_logs!$A$2:$A$1588=$A35)*(Event_logs!$H$2:$H$1588="fine_align_complete"),Event_logs!$I$2:$I$1588,""),IFERROR(_xlfn.NUMBERVALUE(_xlfn.TEXTBEFORE(_xlfn.TEXTAFTER(_xlpm.d,"error_y=")&amp;" "," "),".",","),"")),"")</f>
        <v/>
      </c>
      <c r="AD35" t="str" cm="1">
        <f t="array" ref="AD35">IF(AND($G35="success",$I35="success"),_xlfn.LET(_xlpm.d,_xlfn.XLOOKUP(1,(Event_logs!$A$2:$A$1588=$A35)*(Event_logs!$H$2:$H$1588="fine_align_complete"),Event_logs!$I$2:$I$1588,""),IFERROR(_xlfn.NUMBERVALUE(_xlfn.TEXTBEFORE(_xlfn.TEXTAFTER(_xlpm.d,"yaw_error="),"deg"),".",","),"")),"")</f>
        <v/>
      </c>
      <c r="AE35" t="str" cm="1">
        <f t="array" ref="AE35">IF($G35="success",_xlfn.LET(_xlpm.d,_xlfn.XLOOKUP(1,(Event_logs!$A$2:$A$1588=$A35)*(Event_logs!$H$2:$H$1588="fine_align_complete"),Event_logs!$I$2:$I$1588,""),IFERROR(_xlfn.NUMBERVALUE(_xlfn.TEXTBEFORE(_xlfn.TEXTAFTER(_xlpm.d,"yaw_error="),"deg"),".",","),"")),"")</f>
        <v/>
      </c>
    </row>
    <row r="36" spans="1:31" x14ac:dyDescent="0.25">
      <c r="A36" s="41" t="str">
        <f>IF(Handnotes!$A$12="y",Handnotes!$B$12,"")</f>
        <v/>
      </c>
      <c r="B36" s="41" t="str">
        <f>IF($A36="","",IFERROR(Handnotes!$C$12,""))</f>
        <v/>
      </c>
      <c r="C36" t="str">
        <f>IF($A36="","",IFERROR(Handnotes!$D$12,""))</f>
        <v/>
      </c>
      <c r="D36" s="41" t="str">
        <f>IF($A36="","",IFERROR(Handnotes!$E$12,""))</f>
        <v/>
      </c>
      <c r="E36" s="41" t="str">
        <f>IF($A36="","",IFERROR(Handnotes!$G$12,""))</f>
        <v/>
      </c>
      <c r="F36" s="41" t="str">
        <f>IF($A36="","",IFERROR(Handnotes!$H$12,""))</f>
        <v/>
      </c>
      <c r="G36" s="41" t="str">
        <f>IF($A36="","",IFERROR(Handnotes!$J$12,""))</f>
        <v/>
      </c>
      <c r="H36" s="41" t="str">
        <f>IF($A36="","",IFERROR(Handnotes!$K$12,""))</f>
        <v/>
      </c>
      <c r="I36" s="41" t="str">
        <f>IF($A36="","",IFERROR(Handnotes!$M$12,""))</f>
        <v/>
      </c>
      <c r="J36" s="41" t="str">
        <f>IF($A36="","",IFERROR(Handnotes!$O$12,""))</f>
        <v/>
      </c>
      <c r="K36" s="41" t="str">
        <f>IF($A36="","",IFERROR(Handnotes!$P$12,""))</f>
        <v/>
      </c>
      <c r="L36" s="41" t="str">
        <f>IF($A36="","",IFERROR(Handnotes!$Q$12,""))</f>
        <v/>
      </c>
      <c r="M36" s="44" t="str" cm="1">
        <f t="array" ref="M36">IF($D36="success",_xlfn.LET(_xlpm.run,$A36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36" s="44" t="str" cm="1">
        <f t="array" ref="N36">IF($F36="success",_xlfn.LET(_xlpm.run,$A36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O36" s="44" t="str" cm="1">
        <f t="array" ref="O36">IF($G36="success",_xlfn.LET(_xlpm.run,$A36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36" s="44" t="str">
        <f t="shared" si="6"/>
        <v/>
      </c>
      <c r="Q36" s="44" t="str">
        <f>_xlfn.LET(_xlpm.t,$A36,_xlpm.s,_xlfn.MINIFS(Event_logs!$E$2:$E$1588,Event_logs!$A$2:$A$1588,_xlpm.t,Event_logs!$H$2:$H$1588,"fine_align_complete"),_xlpm.e,_xlfn.MINIFS(Event_logs!$E$2:$E$1588,Event_logs!$A$2:$A$1588,_xlpm.t,Event_logs!$H$2:$H$1588,"docking sucessfull"),IF(AND(OR($I36="success",$I36="sucess"),_xlpm.s&gt;0,_xlpm.e&gt;_xlpm.s),(_xlpm.e-_xlpm.s)/1000,""))</f>
        <v/>
      </c>
      <c r="R36" s="48" t="str" cm="1">
        <f t="array" ref="R36">IF($D36="success",_xlfn.LET(_xlpm.d,_xlfn.XLOOKUP(1,(Event_logs!$A$2:$A$1588=$A36)*(Event_logs!$H$2:$H$1588="side_align_complete"),Event_logs!$I$2:$I$1588,""),IFERROR(_xlfn.NUMBERVALUE(_xlfn.TEXTBEFORE(_xlfn.TEXTAFTER(_xlpm.d,"error_x=")&amp;" "," "),".",","),"")),"")</f>
        <v/>
      </c>
      <c r="S36" s="48" t="str" cm="1">
        <f t="array" ref="S36">IF(AND($F36="success",$D36="success"),_xlfn.LET(_xlpm.d,_xlfn.XLOOKUP(1,(Event_logs!$A$2:$A$1588=$A36)*(Event_logs!$H$2:$H$1588="side_align_complete"),Event_logs!$I$2:$I$1588,""),IFERROR(_xlfn.NUMBERVALUE(_xlfn.TEXTBEFORE(_xlfn.TEXTAFTER(_xlpm.d,"error_x=")&amp;" "," "),".",","),"")),"")</f>
        <v/>
      </c>
      <c r="T36" s="47" t="str" cm="1">
        <f t="array" ref="T36">IF($D36="success",_xlfn.LET(_xlpm.d,_xlfn.XLOOKUP(1,(Event_logs!$A$2:$A$1588=$A36)*(Event_logs!$H$2:$H$1588="side_align_complete"),Event_logs!$I$2:$I$1588,""),IFERROR(_xlfn.NUMBERVALUE(_xlfn.TEXTBEFORE(_xlfn.TEXTAFTER(_xlpm.d,"yaw_error="),"deg"),".",","),"")),"")</f>
        <v/>
      </c>
      <c r="U36" s="44" t="str" cm="1">
        <f t="array" ref="U36">IF(AND($F36="success",D36="success"),_xlfn.LET(_xlpm.d,_xlfn.XLOOKUP(1,(Event_logs!$A$2:$A$1588=$A36)*(Event_logs!$H$2:$H$1588="side_align_complete"),Event_logs!$I$2:$I$1588,""),IFERROR(_xlfn.NUMBERVALUE(_xlfn.TEXTBEFORE(_xlfn.TEXTAFTER(_xlpm.d,"yaw_error="),"deg"),".",","),"")),"")</f>
        <v/>
      </c>
      <c r="V36" s="44"/>
      <c r="W36" s="44" t="str" cm="1">
        <f t="array" ref="W36">IF(OR($G36="success",$G36="sucess"),_xlfn.LET(_xlpm.d,_xlfn.XLOOKUP(1,(Event_logs!$A$2:$A$1588=$A36)*(Event_logs!$H$2:$H$1588="side_align_complete"),Event_logs!$I$2:$I$1588,""),IFERROR(_xlfn.NUMBERVALUE(_xlfn.TEXTBEFORE(_xlfn.TEXTAFTER(_xlpm.d,"yaw="),"deg"),".",","),"")),"")</f>
        <v/>
      </c>
      <c r="X36" t="str" cm="1">
        <f t="array" ref="X36">IF(OR($G36="success",$G36="sucess"),_xlfn.XLOOKUP(1,(Event_logs!$A$2:$A$1588=$A36)*(Event_logs!$H$2:$H$1588="side_align_complete"),Event_logs!$I$2:$I$1588,""),"")</f>
        <v/>
      </c>
      <c r="Z36" t="str" cm="1">
        <f t="array" ref="Z36">IF(OR($G36="success",$G36="sucess",$G36="unsuccessfull",$G36="partial"),_xlfn.LET(_xlpm.d,_xlfn.XLOOKUP(1,(Event_logs!$A$2:$A$1588=$A36)*(Event_logs!$H$2:$H$1588="fine_align_complete"),Event_logs!$I$2:$I$1588,""),IFERROR(_xlfn.NUMBERVALUE(_xlfn.TEXTBEFORE(_xlfn.TEXTAFTER(_xlpm.d,"error_x=")&amp;" "," "),".",","),"")),"")</f>
        <v/>
      </c>
      <c r="AA36" t="str" cm="1">
        <f t="array" ref="AA36">IF(AND($G36="success",$I36="success"),_xlfn.LET(_xlpm.d,_xlfn.XLOOKUP(1,(Event_logs!$A$2:$A$1588=$A36)*(Event_logs!$H$2:$H$1588="fine_align_complete"),Event_logs!$I$2:$I$1588,""),IFERROR(_xlfn.NUMBERVALUE(_xlfn.TEXTBEFORE(_xlfn.TEXTAFTER(_xlpm.d,"error_x=")&amp;" "," "),".",","),"")),"")</f>
        <v/>
      </c>
      <c r="AB36" t="str" cm="1">
        <f t="array" ref="AB36">IF($G36="success",_xlfn.LET(_xlpm.d,_xlfn.XLOOKUP(1,(Event_logs!$A$2:$A$1588=$A36)*(Event_logs!$H$2:$H$1588="fine_align_complete"),Event_logs!$I$2:$I$1588,""),IFERROR(_xlfn.NUMBERVALUE(_xlfn.TEXTBEFORE(_xlfn.TEXTAFTER(_xlpm.d,"error_y=")&amp;" "," "),".",","),"")),"")</f>
        <v/>
      </c>
      <c r="AC36" t="str" cm="1">
        <f t="array" ref="AC36">IF(AND($G36="success",$I36="success"),_xlfn.LET(_xlpm.d,_xlfn.XLOOKUP(1,(Event_logs!$A$2:$A$1588=$A36)*(Event_logs!$H$2:$H$1588="fine_align_complete"),Event_logs!$I$2:$I$1588,""),IFERROR(_xlfn.NUMBERVALUE(_xlfn.TEXTBEFORE(_xlfn.TEXTAFTER(_xlpm.d,"error_y=")&amp;" "," "),".",","),"")),"")</f>
        <v/>
      </c>
      <c r="AD36" t="str" cm="1">
        <f t="array" ref="AD36">IF(AND($G36="success",$I36="success"),_xlfn.LET(_xlpm.d,_xlfn.XLOOKUP(1,(Event_logs!$A$2:$A$1588=$A36)*(Event_logs!$H$2:$H$1588="fine_align_complete"),Event_logs!$I$2:$I$1588,""),IFERROR(_xlfn.NUMBERVALUE(_xlfn.TEXTBEFORE(_xlfn.TEXTAFTER(_xlpm.d,"yaw_error="),"deg"),".",","),"")),"")</f>
        <v/>
      </c>
      <c r="AE36" t="str" cm="1">
        <f t="array" ref="AE36">IF($G36="success",_xlfn.LET(_xlpm.d,_xlfn.XLOOKUP(1,(Event_logs!$A$2:$A$1588=$A36)*(Event_logs!$H$2:$H$1588="fine_align_complete"),Event_logs!$I$2:$I$1588,""),IFERROR(_xlfn.NUMBERVALUE(_xlfn.TEXTBEFORE(_xlfn.TEXTAFTER(_xlpm.d,"yaw_error="),"deg"),".",","),"")),"")</f>
        <v/>
      </c>
    </row>
    <row r="37" spans="1:31" x14ac:dyDescent="0.25">
      <c r="A37" s="41">
        <f>IF(Handnotes!$A$13="y",Handnotes!$B$13,"")</f>
        <v>12</v>
      </c>
      <c r="B37" s="41" t="str">
        <f>IF($A37="","",IFERROR(Handnotes!$C$13,""))</f>
        <v>Normal</v>
      </c>
      <c r="C37" t="str">
        <f>IF($A37="","",IFERROR(Handnotes!$D$13,""))</f>
        <v>Trash Trolley</v>
      </c>
      <c r="D37" s="41" t="str">
        <f>IF($A37="","",IFERROR(Handnotes!$E$13,""))</f>
        <v>partial</v>
      </c>
      <c r="E37" s="41" t="str">
        <f>IF($A37="","",IFERROR(Handnotes!$G$13,""))</f>
        <v>correct</v>
      </c>
      <c r="F37" s="41" t="str">
        <f>IF($A37="","",IFERROR(Handnotes!$H$13,""))</f>
        <v>success</v>
      </c>
      <c r="G37" s="41" t="str">
        <f>IF($A37="","",IFERROR(Handnotes!$J$13,""))</f>
        <v>success</v>
      </c>
      <c r="H37" s="41" t="str">
        <f>IF($A37="","",IFERROR(Handnotes!$K$13,""))</f>
        <v>NO</v>
      </c>
      <c r="I37" s="41" t="str">
        <f>IF($A37="","",IFERROR(Handnotes!$M$13,""))</f>
        <v>success</v>
      </c>
      <c r="J37" s="41" t="str">
        <f>IF($A37="","",IFERROR(Handnotes!$O$13,""))</f>
        <v>success</v>
      </c>
      <c r="K37" s="41" t="str">
        <f>IF($A37="","",IFERROR(Handnotes!$P$13,""))</f>
        <v>success</v>
      </c>
      <c r="L37" s="41" t="str">
        <f>IF($A37="","",IFERROR(Handnotes!$Q$13,""))</f>
        <v>success</v>
      </c>
      <c r="M37" s="44" t="str" cm="1">
        <f t="array" ref="M37">IF($D37="success",_xlfn.LET(_xlpm.run,$A37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37" s="44" cm="1">
        <f t="array" ref="N37">IF($F37="success",_xlfn.LET(_xlpm.run,$A37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9.5009999999999994</v>
      </c>
      <c r="O37" s="44" cm="1">
        <f t="array" ref="O37">IF($G37="success",_xlfn.LET(_xlpm.run,$A37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4.8380000000000001</v>
      </c>
      <c r="P37" s="44" t="str">
        <f t="shared" si="6"/>
        <v/>
      </c>
      <c r="Q37" s="44">
        <f>_xlfn.LET(_xlpm.t,$A37,_xlpm.s,_xlfn.MINIFS(Event_logs!$E$2:$E$1588,Event_logs!$A$2:$A$1588,_xlpm.t,Event_logs!$H$2:$H$1588,"fine_align_complete"),_xlpm.e,_xlfn.MINIFS(Event_logs!$E$2:$E$1588,Event_logs!$A$2:$A$1588,_xlpm.t,Event_logs!$H$2:$H$1588,"docking sucessfull"),IF(AND(OR($I37="success",$I37="sucess"),_xlpm.s&gt;0,_xlpm.e&gt;_xlpm.s),(_xlpm.e-_xlpm.s)/1000,""))</f>
        <v>37.817999999999998</v>
      </c>
      <c r="R37" s="48" t="str" cm="1">
        <f t="array" ref="R37">IF($D37="success",_xlfn.LET(_xlpm.d,_xlfn.XLOOKUP(1,(Event_logs!$A$2:$A$1588=$A37)*(Event_logs!$H$2:$H$1588="side_align_complete"),Event_logs!$I$2:$I$1588,""),IFERROR(_xlfn.NUMBERVALUE(_xlfn.TEXTBEFORE(_xlfn.TEXTAFTER(_xlpm.d,"error_x=")&amp;" "," "),".",","),"")),"")</f>
        <v/>
      </c>
      <c r="S37" s="48" t="str" cm="1">
        <f t="array" ref="S37">IF(AND($F37="success",$D37="success"),_xlfn.LET(_xlpm.d,_xlfn.XLOOKUP(1,(Event_logs!$A$2:$A$1588=$A37)*(Event_logs!$H$2:$H$1588="side_align_complete"),Event_logs!$I$2:$I$1588,""),IFERROR(_xlfn.NUMBERVALUE(_xlfn.TEXTBEFORE(_xlfn.TEXTAFTER(_xlpm.d,"error_x=")&amp;" "," "),".",","),"")),"")</f>
        <v/>
      </c>
      <c r="T37" s="47" t="str" cm="1">
        <f t="array" ref="T37">IF($D37="success",_xlfn.LET(_xlpm.d,_xlfn.XLOOKUP(1,(Event_logs!$A$2:$A$1588=$A37)*(Event_logs!$H$2:$H$1588="side_align_complete"),Event_logs!$I$2:$I$1588,""),IFERROR(_xlfn.NUMBERVALUE(_xlfn.TEXTBEFORE(_xlfn.TEXTAFTER(_xlpm.d,"yaw_error="),"deg"),".",","),"")),"")</f>
        <v/>
      </c>
      <c r="U37" s="44" t="str" cm="1">
        <f t="array" ref="U37">IF(AND($F37="success",D37="success"),_xlfn.LET(_xlpm.d,_xlfn.XLOOKUP(1,(Event_logs!$A$2:$A$1588=$A37)*(Event_logs!$H$2:$H$1588="side_align_complete"),Event_logs!$I$2:$I$1588,""),IFERROR(_xlfn.NUMBERVALUE(_xlfn.TEXTBEFORE(_xlfn.TEXTAFTER(_xlpm.d,"yaw_error="),"deg"),".",","),"")),"")</f>
        <v/>
      </c>
      <c r="V37" s="44"/>
      <c r="W37" s="44" cm="1">
        <f t="array" ref="W37">IF(OR($G37="success",$G37="sucess"),_xlfn.LET(_xlpm.d,_xlfn.XLOOKUP(1,(Event_logs!$A$2:$A$1588=$A37)*(Event_logs!$H$2:$H$1588="side_align_complete"),Event_logs!$I$2:$I$1588,""),IFERROR(_xlfn.NUMBERVALUE(_xlfn.TEXTBEFORE(_xlfn.TEXTAFTER(_xlpm.d,"yaw="),"deg"),".",","),"")),"")</f>
        <v>179.88</v>
      </c>
      <c r="X37" t="str" cm="1">
        <f t="array" ref="X37">IF(OR($G37="success",$G37="sucess"),_xlfn.XLOOKUP(1,(Event_logs!$A$2:$A$1588=$A37)*(Event_logs!$H$2:$H$1588="side_align_complete"),Event_logs!$I$2:$I$1588,""),"")</f>
        <v>side_align_left_done | final camera=left ids=[23, 24, 25, 26] target_pair=[24, 25] target_x=+0.3552 target_y=+0.2685 center_x=+0.3628 center_y=-0.0384 yaw=+179.88deg error_x=-0.0008 yaw_error=-0.12deg tolerance_x=0.0060 tolerance_yaw=2.00deg</v>
      </c>
      <c r="Z37" cm="1">
        <f t="array" ref="Z37">IF(OR($G37="success",$G37="sucess",$G37="unsuccessfull",$G37="partial"),_xlfn.LET(_xlpm.d,_xlfn.XLOOKUP(1,(Event_logs!$A$2:$A$1588=$A37)*(Event_logs!$H$2:$H$1588="fine_align_complete"),Event_logs!$I$2:$I$1588,""),IFERROR(_xlfn.NUMBERVALUE(_xlfn.TEXTBEFORE(_xlfn.TEXTAFTER(_xlpm.d,"error_x=")&amp;" "," "),".",","),"")),"")</f>
        <v>-2.8E-3</v>
      </c>
      <c r="AA37" cm="1">
        <f t="array" ref="AA37">IF(AND($G37="success",$I37="success"),_xlfn.LET(_xlpm.d,_xlfn.XLOOKUP(1,(Event_logs!$A$2:$A$1588=$A37)*(Event_logs!$H$2:$H$1588="fine_align_complete"),Event_logs!$I$2:$I$1588,""),IFERROR(_xlfn.NUMBERVALUE(_xlfn.TEXTBEFORE(_xlfn.TEXTAFTER(_xlpm.d,"error_x=")&amp;" "," "),".",","),"")),"")</f>
        <v>-2.8E-3</v>
      </c>
      <c r="AB37" cm="1">
        <f t="array" ref="AB37">IF($G37="success",_xlfn.LET(_xlpm.d,_xlfn.XLOOKUP(1,(Event_logs!$A$2:$A$1588=$A37)*(Event_logs!$H$2:$H$1588="fine_align_complete"),Event_logs!$I$2:$I$1588,""),IFERROR(_xlfn.NUMBERVALUE(_xlfn.TEXTBEFORE(_xlfn.TEXTAFTER(_xlpm.d,"error_y=")&amp;" "," "),".",","),"")),"")</f>
        <v>-4.1000000000000003E-3</v>
      </c>
      <c r="AC37" cm="1">
        <f t="array" ref="AC37">IF(AND($G37="success",$I37="success"),_xlfn.LET(_xlpm.d,_xlfn.XLOOKUP(1,(Event_logs!$A$2:$A$1588=$A37)*(Event_logs!$H$2:$H$1588="fine_align_complete"),Event_logs!$I$2:$I$1588,""),IFERROR(_xlfn.NUMBERVALUE(_xlfn.TEXTBEFORE(_xlfn.TEXTAFTER(_xlpm.d,"error_y=")&amp;" "," "),".",","),"")),"")</f>
        <v>-4.1000000000000003E-3</v>
      </c>
      <c r="AD37" cm="1">
        <f t="array" ref="AD37">IF(AND($G37="success",$I37="success"),_xlfn.LET(_xlpm.d,_xlfn.XLOOKUP(1,(Event_logs!$A$2:$A$1588=$A37)*(Event_logs!$H$2:$H$1588="fine_align_complete"),Event_logs!$I$2:$I$1588,""),IFERROR(_xlfn.NUMBERVALUE(_xlfn.TEXTBEFORE(_xlfn.TEXTAFTER(_xlpm.d,"yaw_error="),"deg"),".",","),"")),"")</f>
        <v>-2.74</v>
      </c>
      <c r="AE37" cm="1">
        <f t="array" ref="AE37">IF($G37="success",_xlfn.LET(_xlpm.d,_xlfn.XLOOKUP(1,(Event_logs!$A$2:$A$1588=$A37)*(Event_logs!$H$2:$H$1588="fine_align_complete"),Event_logs!$I$2:$I$1588,""),IFERROR(_xlfn.NUMBERVALUE(_xlfn.TEXTBEFORE(_xlfn.TEXTAFTER(_xlpm.d,"yaw_error="),"deg"),".",","),"")),"")</f>
        <v>-2.74</v>
      </c>
    </row>
    <row r="38" spans="1:31" x14ac:dyDescent="0.25">
      <c r="A38" s="41">
        <f>IF(Handnotes!$A$14="y",Handnotes!$B$14,"")</f>
        <v>13</v>
      </c>
      <c r="B38" s="41" t="str">
        <f>IF($A38="","",IFERROR(Handnotes!$C$14,""))</f>
        <v>Normal</v>
      </c>
      <c r="C38" t="str">
        <f>IF($A38="","",IFERROR(Handnotes!$D$14,""))</f>
        <v>Trash Trolley</v>
      </c>
      <c r="D38" s="41" t="str">
        <f>IF($A38="","",IFERROR(Handnotes!$E$14,""))</f>
        <v>success</v>
      </c>
      <c r="E38" s="41" t="str">
        <f>IF($A38="","",IFERROR(Handnotes!$G$14,""))</f>
        <v>correct</v>
      </c>
      <c r="F38" s="41" t="str">
        <f>IF($A38="","",IFERROR(Handnotes!$H$14,""))</f>
        <v>success</v>
      </c>
      <c r="G38" s="41" t="str">
        <f>IF($A38="","",IFERROR(Handnotes!$J$14,""))</f>
        <v>success</v>
      </c>
      <c r="H38" s="41" t="str">
        <f>IF($A38="","",IFERROR(Handnotes!$K$14,""))</f>
        <v>YES</v>
      </c>
      <c r="I38" s="41" t="str">
        <f>IF($A38="","",IFERROR(Handnotes!$M$14,""))</f>
        <v>success</v>
      </c>
      <c r="J38" s="41" t="str">
        <f>IF($A38="","",IFERROR(Handnotes!$O$14,""))</f>
        <v>success</v>
      </c>
      <c r="K38" s="41" t="str">
        <f>IF($A38="","",IFERROR(Handnotes!$P$14,""))</f>
        <v>success</v>
      </c>
      <c r="L38" s="41" t="str">
        <f>IF($A38="","",IFERROR(Handnotes!$Q$14,""))</f>
        <v>success</v>
      </c>
      <c r="M38" s="44" cm="1">
        <f t="array" ref="M38">IF($D38="success",_xlfn.LET(_xlpm.run,$A38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18.498999999999999</v>
      </c>
      <c r="N38" s="44" cm="1">
        <f t="array" ref="N38">IF($F38="success",_xlfn.LET(_xlpm.run,$A38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9.4320000000000004</v>
      </c>
      <c r="O38" s="44" cm="1">
        <f t="array" ref="O38">IF($G38="success",_xlfn.LET(_xlpm.run,$A38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114.33</v>
      </c>
      <c r="P38" s="44">
        <f t="shared" si="6"/>
        <v>142.261</v>
      </c>
      <c r="Q38" s="44">
        <f>_xlfn.LET(_xlpm.t,$A38,_xlpm.s,_xlfn.MINIFS(Event_logs!$E$2:$E$1588,Event_logs!$A$2:$A$1588,_xlpm.t,Event_logs!$H$2:$H$1588,"fine_align_complete"),_xlpm.e,_xlfn.MINIFS(Event_logs!$E$2:$E$1588,Event_logs!$A$2:$A$1588,_xlpm.t,Event_logs!$H$2:$H$1588,"docking sucessfull"),IF(AND(OR($I38="success",$I38="sucess"),_xlpm.s&gt;0,_xlpm.e&gt;_xlpm.s),(_xlpm.e-_xlpm.s)/1000,""))</f>
        <v>30.140999999999998</v>
      </c>
      <c r="R38" s="48" cm="1">
        <f t="array" ref="R38">IF($D38="success",_xlfn.LET(_xlpm.d,_xlfn.XLOOKUP(1,(Event_logs!$A$2:$A$1588=$A38)*(Event_logs!$H$2:$H$1588="side_align_complete"),Event_logs!$I$2:$I$1588,""),IFERROR(_xlfn.NUMBERVALUE(_xlfn.TEXTBEFORE(_xlfn.TEXTAFTER(_xlpm.d,"error_x=")&amp;" "," "),".",","),"")),"")</f>
        <v>-1.6000000000000001E-3</v>
      </c>
      <c r="S38" s="48" cm="1">
        <f t="array" ref="S38">IF(AND($F38="success",$D38="success"),_xlfn.LET(_xlpm.d,_xlfn.XLOOKUP(1,(Event_logs!$A$2:$A$1588=$A38)*(Event_logs!$H$2:$H$1588="side_align_complete"),Event_logs!$I$2:$I$1588,""),IFERROR(_xlfn.NUMBERVALUE(_xlfn.TEXTBEFORE(_xlfn.TEXTAFTER(_xlpm.d,"error_x=")&amp;" "," "),".",","),"")),"")</f>
        <v>-1.6000000000000001E-3</v>
      </c>
      <c r="T38" s="47" cm="1">
        <f t="array" ref="T38">IF($D38="success",_xlfn.LET(_xlpm.d,_xlfn.XLOOKUP(1,(Event_logs!$A$2:$A$1588=$A38)*(Event_logs!$H$2:$H$1588="side_align_complete"),Event_logs!$I$2:$I$1588,""),IFERROR(_xlfn.NUMBERVALUE(_xlfn.TEXTBEFORE(_xlfn.TEXTAFTER(_xlpm.d,"yaw_error="),"deg"),".",","),"")),"")</f>
        <v>7.0000000000000007E-2</v>
      </c>
      <c r="U38" s="44" cm="1">
        <f t="array" ref="U38">IF(AND($F38="success",D38="success"),_xlfn.LET(_xlpm.d,_xlfn.XLOOKUP(1,(Event_logs!$A$2:$A$1588=$A38)*(Event_logs!$H$2:$H$1588="side_align_complete"),Event_logs!$I$2:$I$1588,""),IFERROR(_xlfn.NUMBERVALUE(_xlfn.TEXTBEFORE(_xlfn.TEXTAFTER(_xlpm.d,"yaw_error="),"deg"),".",","),"")),"")</f>
        <v>7.0000000000000007E-2</v>
      </c>
      <c r="V38" s="44"/>
      <c r="W38" s="44" cm="1">
        <f t="array" ref="W38">IF(OR($G38="success",$G38="sucess"),_xlfn.LET(_xlpm.d,_xlfn.XLOOKUP(1,(Event_logs!$A$2:$A$1588=$A38)*(Event_logs!$H$2:$H$1588="side_align_complete"),Event_logs!$I$2:$I$1588,""),IFERROR(_xlfn.NUMBERVALUE(_xlfn.TEXTBEFORE(_xlfn.TEXTAFTER(_xlpm.d,"yaw="),"deg"),".",","),"")),"")</f>
        <v>-179.93</v>
      </c>
      <c r="X38" t="str" cm="1">
        <f t="array" ref="X38">IF(OR($G38="success",$G38="sucess"),_xlfn.XLOOKUP(1,(Event_logs!$A$2:$A$1588=$A38)*(Event_logs!$H$2:$H$1588="side_align_complete"),Event_logs!$I$2:$I$1588,""),"")</f>
        <v>side_align_left_done | final camera=left ids=[23, 24, 25, 26] target_pair=[24, 25] target_x=+0.3544 target_y=+0.2771 center_x=+0.3632 center_y=-0.0300 yaw=-179.93deg error_x=-0.0016 yaw_error=+0.07deg tolerance_x=0.0060 tolerance_yaw=2.00deg</v>
      </c>
      <c r="Z38" cm="1">
        <f t="array" ref="Z38">IF(OR($G38="success",$G38="sucess",$G38="unsuccessfull",$G38="partial"),_xlfn.LET(_xlpm.d,_xlfn.XLOOKUP(1,(Event_logs!$A$2:$A$1588=$A38)*(Event_logs!$H$2:$H$1588="fine_align_complete"),Event_logs!$I$2:$I$1588,""),IFERROR(_xlfn.NUMBERVALUE(_xlfn.TEXTBEFORE(_xlfn.TEXTAFTER(_xlpm.d,"error_x=")&amp;" "," "),".",","),"")),"")</f>
        <v>3.3E-3</v>
      </c>
      <c r="AA38" cm="1">
        <f t="array" ref="AA38">IF(AND($G38="success",$I38="success"),_xlfn.LET(_xlpm.d,_xlfn.XLOOKUP(1,(Event_logs!$A$2:$A$1588=$A38)*(Event_logs!$H$2:$H$1588="fine_align_complete"),Event_logs!$I$2:$I$1588,""),IFERROR(_xlfn.NUMBERVALUE(_xlfn.TEXTBEFORE(_xlfn.TEXTAFTER(_xlpm.d,"error_x=")&amp;" "," "),".",","),"")),"")</f>
        <v>3.3E-3</v>
      </c>
      <c r="AB38" cm="1">
        <f t="array" ref="AB38">IF($G38="success",_xlfn.LET(_xlpm.d,_xlfn.XLOOKUP(1,(Event_logs!$A$2:$A$1588=$A38)*(Event_logs!$H$2:$H$1588="fine_align_complete"),Event_logs!$I$2:$I$1588,""),IFERROR(_xlfn.NUMBERVALUE(_xlfn.TEXTBEFORE(_xlfn.TEXTAFTER(_xlpm.d,"error_y=")&amp;" "," "),".",","),"")),"")</f>
        <v>5.8999999999999999E-3</v>
      </c>
      <c r="AC38" cm="1">
        <f t="array" ref="AC38">IF(AND($G38="success",$I38="success"),_xlfn.LET(_xlpm.d,_xlfn.XLOOKUP(1,(Event_logs!$A$2:$A$1588=$A38)*(Event_logs!$H$2:$H$1588="fine_align_complete"),Event_logs!$I$2:$I$1588,""),IFERROR(_xlfn.NUMBERVALUE(_xlfn.TEXTBEFORE(_xlfn.TEXTAFTER(_xlpm.d,"error_y=")&amp;" "," "),".",","),"")),"")</f>
        <v>5.8999999999999999E-3</v>
      </c>
      <c r="AD38" cm="1">
        <f t="array" ref="AD38">IF(AND($G38="success",$I38="success"),_xlfn.LET(_xlpm.d,_xlfn.XLOOKUP(1,(Event_logs!$A$2:$A$1588=$A38)*(Event_logs!$H$2:$H$1588="fine_align_complete"),Event_logs!$I$2:$I$1588,""),IFERROR(_xlfn.NUMBERVALUE(_xlfn.TEXTBEFORE(_xlfn.TEXTAFTER(_xlpm.d,"yaw_error="),"deg"),".",","),"")),"")</f>
        <v>-0.24</v>
      </c>
      <c r="AE38" cm="1">
        <f t="array" ref="AE38">IF($G38="success",_xlfn.LET(_xlpm.d,_xlfn.XLOOKUP(1,(Event_logs!$A$2:$A$1588=$A38)*(Event_logs!$H$2:$H$1588="fine_align_complete"),Event_logs!$I$2:$I$1588,""),IFERROR(_xlfn.NUMBERVALUE(_xlfn.TEXTBEFORE(_xlfn.TEXTAFTER(_xlpm.d,"yaw_error="),"deg"),".",","),"")),"")</f>
        <v>-0.24</v>
      </c>
    </row>
    <row r="39" spans="1:31" x14ac:dyDescent="0.25">
      <c r="A39" s="41">
        <f>IF(Handnotes!$A$15="y",Handnotes!$B$15,"")</f>
        <v>14</v>
      </c>
      <c r="B39" s="41" t="str">
        <f>IF($A39="","",IFERROR(Handnotes!$C$15,""))</f>
        <v>Normal</v>
      </c>
      <c r="C39" t="str">
        <f>IF($A39="","",IFERROR(Handnotes!$D$15,""))</f>
        <v>Trash Trolley</v>
      </c>
      <c r="D39" s="41" t="str">
        <f>IF($A39="","",IFERROR(Handnotes!$E$15,""))</f>
        <v>success</v>
      </c>
      <c r="E39" s="41" t="str">
        <f>IF($A39="","",IFERROR(Handnotes!$G$15,""))</f>
        <v>correct</v>
      </c>
      <c r="F39" s="41" t="str">
        <f>IF($A39="","",IFERROR(Handnotes!$H$15,""))</f>
        <v>unsuccessfull</v>
      </c>
      <c r="G39" s="41">
        <f>IF($A39="","",IFERROR(Handnotes!$J$15,""))</f>
        <v>0</v>
      </c>
      <c r="H39" s="41">
        <f>IF($A39="","",IFERROR(Handnotes!$K$15,""))</f>
        <v>0</v>
      </c>
      <c r="I39" s="41">
        <f>IF($A39="","",IFERROR(Handnotes!$M$15,""))</f>
        <v>0</v>
      </c>
      <c r="J39" s="41">
        <f>IF($A39="","",IFERROR(Handnotes!$O$15,""))</f>
        <v>0</v>
      </c>
      <c r="K39" s="41">
        <f>IF($A39="","",IFERROR(Handnotes!$P$15,""))</f>
        <v>0</v>
      </c>
      <c r="L39" s="41">
        <f>IF($A39="","",IFERROR(Handnotes!$Q$15,""))</f>
        <v>0</v>
      </c>
      <c r="M39" s="44" cm="1">
        <f t="array" ref="M39">IF($D39="success",_xlfn.LET(_xlpm.run,$A39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29.9</v>
      </c>
      <c r="N39" s="44" t="str" cm="1">
        <f t="array" ref="N39">IF($F39="success",_xlfn.LET(_xlpm.run,$A39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O39" s="44" t="str" cm="1">
        <f t="array" ref="O39">IF($G39="success",_xlfn.LET(_xlpm.run,$A39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39" s="44" t="str">
        <f t="shared" si="6"/>
        <v/>
      </c>
      <c r="Q39" s="44" t="str">
        <f>_xlfn.LET(_xlpm.t,$A39,_xlpm.s,_xlfn.MINIFS(Event_logs!$E$2:$E$1588,Event_logs!$A$2:$A$1588,_xlpm.t,Event_logs!$H$2:$H$1588,"fine_align_complete"),_xlpm.e,_xlfn.MINIFS(Event_logs!$E$2:$E$1588,Event_logs!$A$2:$A$1588,_xlpm.t,Event_logs!$H$2:$H$1588,"docking sucessfull"),IF(AND(OR($I39="success",$I39="sucess"),_xlpm.s&gt;0,_xlpm.e&gt;_xlpm.s),(_xlpm.e-_xlpm.s)/1000,""))</f>
        <v/>
      </c>
      <c r="R39" s="48" cm="1">
        <f t="array" ref="R39">IF($D39="success",_xlfn.LET(_xlpm.d,_xlfn.XLOOKUP(1,(Event_logs!$A$2:$A$1588=$A39)*(Event_logs!$H$2:$H$1588="side_align_complete"),Event_logs!$I$2:$I$1588,""),IFERROR(_xlfn.NUMBERVALUE(_xlfn.TEXTBEFORE(_xlfn.TEXTAFTER(_xlpm.d,"error_x=")&amp;" "," "),".",","),"")),"")</f>
        <v>-4.3E-3</v>
      </c>
      <c r="S39" s="48" t="str" cm="1">
        <f t="array" ref="S39">IF(AND($F39="success",$D39="success"),_xlfn.LET(_xlpm.d,_xlfn.XLOOKUP(1,(Event_logs!$A$2:$A$1588=$A39)*(Event_logs!$H$2:$H$1588="side_align_complete"),Event_logs!$I$2:$I$1588,""),IFERROR(_xlfn.NUMBERVALUE(_xlfn.TEXTBEFORE(_xlfn.TEXTAFTER(_xlpm.d,"error_x=")&amp;" "," "),".",","),"")),"")</f>
        <v/>
      </c>
      <c r="T39" s="47" cm="1">
        <f t="array" ref="T39">IF($D39="success",_xlfn.LET(_xlpm.d,_xlfn.XLOOKUP(1,(Event_logs!$A$2:$A$1588=$A39)*(Event_logs!$H$2:$H$1588="side_align_complete"),Event_logs!$I$2:$I$1588,""),IFERROR(_xlfn.NUMBERVALUE(_xlfn.TEXTBEFORE(_xlfn.TEXTAFTER(_xlpm.d,"yaw_error="),"deg"),".",","),"")),"")</f>
        <v>0.08</v>
      </c>
      <c r="U39" s="44" t="str" cm="1">
        <f t="array" ref="U39">IF(AND($F39="success",D39="success"),_xlfn.LET(_xlpm.d,_xlfn.XLOOKUP(1,(Event_logs!$A$2:$A$1588=$A39)*(Event_logs!$H$2:$H$1588="side_align_complete"),Event_logs!$I$2:$I$1588,""),IFERROR(_xlfn.NUMBERVALUE(_xlfn.TEXTBEFORE(_xlfn.TEXTAFTER(_xlpm.d,"yaw_error="),"deg"),".",","),"")),"")</f>
        <v/>
      </c>
      <c r="V39" s="44"/>
      <c r="W39" s="44" t="str" cm="1">
        <f t="array" ref="W39">IF(OR($G39="success",$G39="sucess"),_xlfn.LET(_xlpm.d,_xlfn.XLOOKUP(1,(Event_logs!$A$2:$A$1588=$A39)*(Event_logs!$H$2:$H$1588="side_align_complete"),Event_logs!$I$2:$I$1588,""),IFERROR(_xlfn.NUMBERVALUE(_xlfn.TEXTBEFORE(_xlfn.TEXTAFTER(_xlpm.d,"yaw="),"deg"),".",","),"")),"")</f>
        <v/>
      </c>
      <c r="X39" t="str" cm="1">
        <f t="array" ref="X39">IF(OR($G39="success",$G39="sucess"),_xlfn.XLOOKUP(1,(Event_logs!$A$2:$A$1588=$A39)*(Event_logs!$H$2:$H$1588="side_align_complete"),Event_logs!$I$2:$I$1588,""),"")</f>
        <v/>
      </c>
      <c r="Z39" t="str" cm="1">
        <f t="array" ref="Z39">IF(OR($G39="success",$G39="sucess",$G39="unsuccessfull",$G39="partial"),_xlfn.LET(_xlpm.d,_xlfn.XLOOKUP(1,(Event_logs!$A$2:$A$1588=$A39)*(Event_logs!$H$2:$H$1588="fine_align_complete"),Event_logs!$I$2:$I$1588,""),IFERROR(_xlfn.NUMBERVALUE(_xlfn.TEXTBEFORE(_xlfn.TEXTAFTER(_xlpm.d,"error_x=")&amp;" "," "),".",","),"")),"")</f>
        <v/>
      </c>
      <c r="AA39" t="str" cm="1">
        <f t="array" ref="AA39">IF(AND($G39="success",$I39="success"),_xlfn.LET(_xlpm.d,_xlfn.XLOOKUP(1,(Event_logs!$A$2:$A$1588=$A39)*(Event_logs!$H$2:$H$1588="fine_align_complete"),Event_logs!$I$2:$I$1588,""),IFERROR(_xlfn.NUMBERVALUE(_xlfn.TEXTBEFORE(_xlfn.TEXTAFTER(_xlpm.d,"error_x=")&amp;" "," "),".",","),"")),"")</f>
        <v/>
      </c>
      <c r="AB39" t="str" cm="1">
        <f t="array" ref="AB39">IF($G39="success",_xlfn.LET(_xlpm.d,_xlfn.XLOOKUP(1,(Event_logs!$A$2:$A$1588=$A39)*(Event_logs!$H$2:$H$1588="fine_align_complete"),Event_logs!$I$2:$I$1588,""),IFERROR(_xlfn.NUMBERVALUE(_xlfn.TEXTBEFORE(_xlfn.TEXTAFTER(_xlpm.d,"error_y=")&amp;" "," "),".",","),"")),"")</f>
        <v/>
      </c>
      <c r="AC39" t="str" cm="1">
        <f t="array" ref="AC39">IF(AND($G39="success",$I39="success"),_xlfn.LET(_xlpm.d,_xlfn.XLOOKUP(1,(Event_logs!$A$2:$A$1588=$A39)*(Event_logs!$H$2:$H$1588="fine_align_complete"),Event_logs!$I$2:$I$1588,""),IFERROR(_xlfn.NUMBERVALUE(_xlfn.TEXTBEFORE(_xlfn.TEXTAFTER(_xlpm.d,"error_y=")&amp;" "," "),".",","),"")),"")</f>
        <v/>
      </c>
      <c r="AD39" t="str" cm="1">
        <f t="array" ref="AD39">IF(AND($G39="success",$I39="success"),_xlfn.LET(_xlpm.d,_xlfn.XLOOKUP(1,(Event_logs!$A$2:$A$1588=$A39)*(Event_logs!$H$2:$H$1588="fine_align_complete"),Event_logs!$I$2:$I$1588,""),IFERROR(_xlfn.NUMBERVALUE(_xlfn.TEXTBEFORE(_xlfn.TEXTAFTER(_xlpm.d,"yaw_error="),"deg"),".",","),"")),"")</f>
        <v/>
      </c>
      <c r="AE39" t="str" cm="1">
        <f t="array" ref="AE39">IF($G39="success",_xlfn.LET(_xlpm.d,_xlfn.XLOOKUP(1,(Event_logs!$A$2:$A$1588=$A39)*(Event_logs!$H$2:$H$1588="fine_align_complete"),Event_logs!$I$2:$I$1588,""),IFERROR(_xlfn.NUMBERVALUE(_xlfn.TEXTBEFORE(_xlfn.TEXTAFTER(_xlpm.d,"yaw_error="),"deg"),".",","),"")),"")</f>
        <v/>
      </c>
    </row>
    <row r="40" spans="1:31" x14ac:dyDescent="0.25">
      <c r="A40" s="41">
        <f>IF(Handnotes!$A$16="y",Handnotes!$B$16,"")</f>
        <v>15</v>
      </c>
      <c r="B40" s="41" t="str">
        <f>IF($A40="","",IFERROR(Handnotes!$C$16,""))</f>
        <v>Normal</v>
      </c>
      <c r="C40" t="str">
        <f>IF($A40="","",IFERROR(Handnotes!$D$16,""))</f>
        <v>Trash Trolley</v>
      </c>
      <c r="D40" s="41" t="str">
        <f>IF($A40="","",IFERROR(Handnotes!$E$16,""))</f>
        <v>success</v>
      </c>
      <c r="E40" s="41" t="str">
        <f>IF($A40="","",IFERROR(Handnotes!$G$16,""))</f>
        <v>correct</v>
      </c>
      <c r="F40" s="41" t="str">
        <f>IF($A40="","",IFERROR(Handnotes!$H$16,""))</f>
        <v>success</v>
      </c>
      <c r="G40" s="41" t="str">
        <f>IF($A40="","",IFERROR(Handnotes!$J$16,""))</f>
        <v>success</v>
      </c>
      <c r="H40" s="41" t="str">
        <f>IF($A40="","",IFERROR(Handnotes!$K$16,""))</f>
        <v>NO</v>
      </c>
      <c r="I40" s="41" t="str">
        <f>IF($A40="","",IFERROR(Handnotes!$M$16,""))</f>
        <v>success</v>
      </c>
      <c r="J40" s="41" t="str">
        <f>IF($A40="","",IFERROR(Handnotes!$O$16,""))</f>
        <v>success</v>
      </c>
      <c r="K40" s="41" t="str">
        <f>IF($A40="","",IFERROR(Handnotes!$P$16,""))</f>
        <v>success</v>
      </c>
      <c r="L40" s="41" t="str">
        <f>IF($A40="","",IFERROR(Handnotes!$Q$16,""))</f>
        <v>success</v>
      </c>
      <c r="M40" s="44" cm="1">
        <f t="array" ref="M40">IF($D40="success",_xlfn.LET(_xlpm.run,$A40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18.518000000000001</v>
      </c>
      <c r="N40" s="44" cm="1">
        <f t="array" ref="N40">IF($F40="success",_xlfn.LET(_xlpm.run,$A40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9.4149999999999991</v>
      </c>
      <c r="O40" s="44" cm="1">
        <f t="array" ref="O40">IF($G40="success",_xlfn.LET(_xlpm.run,$A40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14.449</v>
      </c>
      <c r="P40" s="44">
        <f t="shared" si="6"/>
        <v>42.381999999999998</v>
      </c>
      <c r="Q40" s="44" t="str">
        <f>_xlfn.LET(_xlpm.t,$A40,_xlpm.s,_xlfn.MINIFS(Event_logs!$E$2:$E$1588,Event_logs!$A$2:$A$1588,_xlpm.t,Event_logs!$H$2:$H$1588,"fine_align_complete"),_xlpm.e,_xlfn.MINIFS(Event_logs!$E$2:$E$1588,Event_logs!$A$2:$A$1588,_xlpm.t,Event_logs!$H$2:$H$1588,"docking sucessfull"),IF(AND(OR($I40="success",$I40="sucess"),_xlpm.s&gt;0,_xlpm.e&gt;_xlpm.s),(_xlpm.e-_xlpm.s)/1000,""))</f>
        <v/>
      </c>
      <c r="R40" s="48" cm="1">
        <f t="array" ref="R40">IF($D40="success",_xlfn.LET(_xlpm.d,_xlfn.XLOOKUP(1,(Event_logs!$A$2:$A$1588=$A40)*(Event_logs!$H$2:$H$1588="side_align_complete"),Event_logs!$I$2:$I$1588,""),IFERROR(_xlfn.NUMBERVALUE(_xlfn.TEXTBEFORE(_xlfn.TEXTAFTER(_xlpm.d,"error_x=")&amp;" "," "),".",","),"")),"")</f>
        <v>-5.7999999999999996E-3</v>
      </c>
      <c r="S40" s="48" cm="1">
        <f t="array" ref="S40">IF(AND($F40="success",$D40="success"),_xlfn.LET(_xlpm.d,_xlfn.XLOOKUP(1,(Event_logs!$A$2:$A$1588=$A40)*(Event_logs!$H$2:$H$1588="side_align_complete"),Event_logs!$I$2:$I$1588,""),IFERROR(_xlfn.NUMBERVALUE(_xlfn.TEXTBEFORE(_xlfn.TEXTAFTER(_xlpm.d,"error_x=")&amp;" "," "),".",","),"")),"")</f>
        <v>-5.7999999999999996E-3</v>
      </c>
      <c r="T40" s="47" cm="1">
        <f t="array" ref="T40">IF($D40="success",_xlfn.LET(_xlpm.d,_xlfn.XLOOKUP(1,(Event_logs!$A$2:$A$1588=$A40)*(Event_logs!$H$2:$H$1588="side_align_complete"),Event_logs!$I$2:$I$1588,""),IFERROR(_xlfn.NUMBERVALUE(_xlfn.TEXTBEFORE(_xlfn.TEXTAFTER(_xlpm.d,"yaw_error="),"deg"),".",","),"")),"")</f>
        <v>-0.01</v>
      </c>
      <c r="U40" s="44" cm="1">
        <f t="array" ref="U40">IF(AND($F40="success",D40="success"),_xlfn.LET(_xlpm.d,_xlfn.XLOOKUP(1,(Event_logs!$A$2:$A$1588=$A40)*(Event_logs!$H$2:$H$1588="side_align_complete"),Event_logs!$I$2:$I$1588,""),IFERROR(_xlfn.NUMBERVALUE(_xlfn.TEXTBEFORE(_xlfn.TEXTAFTER(_xlpm.d,"yaw_error="),"deg"),".",","),"")),"")</f>
        <v>-0.01</v>
      </c>
      <c r="V40" s="44"/>
      <c r="W40" s="44" cm="1">
        <f t="array" ref="W40">IF(OR($G40="success",$G40="sucess"),_xlfn.LET(_xlpm.d,_xlfn.XLOOKUP(1,(Event_logs!$A$2:$A$1588=$A40)*(Event_logs!$H$2:$H$1588="side_align_complete"),Event_logs!$I$2:$I$1588,""),IFERROR(_xlfn.NUMBERVALUE(_xlfn.TEXTBEFORE(_xlfn.TEXTAFTER(_xlpm.d,"yaw="),"deg"),".",","),"")),"")</f>
        <v>179.99</v>
      </c>
      <c r="X40" t="str" cm="1">
        <f t="array" ref="X40">IF(OR($G40="success",$G40="sucess"),_xlfn.XLOOKUP(1,(Event_logs!$A$2:$A$1588=$A40)*(Event_logs!$H$2:$H$1588="side_align_complete"),Event_logs!$I$2:$I$1588,""),"")</f>
        <v>side_align_left_done | final camera=left ids=[23, 24, 25, 26] target_pair=[24, 25] target_x=+0.3502 target_y=+0.2801 center_x=+0.3591 center_y=-0.0268 yaw=+179.99deg error_x=-0.0058 yaw_error=-0.01deg tolerance_x=0.0060 tolerance_yaw=2.00deg</v>
      </c>
      <c r="Z40" cm="1">
        <f t="array" ref="Z40">IF(OR($G40="success",$G40="sucess",$G40="unsuccessfull",$G40="partial"),_xlfn.LET(_xlpm.d,_xlfn.XLOOKUP(1,(Event_logs!$A$2:$A$1588=$A40)*(Event_logs!$H$2:$H$1588="fine_align_complete"),Event_logs!$I$2:$I$1588,""),IFERROR(_xlfn.NUMBERVALUE(_xlfn.TEXTBEFORE(_xlfn.TEXTAFTER(_xlpm.d,"error_x=")&amp;" "," "),".",","),"")),"")</f>
        <v>3.5999999999999999E-3</v>
      </c>
      <c r="AA40" cm="1">
        <f t="array" ref="AA40">IF(AND($G40="success",$I40="success"),_xlfn.LET(_xlpm.d,_xlfn.XLOOKUP(1,(Event_logs!$A$2:$A$1588=$A40)*(Event_logs!$H$2:$H$1588="fine_align_complete"),Event_logs!$I$2:$I$1588,""),IFERROR(_xlfn.NUMBERVALUE(_xlfn.TEXTBEFORE(_xlfn.TEXTAFTER(_xlpm.d,"error_x=")&amp;" "," "),".",","),"")),"")</f>
        <v>3.5999999999999999E-3</v>
      </c>
      <c r="AB40" cm="1">
        <f t="array" ref="AB40">IF($G40="success",_xlfn.LET(_xlpm.d,_xlfn.XLOOKUP(1,(Event_logs!$A$2:$A$1588=$A40)*(Event_logs!$H$2:$H$1588="fine_align_complete"),Event_logs!$I$2:$I$1588,""),IFERROR(_xlfn.NUMBERVALUE(_xlfn.TEXTBEFORE(_xlfn.TEXTAFTER(_xlpm.d,"error_y=")&amp;" "," "),".",","),"")),"")</f>
        <v>7.4000000000000003E-3</v>
      </c>
      <c r="AC40" cm="1">
        <f t="array" ref="AC40">IF(AND($G40="success",$I40="success"),_xlfn.LET(_xlpm.d,_xlfn.XLOOKUP(1,(Event_logs!$A$2:$A$1588=$A40)*(Event_logs!$H$2:$H$1588="fine_align_complete"),Event_logs!$I$2:$I$1588,""),IFERROR(_xlfn.NUMBERVALUE(_xlfn.TEXTBEFORE(_xlfn.TEXTAFTER(_xlpm.d,"error_y=")&amp;" "," "),".",","),"")),"")</f>
        <v>7.4000000000000003E-3</v>
      </c>
      <c r="AD40" cm="1">
        <f t="array" ref="AD40">IF(AND($G40="success",$I40="success"),_xlfn.LET(_xlpm.d,_xlfn.XLOOKUP(1,(Event_logs!$A$2:$A$1588=$A40)*(Event_logs!$H$2:$H$1588="fine_align_complete"),Event_logs!$I$2:$I$1588,""),IFERROR(_xlfn.NUMBERVALUE(_xlfn.TEXTBEFORE(_xlfn.TEXTAFTER(_xlpm.d,"yaw_error="),"deg"),".",","),"")),"")</f>
        <v>-0.33</v>
      </c>
      <c r="AE40" cm="1">
        <f t="array" ref="AE40">IF($G40="success",_xlfn.LET(_xlpm.d,_xlfn.XLOOKUP(1,(Event_logs!$A$2:$A$1588=$A40)*(Event_logs!$H$2:$H$1588="fine_align_complete"),Event_logs!$I$2:$I$1588,""),IFERROR(_xlfn.NUMBERVALUE(_xlfn.TEXTBEFORE(_xlfn.TEXTAFTER(_xlpm.d,"yaw_error="),"deg"),".",","),"")),"")</f>
        <v>-0.33</v>
      </c>
    </row>
    <row r="41" spans="1:31" x14ac:dyDescent="0.25">
      <c r="A41" s="41">
        <f>IF(Handnotes!$A$17="y",Handnotes!$B$17,"")</f>
        <v>16</v>
      </c>
      <c r="B41" s="41" t="str">
        <f>IF($A41="","",IFERROR(Handnotes!$C$17,""))</f>
        <v>Flipped 180 deg</v>
      </c>
      <c r="C41" t="str">
        <f>IF($A41="","",IFERROR(Handnotes!$D$17,""))</f>
        <v>Laundry Trolley</v>
      </c>
      <c r="D41" s="41" t="str">
        <f>IF($A41="","",IFERROR(Handnotes!$E$17,""))</f>
        <v>unsuccessfull</v>
      </c>
      <c r="E41" s="41" t="str">
        <f>IF($A41="","",IFERROR(Handnotes!$G$17,""))</f>
        <v>correct</v>
      </c>
      <c r="F41" s="41" t="str">
        <f>IF($A41="","",IFERROR(Handnotes!$H$17,""))</f>
        <v>success</v>
      </c>
      <c r="G41" s="41" t="str">
        <f>IF($A41="","",IFERROR(Handnotes!$J$17,""))</f>
        <v>unsuccessfull</v>
      </c>
      <c r="H41" s="41" t="str">
        <f>IF($A41="","",IFERROR(Handnotes!$K$17,""))</f>
        <v>YES</v>
      </c>
      <c r="I41" s="41" t="str">
        <f>IF($A41="","",IFERROR(Handnotes!$M$17,""))</f>
        <v>unsuccessfull</v>
      </c>
      <c r="J41" s="41">
        <f>IF($A41="","",IFERROR(Handnotes!$O$17,""))</f>
        <v>0</v>
      </c>
      <c r="K41" s="41">
        <f>IF($A41="","",IFERROR(Handnotes!$P$17,""))</f>
        <v>0</v>
      </c>
      <c r="L41" s="41">
        <f>IF($A41="","",IFERROR(Handnotes!$Q$17,""))</f>
        <v>0</v>
      </c>
      <c r="M41" s="44" t="str" cm="1">
        <f t="array" ref="M41">IF($D41="success",_xlfn.LET(_xlpm.run,$A41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41" s="44" cm="1">
        <f t="array" ref="N41">IF($F41="success",_xlfn.LET(_xlpm.run,$A41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9.4710000000000001</v>
      </c>
      <c r="O41" s="44" t="str" cm="1">
        <f t="array" ref="O41">IF($G41="success",_xlfn.LET(_xlpm.run,$A41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41" s="44" t="str">
        <f t="shared" si="6"/>
        <v/>
      </c>
      <c r="Q41" s="44" t="str">
        <f>_xlfn.LET(_xlpm.t,$A41,_xlpm.s,_xlfn.MINIFS(Event_logs!$E$2:$E$1588,Event_logs!$A$2:$A$1588,_xlpm.t,Event_logs!$H$2:$H$1588,"fine_align_complete"),_xlpm.e,_xlfn.MINIFS(Event_logs!$E$2:$E$1588,Event_logs!$A$2:$A$1588,_xlpm.t,Event_logs!$H$2:$H$1588,"docking sucessfull"),IF(AND(OR($I41="success",$I41="sucess"),_xlpm.s&gt;0,_xlpm.e&gt;_xlpm.s),(_xlpm.e-_xlpm.s)/1000,""))</f>
        <v/>
      </c>
      <c r="R41" s="48" t="str" cm="1">
        <f t="array" ref="R41">IF($D41="success",_xlfn.LET(_xlpm.d,_xlfn.XLOOKUP(1,(Event_logs!$A$2:$A$1588=$A41)*(Event_logs!$H$2:$H$1588="side_align_complete"),Event_logs!$I$2:$I$1588,""),IFERROR(_xlfn.NUMBERVALUE(_xlfn.TEXTBEFORE(_xlfn.TEXTAFTER(_xlpm.d,"error_x=")&amp;" "," "),".",","),"")),"")</f>
        <v/>
      </c>
      <c r="S41" s="48" t="str" cm="1">
        <f t="array" ref="S41">IF(AND($F41="success",$D41="success"),_xlfn.LET(_xlpm.d,_xlfn.XLOOKUP(1,(Event_logs!$A$2:$A$1588=$A41)*(Event_logs!$H$2:$H$1588="side_align_complete"),Event_logs!$I$2:$I$1588,""),IFERROR(_xlfn.NUMBERVALUE(_xlfn.TEXTBEFORE(_xlfn.TEXTAFTER(_xlpm.d,"error_x=")&amp;" "," "),".",","),"")),"")</f>
        <v/>
      </c>
      <c r="T41" s="47" t="str" cm="1">
        <f t="array" ref="T41">IF($D41="success",_xlfn.LET(_xlpm.d,_xlfn.XLOOKUP(1,(Event_logs!$A$2:$A$1588=$A41)*(Event_logs!$H$2:$H$1588="side_align_complete"),Event_logs!$I$2:$I$1588,""),IFERROR(_xlfn.NUMBERVALUE(_xlfn.TEXTBEFORE(_xlfn.TEXTAFTER(_xlpm.d,"yaw_error="),"deg"),".",","),"")),"")</f>
        <v/>
      </c>
      <c r="U41" s="44" t="str" cm="1">
        <f t="array" ref="U41">IF(AND($F41="success",D41="success"),_xlfn.LET(_xlpm.d,_xlfn.XLOOKUP(1,(Event_logs!$A$2:$A$1588=$A41)*(Event_logs!$H$2:$H$1588="side_align_complete"),Event_logs!$I$2:$I$1588,""),IFERROR(_xlfn.NUMBERVALUE(_xlfn.TEXTBEFORE(_xlfn.TEXTAFTER(_xlpm.d,"yaw_error="),"deg"),".",","),"")),"")</f>
        <v/>
      </c>
      <c r="V41" s="44"/>
      <c r="W41" s="44" t="str" cm="1">
        <f t="array" ref="W41">IF(OR($G41="success",$G41="sucess"),_xlfn.LET(_xlpm.d,_xlfn.XLOOKUP(1,(Event_logs!$A$2:$A$1588=$A41)*(Event_logs!$H$2:$H$1588="side_align_complete"),Event_logs!$I$2:$I$1588,""),IFERROR(_xlfn.NUMBERVALUE(_xlfn.TEXTBEFORE(_xlfn.TEXTAFTER(_xlpm.d,"yaw="),"deg"),".",","),"")),"")</f>
        <v/>
      </c>
      <c r="X41" t="str" cm="1">
        <f t="array" ref="X41">IF(OR($G41="success",$G41="sucess"),_xlfn.XLOOKUP(1,(Event_logs!$A$2:$A$1588=$A41)*(Event_logs!$H$2:$H$1588="side_align_complete"),Event_logs!$I$2:$I$1588,""),"")</f>
        <v/>
      </c>
      <c r="Z41" cm="1">
        <f t="array" ref="Z41">IF(OR($G41="success",$G41="sucess",$G41="unsuccessfull",$G41="partial"),_xlfn.LET(_xlpm.d,_xlfn.XLOOKUP(1,(Event_logs!$A$2:$A$1588=$A41)*(Event_logs!$H$2:$H$1588="fine_align_complete"),Event_logs!$I$2:$I$1588,""),IFERROR(_xlfn.NUMBERVALUE(_xlfn.TEXTBEFORE(_xlfn.TEXTAFTER(_xlpm.d,"error_x=")&amp;" "," "),".",","),"")),"")</f>
        <v>3.3999999999999998E-3</v>
      </c>
      <c r="AA41" t="str" cm="1">
        <f t="array" ref="AA41">IF(AND($G41="success",$I41="success"),_xlfn.LET(_xlpm.d,_xlfn.XLOOKUP(1,(Event_logs!$A$2:$A$1588=$A41)*(Event_logs!$H$2:$H$1588="fine_align_complete"),Event_logs!$I$2:$I$1588,""),IFERROR(_xlfn.NUMBERVALUE(_xlfn.TEXTBEFORE(_xlfn.TEXTAFTER(_xlpm.d,"error_x=")&amp;" "," "),".",","),"")),"")</f>
        <v/>
      </c>
      <c r="AB41" t="str" cm="1">
        <f t="array" ref="AB41">IF($G41="success",_xlfn.LET(_xlpm.d,_xlfn.XLOOKUP(1,(Event_logs!$A$2:$A$1588=$A41)*(Event_logs!$H$2:$H$1588="fine_align_complete"),Event_logs!$I$2:$I$1588,""),IFERROR(_xlfn.NUMBERVALUE(_xlfn.TEXTBEFORE(_xlfn.TEXTAFTER(_xlpm.d,"error_y=")&amp;" "," "),".",","),"")),"")</f>
        <v/>
      </c>
      <c r="AC41" t="str" cm="1">
        <f t="array" ref="AC41">IF(AND($G41="success",$I41="success"),_xlfn.LET(_xlpm.d,_xlfn.XLOOKUP(1,(Event_logs!$A$2:$A$1588=$A41)*(Event_logs!$H$2:$H$1588="fine_align_complete"),Event_logs!$I$2:$I$1588,""),IFERROR(_xlfn.NUMBERVALUE(_xlfn.TEXTBEFORE(_xlfn.TEXTAFTER(_xlpm.d,"error_y=")&amp;" "," "),".",","),"")),"")</f>
        <v/>
      </c>
      <c r="AD41" t="str" cm="1">
        <f t="array" ref="AD41">IF(AND($G41="success",$I41="success"),_xlfn.LET(_xlpm.d,_xlfn.XLOOKUP(1,(Event_logs!$A$2:$A$1588=$A41)*(Event_logs!$H$2:$H$1588="fine_align_complete"),Event_logs!$I$2:$I$1588,""),IFERROR(_xlfn.NUMBERVALUE(_xlfn.TEXTBEFORE(_xlfn.TEXTAFTER(_xlpm.d,"yaw_error="),"deg"),".",","),"")),"")</f>
        <v/>
      </c>
      <c r="AE41" t="str" cm="1">
        <f t="array" ref="AE41">IF($G41="success",_xlfn.LET(_xlpm.d,_xlfn.XLOOKUP(1,(Event_logs!$A$2:$A$1588=$A41)*(Event_logs!$H$2:$H$1588="fine_align_complete"),Event_logs!$I$2:$I$1588,""),IFERROR(_xlfn.NUMBERVALUE(_xlfn.TEXTBEFORE(_xlfn.TEXTAFTER(_xlpm.d,"yaw_error="),"deg"),".",","),"")),"")</f>
        <v/>
      </c>
    </row>
    <row r="42" spans="1:31" x14ac:dyDescent="0.25">
      <c r="A42" s="41">
        <f>IF(Handnotes!$A$18="y",Handnotes!$B$18,"")</f>
        <v>17</v>
      </c>
      <c r="B42" s="41" t="str">
        <f>IF($A42="","",IFERROR(Handnotes!$C$18,""))</f>
        <v>Flipped 180 deg</v>
      </c>
      <c r="C42" t="str">
        <f>IF($A42="","",IFERROR(Handnotes!$D$18,""))</f>
        <v>Laundry Trolley</v>
      </c>
      <c r="D42" s="41" t="str">
        <f>IF($A42="","",IFERROR(Handnotes!$E$18,""))</f>
        <v>success</v>
      </c>
      <c r="E42" s="41" t="str">
        <f>IF($A42="","",IFERROR(Handnotes!$G$18,""))</f>
        <v>correct</v>
      </c>
      <c r="F42" s="41" t="str">
        <f>IF($A42="","",IFERROR(Handnotes!$H$18,""))</f>
        <v>success</v>
      </c>
      <c r="G42" s="41" t="str">
        <f>IF($A42="","",IFERROR(Handnotes!$J$18,""))</f>
        <v>success</v>
      </c>
      <c r="H42" s="41" t="str">
        <f>IF($A42="","",IFERROR(Handnotes!$K$18,""))</f>
        <v>YES</v>
      </c>
      <c r="I42" s="41" t="str">
        <f>IF($A42="","",IFERROR(Handnotes!$M$18,""))</f>
        <v>unsuccessfull</v>
      </c>
      <c r="J42" s="41" t="str">
        <f>IF($A42="","",IFERROR(Handnotes!$O$18,""))</f>
        <v>success</v>
      </c>
      <c r="K42" s="41" t="str">
        <f>IF($A42="","",IFERROR(Handnotes!$P$18,""))</f>
        <v>success</v>
      </c>
      <c r="L42" s="41" t="str">
        <f>IF($A42="","",IFERROR(Handnotes!$Q$18,""))</f>
        <v>success</v>
      </c>
      <c r="M42" s="44" t="str" cm="1">
        <f t="array" ref="M42">IF($D42="success",_xlfn.LET(_xlpm.run,$A42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42" s="44" cm="1">
        <f t="array" ref="N42">IF($F42="success",_xlfn.LET(_xlpm.run,$A42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9.4610000000000003</v>
      </c>
      <c r="O42" s="44" cm="1">
        <f t="array" ref="O42">IF($G42="success",_xlfn.LET(_xlpm.run,$A42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89.027000000000001</v>
      </c>
      <c r="P42" s="44">
        <f t="shared" si="6"/>
        <v>98.488</v>
      </c>
      <c r="Q42" s="44" t="str">
        <f>_xlfn.LET(_xlpm.t,$A42,_xlpm.s,_xlfn.MINIFS(Event_logs!$E$2:$E$1588,Event_logs!$A$2:$A$1588,_xlpm.t,Event_logs!$H$2:$H$1588,"fine_align_complete"),_xlpm.e,_xlfn.MINIFS(Event_logs!$E$2:$E$1588,Event_logs!$A$2:$A$1588,_xlpm.t,Event_logs!$H$2:$H$1588,"docking sucessfull"),IF(AND(OR($I42="success",$I42="sucess"),_xlpm.s&gt;0,_xlpm.e&gt;_xlpm.s),(_xlpm.e-_xlpm.s)/1000,""))</f>
        <v/>
      </c>
      <c r="R42" s="48" cm="1">
        <f t="array" ref="R42">IF($D42="success",_xlfn.LET(_xlpm.d,_xlfn.XLOOKUP(1,(Event_logs!$A$2:$A$1588=$A42)*(Event_logs!$H$2:$H$1588="side_align_complete"),Event_logs!$I$2:$I$1588,""),IFERROR(_xlfn.NUMBERVALUE(_xlfn.TEXTBEFORE(_xlfn.TEXTAFTER(_xlpm.d,"error_x=")&amp;" "," "),".",","),"")),"")</f>
        <v>-6.9999999999999999E-4</v>
      </c>
      <c r="S42" s="48" cm="1">
        <f t="array" ref="S42">IF(AND($F42="success",$D42="success"),_xlfn.LET(_xlpm.d,_xlfn.XLOOKUP(1,(Event_logs!$A$2:$A$1588=$A42)*(Event_logs!$H$2:$H$1588="side_align_complete"),Event_logs!$I$2:$I$1588,""),IFERROR(_xlfn.NUMBERVALUE(_xlfn.TEXTBEFORE(_xlfn.TEXTAFTER(_xlpm.d,"error_x=")&amp;" "," "),".",","),"")),"")</f>
        <v>-6.9999999999999999E-4</v>
      </c>
      <c r="T42" s="47" cm="1">
        <f t="array" ref="T42">IF($D42="success",_xlfn.LET(_xlpm.d,_xlfn.XLOOKUP(1,(Event_logs!$A$2:$A$1588=$A42)*(Event_logs!$H$2:$H$1588="side_align_complete"),Event_logs!$I$2:$I$1588,""),IFERROR(_xlfn.NUMBERVALUE(_xlfn.TEXTBEFORE(_xlfn.TEXTAFTER(_xlpm.d,"yaw_error="),"deg"),".",","),"")),"")</f>
        <v>-0.66</v>
      </c>
      <c r="U42" s="44" cm="1">
        <f t="array" ref="U42">IF(AND($F42="success",D42="success"),_xlfn.LET(_xlpm.d,_xlfn.XLOOKUP(1,(Event_logs!$A$2:$A$1588=$A42)*(Event_logs!$H$2:$H$1588="side_align_complete"),Event_logs!$I$2:$I$1588,""),IFERROR(_xlfn.NUMBERVALUE(_xlfn.TEXTBEFORE(_xlfn.TEXTAFTER(_xlpm.d,"yaw_error="),"deg"),".",","),"")),"")</f>
        <v>-0.66</v>
      </c>
      <c r="V42" s="44"/>
      <c r="W42" s="44" cm="1">
        <f t="array" ref="W42">IF(OR($G42="success",$G42="sucess"),_xlfn.LET(_xlpm.d,_xlfn.XLOOKUP(1,(Event_logs!$A$2:$A$1588=$A42)*(Event_logs!$H$2:$H$1588="side_align_complete"),Event_logs!$I$2:$I$1588,""),IFERROR(_xlfn.NUMBERVALUE(_xlfn.TEXTBEFORE(_xlfn.TEXTAFTER(_xlpm.d,"yaw="),"deg"),".",","),"")),"")</f>
        <v>179.34</v>
      </c>
      <c r="X42" t="str" cm="1">
        <f t="array" ref="X42">IF(OR($G42="success",$G42="sucess"),_xlfn.XLOOKUP(1,(Event_logs!$A$2:$A$1588=$A42)*(Event_logs!$H$2:$H$1588="side_align_complete"),Event_logs!$I$2:$I$1588,""),"")</f>
        <v>side_align_left_done | final camera=left ids=[18, 19, 20, 21] target_pair=[18, 19] target_x=+0.3553 target_y=+0.2897 center_x=+0.4680 center_y=+0.5944 yaw=+179.34deg error_x=-0.0007 yaw_error=-0.66deg tolerance_x=0.0060 tolerance_yaw=2.00deg</v>
      </c>
      <c r="Z42" cm="1">
        <f t="array" ref="Z42">IF(OR($G42="success",$G42="sucess",$G42="unsuccessfull",$G42="partial"),_xlfn.LET(_xlpm.d,_xlfn.XLOOKUP(1,(Event_logs!$A$2:$A$1588=$A42)*(Event_logs!$H$2:$H$1588="fine_align_complete"),Event_logs!$I$2:$I$1588,""),IFERROR(_xlfn.NUMBERVALUE(_xlfn.TEXTBEFORE(_xlfn.TEXTAFTER(_xlpm.d,"error_x=")&amp;" "," "),".",","),"")),"")</f>
        <v>3.5000000000000001E-3</v>
      </c>
      <c r="AA42" t="str" cm="1">
        <f t="array" ref="AA42">IF(AND($G42="success",$I42="success"),_xlfn.LET(_xlpm.d,_xlfn.XLOOKUP(1,(Event_logs!$A$2:$A$1588=$A42)*(Event_logs!$H$2:$H$1588="fine_align_complete"),Event_logs!$I$2:$I$1588,""),IFERROR(_xlfn.NUMBERVALUE(_xlfn.TEXTBEFORE(_xlfn.TEXTAFTER(_xlpm.d,"error_x=")&amp;" "," "),".",","),"")),"")</f>
        <v/>
      </c>
      <c r="AB42" cm="1">
        <f t="array" ref="AB42">IF($G42="success",_xlfn.LET(_xlpm.d,_xlfn.XLOOKUP(1,(Event_logs!$A$2:$A$1588=$A42)*(Event_logs!$H$2:$H$1588="fine_align_complete"),Event_logs!$I$2:$I$1588,""),IFERROR(_xlfn.NUMBERVALUE(_xlfn.TEXTBEFORE(_xlfn.TEXTAFTER(_xlpm.d,"error_y=")&amp;" "," "),".",","),"")),"")</f>
        <v>4.7000000000000002E-3</v>
      </c>
      <c r="AC42" t="str" cm="1">
        <f t="array" ref="AC42">IF(AND($G42="success",$I42="success"),_xlfn.LET(_xlpm.d,_xlfn.XLOOKUP(1,(Event_logs!$A$2:$A$1588=$A42)*(Event_logs!$H$2:$H$1588="fine_align_complete"),Event_logs!$I$2:$I$1588,""),IFERROR(_xlfn.NUMBERVALUE(_xlfn.TEXTBEFORE(_xlfn.TEXTAFTER(_xlpm.d,"error_y=")&amp;" "," "),".",","),"")),"")</f>
        <v/>
      </c>
      <c r="AD42" t="str" cm="1">
        <f t="array" ref="AD42">IF(AND($G42="success",$I42="success"),_xlfn.LET(_xlpm.d,_xlfn.XLOOKUP(1,(Event_logs!$A$2:$A$1588=$A42)*(Event_logs!$H$2:$H$1588="fine_align_complete"),Event_logs!$I$2:$I$1588,""),IFERROR(_xlfn.NUMBERVALUE(_xlfn.TEXTBEFORE(_xlfn.TEXTAFTER(_xlpm.d,"yaw_error="),"deg"),".",","),"")),"")</f>
        <v/>
      </c>
      <c r="AE42" cm="1">
        <f t="array" ref="AE42">IF($G42="success",_xlfn.LET(_xlpm.d,_xlfn.XLOOKUP(1,(Event_logs!$A$2:$A$1588=$A42)*(Event_logs!$H$2:$H$1588="fine_align_complete"),Event_logs!$I$2:$I$1588,""),IFERROR(_xlfn.NUMBERVALUE(_xlfn.TEXTBEFORE(_xlfn.TEXTAFTER(_xlpm.d,"yaw_error="),"deg"),".",","),"")),"")</f>
        <v>-1.4</v>
      </c>
    </row>
    <row r="43" spans="1:31" x14ac:dyDescent="0.25">
      <c r="A43" s="41">
        <f>IF(Handnotes!$A$19="y",Handnotes!$B$19,"")</f>
        <v>18</v>
      </c>
      <c r="B43" s="41" t="str">
        <f>IF($A43="","",IFERROR(Handnotes!$C$19,""))</f>
        <v>Flipped 180 deg</v>
      </c>
      <c r="C43" t="str">
        <f>IF($A43="","",IFERROR(Handnotes!$D$19,""))</f>
        <v>Laundry Trolley</v>
      </c>
      <c r="D43" s="41" t="str">
        <f>IF($A43="","",IFERROR(Handnotes!$E$19,""))</f>
        <v>success</v>
      </c>
      <c r="E43" s="41" t="str">
        <f>IF($A43="","",IFERROR(Handnotes!$G$19,""))</f>
        <v>correct</v>
      </c>
      <c r="F43" s="41" t="str">
        <f>IF($A43="","",IFERROR(Handnotes!$H$19,""))</f>
        <v>success</v>
      </c>
      <c r="G43" s="41" t="str">
        <f>IF($A43="","",IFERROR(Handnotes!$J$19,""))</f>
        <v>success</v>
      </c>
      <c r="H43" s="41" t="str">
        <f>IF($A43="","",IFERROR(Handnotes!$K$19,""))</f>
        <v>YES</v>
      </c>
      <c r="I43" s="41" t="str">
        <f>IF($A43="","",IFERROR(Handnotes!$M$19,""))</f>
        <v>partial</v>
      </c>
      <c r="J43" s="41" t="str">
        <f>IF($A43="","",IFERROR(Handnotes!$O$19,""))</f>
        <v>success</v>
      </c>
      <c r="K43" s="41" t="str">
        <f>IF($A43="","",IFERROR(Handnotes!$P$19,""))</f>
        <v>success</v>
      </c>
      <c r="L43" s="41" t="str">
        <f>IF($A43="","",IFERROR(Handnotes!$Q$19,""))</f>
        <v>success</v>
      </c>
      <c r="M43" s="44" cm="1">
        <f t="array" ref="M43">IF($D43="success",_xlfn.LET(_xlpm.run,$A43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11.217000000000001</v>
      </c>
      <c r="N43" s="44" cm="1">
        <f t="array" ref="N43">IF($F43="success",_xlfn.LET(_xlpm.run,$A43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9.423</v>
      </c>
      <c r="O43" s="44" cm="1">
        <f t="array" ref="O43">IF($G43="success",_xlfn.LET(_xlpm.run,$A43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25.977</v>
      </c>
      <c r="P43" s="44">
        <f t="shared" si="6"/>
        <v>46.617000000000004</v>
      </c>
      <c r="Q43" s="44" t="str">
        <f>_xlfn.LET(_xlpm.t,$A43,_xlpm.s,_xlfn.MINIFS(Event_logs!$E$2:$E$1588,Event_logs!$A$2:$A$1588,_xlpm.t,Event_logs!$H$2:$H$1588,"fine_align_complete"),_xlpm.e,_xlfn.MINIFS(Event_logs!$E$2:$E$1588,Event_logs!$A$2:$A$1588,_xlpm.t,Event_logs!$H$2:$H$1588,"docking sucessfull"),IF(AND(OR($I43="success",$I43="sucess"),_xlpm.s&gt;0,_xlpm.e&gt;_xlpm.s),(_xlpm.e-_xlpm.s)/1000,""))</f>
        <v/>
      </c>
      <c r="R43" s="48" cm="1">
        <f t="array" ref="R43">IF($D43="success",_xlfn.LET(_xlpm.d,_xlfn.XLOOKUP(1,(Event_logs!$A$2:$A$1588=$A43)*(Event_logs!$H$2:$H$1588="side_align_complete"),Event_logs!$I$2:$I$1588,""),IFERROR(_xlfn.NUMBERVALUE(_xlfn.TEXTBEFORE(_xlfn.TEXTAFTER(_xlpm.d,"error_x=")&amp;" "," "),".",","),"")),"")</f>
        <v>-2.8E-3</v>
      </c>
      <c r="S43" s="48" cm="1">
        <f t="array" ref="S43">IF(AND($F43="success",$D43="success"),_xlfn.LET(_xlpm.d,_xlfn.XLOOKUP(1,(Event_logs!$A$2:$A$1588=$A43)*(Event_logs!$H$2:$H$1588="side_align_complete"),Event_logs!$I$2:$I$1588,""),IFERROR(_xlfn.NUMBERVALUE(_xlfn.TEXTBEFORE(_xlfn.TEXTAFTER(_xlpm.d,"error_x=")&amp;" "," "),".",","),"")),"")</f>
        <v>-2.8E-3</v>
      </c>
      <c r="T43" s="47" cm="1">
        <f t="array" ref="T43">IF($D43="success",_xlfn.LET(_xlpm.d,_xlfn.XLOOKUP(1,(Event_logs!$A$2:$A$1588=$A43)*(Event_logs!$H$2:$H$1588="side_align_complete"),Event_logs!$I$2:$I$1588,""),IFERROR(_xlfn.NUMBERVALUE(_xlfn.TEXTBEFORE(_xlfn.TEXTAFTER(_xlpm.d,"yaw_error="),"deg"),".",","),"")),"")</f>
        <v>0.7</v>
      </c>
      <c r="U43" s="44" cm="1">
        <f t="array" ref="U43">IF(AND($F43="success",D43="success"),_xlfn.LET(_xlpm.d,_xlfn.XLOOKUP(1,(Event_logs!$A$2:$A$1588=$A43)*(Event_logs!$H$2:$H$1588="side_align_complete"),Event_logs!$I$2:$I$1588,""),IFERROR(_xlfn.NUMBERVALUE(_xlfn.TEXTBEFORE(_xlfn.TEXTAFTER(_xlpm.d,"yaw_error="),"deg"),".",","),"")),"")</f>
        <v>0.7</v>
      </c>
      <c r="V43" s="44"/>
      <c r="W43" s="44" cm="1">
        <f t="array" ref="W43">IF(OR($G43="success",$G43="sucess"),_xlfn.LET(_xlpm.d,_xlfn.XLOOKUP(1,(Event_logs!$A$2:$A$1588=$A43)*(Event_logs!$H$2:$H$1588="side_align_complete"),Event_logs!$I$2:$I$1588,""),IFERROR(_xlfn.NUMBERVALUE(_xlfn.TEXTBEFORE(_xlfn.TEXTAFTER(_xlpm.d,"yaw="),"deg"),".",","),"")),"")</f>
        <v>-179.3</v>
      </c>
      <c r="X43" t="str" cm="1">
        <f t="array" ref="X43">IF(OR($G43="success",$G43="sucess"),_xlfn.XLOOKUP(1,(Event_logs!$A$2:$A$1588=$A43)*(Event_logs!$H$2:$H$1588="side_align_complete"),Event_logs!$I$2:$I$1588,""),"")</f>
        <v>side_align_left_done | final camera=left ids=[18, 19, 20] target_pair=[18, 19] target_x=+0.3532 target_y=+0.2830 center_x=+0.4056 center_y=+0.5901 yaw=-179.30deg error_x=-0.0028 yaw_error=+0.70deg tolerance_x=0.0060 tolerance_yaw=2.00deg</v>
      </c>
      <c r="Z43" cm="1">
        <f t="array" ref="Z43">IF(OR($G43="success",$G43="sucess",$G43="unsuccessfull",$G43="partial"),_xlfn.LET(_xlpm.d,_xlfn.XLOOKUP(1,(Event_logs!$A$2:$A$1588=$A43)*(Event_logs!$H$2:$H$1588="fine_align_complete"),Event_logs!$I$2:$I$1588,""),IFERROR(_xlfn.NUMBERVALUE(_xlfn.TEXTBEFORE(_xlfn.TEXTAFTER(_xlpm.d,"error_x=")&amp;" "," "),".",","),"")),"")</f>
        <v>3.8E-3</v>
      </c>
      <c r="AA43" t="str" cm="1">
        <f t="array" ref="AA43">IF(AND($G43="success",$I43="success"),_xlfn.LET(_xlpm.d,_xlfn.XLOOKUP(1,(Event_logs!$A$2:$A$1588=$A43)*(Event_logs!$H$2:$H$1588="fine_align_complete"),Event_logs!$I$2:$I$1588,""),IFERROR(_xlfn.NUMBERVALUE(_xlfn.TEXTBEFORE(_xlfn.TEXTAFTER(_xlpm.d,"error_x=")&amp;" "," "),".",","),"")),"")</f>
        <v/>
      </c>
      <c r="AB43" cm="1">
        <f t="array" ref="AB43">IF($G43="success",_xlfn.LET(_xlpm.d,_xlfn.XLOOKUP(1,(Event_logs!$A$2:$A$1588=$A43)*(Event_logs!$H$2:$H$1588="fine_align_complete"),Event_logs!$I$2:$I$1588,""),IFERROR(_xlfn.NUMBERVALUE(_xlfn.TEXTBEFORE(_xlfn.TEXTAFTER(_xlpm.d,"error_y=")&amp;" "," "),".",","),"")),"")</f>
        <v>4.5999999999999999E-3</v>
      </c>
      <c r="AC43" t="str" cm="1">
        <f t="array" ref="AC43">IF(AND($G43="success",$I43="success"),_xlfn.LET(_xlpm.d,_xlfn.XLOOKUP(1,(Event_logs!$A$2:$A$1588=$A43)*(Event_logs!$H$2:$H$1588="fine_align_complete"),Event_logs!$I$2:$I$1588,""),IFERROR(_xlfn.NUMBERVALUE(_xlfn.TEXTBEFORE(_xlfn.TEXTAFTER(_xlpm.d,"error_y=")&amp;" "," "),".",","),"")),"")</f>
        <v/>
      </c>
      <c r="AD43" t="str" cm="1">
        <f t="array" ref="AD43">IF(AND($G43="success",$I43="success"),_xlfn.LET(_xlpm.d,_xlfn.XLOOKUP(1,(Event_logs!$A$2:$A$1588=$A43)*(Event_logs!$H$2:$H$1588="fine_align_complete"),Event_logs!$I$2:$I$1588,""),IFERROR(_xlfn.NUMBERVALUE(_xlfn.TEXTBEFORE(_xlfn.TEXTAFTER(_xlpm.d,"yaw_error="),"deg"),".",","),"")),"")</f>
        <v/>
      </c>
      <c r="AE43" cm="1">
        <f t="array" ref="AE43">IF($G43="success",_xlfn.LET(_xlpm.d,_xlfn.XLOOKUP(1,(Event_logs!$A$2:$A$1588=$A43)*(Event_logs!$H$2:$H$1588="fine_align_complete"),Event_logs!$I$2:$I$1588,""),IFERROR(_xlfn.NUMBERVALUE(_xlfn.TEXTBEFORE(_xlfn.TEXTAFTER(_xlpm.d,"yaw_error="),"deg"),".",","),"")),"")</f>
        <v>0.56999999999999995</v>
      </c>
    </row>
    <row r="44" spans="1:31" x14ac:dyDescent="0.25">
      <c r="A44" s="41">
        <f>IF(Handnotes!$A$20="y",Handnotes!$B$20,"")</f>
        <v>19</v>
      </c>
      <c r="B44" s="41" t="str">
        <f>IF($A44="","",IFERROR(Handnotes!$C$20,""))</f>
        <v>Flipped 180 deg</v>
      </c>
      <c r="C44" t="str">
        <f>IF($A44="","",IFERROR(Handnotes!$D$20,""))</f>
        <v>Laundry Trolley</v>
      </c>
      <c r="D44" s="41" t="str">
        <f>IF($A44="","",IFERROR(Handnotes!$E$20,""))</f>
        <v>partial</v>
      </c>
      <c r="E44" s="41" t="str">
        <f>IF($A44="","",IFERROR(Handnotes!$G$20,""))</f>
        <v>correct</v>
      </c>
      <c r="F44" s="41" t="str">
        <f>IF($A44="","",IFERROR(Handnotes!$H$20,""))</f>
        <v>success</v>
      </c>
      <c r="G44" s="41" t="str">
        <f>IF($A44="","",IFERROR(Handnotes!$J$20,""))</f>
        <v>success</v>
      </c>
      <c r="H44" s="41" t="str">
        <f>IF($A44="","",IFERROR(Handnotes!$K$20,""))</f>
        <v>YES</v>
      </c>
      <c r="I44" s="41" t="str">
        <f>IF($A44="","",IFERROR(Handnotes!$M$20,""))</f>
        <v>success</v>
      </c>
      <c r="J44" s="41" t="str">
        <f>IF($A44="","",IFERROR(Handnotes!$O$20,""))</f>
        <v>success</v>
      </c>
      <c r="K44" s="41" t="str">
        <f>IF($A44="","",IFERROR(Handnotes!$P$20,""))</f>
        <v>success</v>
      </c>
      <c r="L44" s="41" t="str">
        <f>IF($A44="","",IFERROR(Handnotes!$Q$20,""))</f>
        <v>success</v>
      </c>
      <c r="M44" s="44" t="str" cm="1">
        <f t="array" ref="M44">IF($D44="success",_xlfn.LET(_xlpm.run,$A44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44" s="44" cm="1">
        <f t="array" ref="N44">IF($F44="success",_xlfn.LET(_xlpm.run,$A44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9.4469999999999992</v>
      </c>
      <c r="O44" s="44" cm="1">
        <f t="array" ref="O44">IF($G44="success",_xlfn.LET(_xlpm.run,$A44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25.445</v>
      </c>
      <c r="P44" s="44" t="str">
        <f t="shared" si="6"/>
        <v/>
      </c>
      <c r="Q44" s="44">
        <f>_xlfn.LET(_xlpm.t,$A44,_xlpm.s,_xlfn.MINIFS(Event_logs!$E$2:$E$1588,Event_logs!$A$2:$A$1588,_xlpm.t,Event_logs!$H$2:$H$1588,"fine_align_complete"),_xlpm.e,_xlfn.MINIFS(Event_logs!$E$2:$E$1588,Event_logs!$A$2:$A$1588,_xlpm.t,Event_logs!$H$2:$H$1588,"docking sucessfull"),IF(AND(OR($I44="success",$I44="sucess"),_xlpm.s&gt;0,_xlpm.e&gt;_xlpm.s),(_xlpm.e-_xlpm.s)/1000,""))</f>
        <v>31.172000000000001</v>
      </c>
      <c r="R44" s="48" t="str" cm="1">
        <f t="array" ref="R44">IF($D44="success",_xlfn.LET(_xlpm.d,_xlfn.XLOOKUP(1,(Event_logs!$A$2:$A$1588=$A44)*(Event_logs!$H$2:$H$1588="side_align_complete"),Event_logs!$I$2:$I$1588,""),IFERROR(_xlfn.NUMBERVALUE(_xlfn.TEXTBEFORE(_xlfn.TEXTAFTER(_xlpm.d,"error_x=")&amp;" "," "),".",","),"")),"")</f>
        <v/>
      </c>
      <c r="S44" s="48" t="str" cm="1">
        <f t="array" ref="S44">IF(AND($F44="success",$D44="success"),_xlfn.LET(_xlpm.d,_xlfn.XLOOKUP(1,(Event_logs!$A$2:$A$1588=$A44)*(Event_logs!$H$2:$H$1588="side_align_complete"),Event_logs!$I$2:$I$1588,""),IFERROR(_xlfn.NUMBERVALUE(_xlfn.TEXTBEFORE(_xlfn.TEXTAFTER(_xlpm.d,"error_x=")&amp;" "," "),".",","),"")),"")</f>
        <v/>
      </c>
      <c r="T44" s="47" t="str" cm="1">
        <f t="array" ref="T44">IF($D44="success",_xlfn.LET(_xlpm.d,_xlfn.XLOOKUP(1,(Event_logs!$A$2:$A$1588=$A44)*(Event_logs!$H$2:$H$1588="side_align_complete"),Event_logs!$I$2:$I$1588,""),IFERROR(_xlfn.NUMBERVALUE(_xlfn.TEXTBEFORE(_xlfn.TEXTAFTER(_xlpm.d,"yaw_error="),"deg"),".",","),"")),"")</f>
        <v/>
      </c>
      <c r="U44" s="44" t="str" cm="1">
        <f t="array" ref="U44">IF(AND($F44="success",D44="success"),_xlfn.LET(_xlpm.d,_xlfn.XLOOKUP(1,(Event_logs!$A$2:$A$1588=$A44)*(Event_logs!$H$2:$H$1588="side_align_complete"),Event_logs!$I$2:$I$1588,""),IFERROR(_xlfn.NUMBERVALUE(_xlfn.TEXTBEFORE(_xlfn.TEXTAFTER(_xlpm.d,"yaw_error="),"deg"),".",","),"")),"")</f>
        <v/>
      </c>
      <c r="V44" s="44"/>
      <c r="W44" s="44" cm="1">
        <f t="array" ref="W44">IF(OR($G44="success",$G44="sucess"),_xlfn.LET(_xlpm.d,_xlfn.XLOOKUP(1,(Event_logs!$A$2:$A$1588=$A44)*(Event_logs!$H$2:$H$1588="side_align_complete"),Event_logs!$I$2:$I$1588,""),IFERROR(_xlfn.NUMBERVALUE(_xlfn.TEXTBEFORE(_xlfn.TEXTAFTER(_xlpm.d,"yaw="),"deg"),".",","),"")),"")</f>
        <v>179.75</v>
      </c>
      <c r="X44" t="str" cm="1">
        <f t="array" ref="X44">IF(OR($G44="success",$G44="sucess"),_xlfn.XLOOKUP(1,(Event_logs!$A$2:$A$1588=$A44)*(Event_logs!$H$2:$H$1588="side_align_complete"),Event_logs!$I$2:$I$1588,""),"")</f>
        <v>side_align_left_done | final camera=left ids=[16, 17, 18, 19, 20] target_pair=[18, 19] target_x=+0.3554 target_y=+0.2576 center_x=+0.3169 center_y=+0.5635 yaw=+179.75deg error_x=-0.0006 yaw_error=-0.25deg tolerance_x=0.0060 tolerance_yaw=2.00deg</v>
      </c>
      <c r="Z44" cm="1">
        <f t="array" ref="Z44">IF(OR($G44="success",$G44="sucess",$G44="unsuccessfull",$G44="partial"),_xlfn.LET(_xlpm.d,_xlfn.XLOOKUP(1,(Event_logs!$A$2:$A$1588=$A44)*(Event_logs!$H$2:$H$1588="fine_align_complete"),Event_logs!$I$2:$I$1588,""),IFERROR(_xlfn.NUMBERVALUE(_xlfn.TEXTBEFORE(_xlfn.TEXTAFTER(_xlpm.d,"error_x=")&amp;" "," "),".",","),"")),"")</f>
        <v>-3.8999999999999998E-3</v>
      </c>
      <c r="AA44" cm="1">
        <f t="array" ref="AA44">IF(AND($G44="success",$I44="success"),_xlfn.LET(_xlpm.d,_xlfn.XLOOKUP(1,(Event_logs!$A$2:$A$1588=$A44)*(Event_logs!$H$2:$H$1588="fine_align_complete"),Event_logs!$I$2:$I$1588,""),IFERROR(_xlfn.NUMBERVALUE(_xlfn.TEXTBEFORE(_xlfn.TEXTAFTER(_xlpm.d,"error_x=")&amp;" "," "),".",","),"")),"")</f>
        <v>-3.8999999999999998E-3</v>
      </c>
      <c r="AB44" cm="1">
        <f t="array" ref="AB44">IF($G44="success",_xlfn.LET(_xlpm.d,_xlfn.XLOOKUP(1,(Event_logs!$A$2:$A$1588=$A44)*(Event_logs!$H$2:$H$1588="fine_align_complete"),Event_logs!$I$2:$I$1588,""),IFERROR(_xlfn.NUMBERVALUE(_xlfn.TEXTBEFORE(_xlfn.TEXTAFTER(_xlpm.d,"error_y=")&amp;" "," "),".",","),"")),"")</f>
        <v>-5.7000000000000002E-3</v>
      </c>
      <c r="AC44" cm="1">
        <f t="array" ref="AC44">IF(AND($G44="success",$I44="success"),_xlfn.LET(_xlpm.d,_xlfn.XLOOKUP(1,(Event_logs!$A$2:$A$1588=$A44)*(Event_logs!$H$2:$H$1588="fine_align_complete"),Event_logs!$I$2:$I$1588,""),IFERROR(_xlfn.NUMBERVALUE(_xlfn.TEXTBEFORE(_xlfn.TEXTAFTER(_xlpm.d,"error_y=")&amp;" "," "),".",","),"")),"")</f>
        <v>-5.7000000000000002E-3</v>
      </c>
      <c r="AD44" cm="1">
        <f t="array" ref="AD44">IF(AND($G44="success",$I44="success"),_xlfn.LET(_xlpm.d,_xlfn.XLOOKUP(1,(Event_logs!$A$2:$A$1588=$A44)*(Event_logs!$H$2:$H$1588="fine_align_complete"),Event_logs!$I$2:$I$1588,""),IFERROR(_xlfn.NUMBERVALUE(_xlfn.TEXTBEFORE(_xlfn.TEXTAFTER(_xlpm.d,"yaw_error="),"deg"),".",","),"")),"")</f>
        <v>2.59</v>
      </c>
      <c r="AE44" cm="1">
        <f t="array" ref="AE44">IF($G44="success",_xlfn.LET(_xlpm.d,_xlfn.XLOOKUP(1,(Event_logs!$A$2:$A$1588=$A44)*(Event_logs!$H$2:$H$1588="fine_align_complete"),Event_logs!$I$2:$I$1588,""),IFERROR(_xlfn.NUMBERVALUE(_xlfn.TEXTBEFORE(_xlfn.TEXTAFTER(_xlpm.d,"yaw_error="),"deg"),".",","),"")),"")</f>
        <v>2.59</v>
      </c>
    </row>
    <row r="45" spans="1:31" x14ac:dyDescent="0.25">
      <c r="A45" s="41">
        <f>IF(Handnotes!$A$21="y",Handnotes!$B$21,"")</f>
        <v>20</v>
      </c>
      <c r="B45" s="41" t="str">
        <f>IF($A45="","",IFERROR(Handnotes!$C$21,""))</f>
        <v>Normal</v>
      </c>
      <c r="C45" t="str">
        <f>IF($A45="","",IFERROR(Handnotes!$D$21,""))</f>
        <v>Laundry Trolley</v>
      </c>
      <c r="D45" s="41" t="str">
        <f>IF($A45="","",IFERROR(Handnotes!$E$21,""))</f>
        <v>partial</v>
      </c>
      <c r="E45" s="41" t="str">
        <f>IF($A45="","",IFERROR(Handnotes!$G$21,""))</f>
        <v>correct</v>
      </c>
      <c r="F45" s="41" t="str">
        <f>IF($A45="","",IFERROR(Handnotes!$H$21,""))</f>
        <v>success</v>
      </c>
      <c r="G45" s="41" t="str">
        <f>IF($A45="","",IFERROR(Handnotes!$J$21,""))</f>
        <v>success</v>
      </c>
      <c r="H45" s="41" t="str">
        <f>IF($A45="","",IFERROR(Handnotes!$K$21,""))</f>
        <v>YES</v>
      </c>
      <c r="I45" s="41" t="str">
        <f>IF($A45="","",IFERROR(Handnotes!$M$21,""))</f>
        <v>success</v>
      </c>
      <c r="J45" s="41" t="str">
        <f>IF($A45="","",IFERROR(Handnotes!$O$21,""))</f>
        <v>success</v>
      </c>
      <c r="K45" s="41" t="str">
        <f>IF($A45="","",IFERROR(Handnotes!$P$21,""))</f>
        <v>success</v>
      </c>
      <c r="L45" s="41" t="str">
        <f>IF($A45="","",IFERROR(Handnotes!$Q$21,""))</f>
        <v>success</v>
      </c>
      <c r="M45" s="44" t="str" cm="1">
        <f t="array" ref="M45">IF($D45="success",_xlfn.LET(_xlpm.run,$A45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45" s="44" cm="1">
        <f t="array" ref="N45">IF($F45="success",_xlfn.LET(_xlpm.run,$A45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9.4130000000000003</v>
      </c>
      <c r="O45" s="44" cm="1">
        <f t="array" ref="O45">IF($G45="success",_xlfn.LET(_xlpm.run,$A45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22.382000000000001</v>
      </c>
      <c r="P45" s="44" t="str">
        <f t="shared" si="6"/>
        <v/>
      </c>
      <c r="Q45" s="44">
        <f>_xlfn.LET(_xlpm.t,$A45,_xlpm.s,_xlfn.MINIFS(Event_logs!$E$2:$E$1588,Event_logs!$A$2:$A$1588,_xlpm.t,Event_logs!$H$2:$H$1588,"fine_align_complete"),_xlpm.e,_xlfn.MINIFS(Event_logs!$E$2:$E$1588,Event_logs!$A$2:$A$1588,_xlpm.t,Event_logs!$H$2:$H$1588,"docking sucessfull"),IF(AND(OR($I45="success",$I45="sucess"),_xlpm.s&gt;0,_xlpm.e&gt;_xlpm.s),(_xlpm.e-_xlpm.s)/1000,""))</f>
        <v>21.754000000000001</v>
      </c>
      <c r="R45" s="48" t="str" cm="1">
        <f t="array" ref="R45">IF($D45="success",_xlfn.LET(_xlpm.d,_xlfn.XLOOKUP(1,(Event_logs!$A$2:$A$1588=$A45)*(Event_logs!$H$2:$H$1588="side_align_complete"),Event_logs!$I$2:$I$1588,""),IFERROR(_xlfn.NUMBERVALUE(_xlfn.TEXTBEFORE(_xlfn.TEXTAFTER(_xlpm.d,"error_x=")&amp;" "," "),".",","),"")),"")</f>
        <v/>
      </c>
      <c r="S45" s="48" t="str" cm="1">
        <f t="array" ref="S45">IF(AND($F45="success",$D45="success"),_xlfn.LET(_xlpm.d,_xlfn.XLOOKUP(1,(Event_logs!$A$2:$A$1588=$A45)*(Event_logs!$H$2:$H$1588="side_align_complete"),Event_logs!$I$2:$I$1588,""),IFERROR(_xlfn.NUMBERVALUE(_xlfn.TEXTBEFORE(_xlfn.TEXTAFTER(_xlpm.d,"error_x=")&amp;" "," "),".",","),"")),"")</f>
        <v/>
      </c>
      <c r="T45" s="47" t="str" cm="1">
        <f t="array" ref="T45">IF($D45="success",_xlfn.LET(_xlpm.d,_xlfn.XLOOKUP(1,(Event_logs!$A$2:$A$1588=$A45)*(Event_logs!$H$2:$H$1588="side_align_complete"),Event_logs!$I$2:$I$1588,""),IFERROR(_xlfn.NUMBERVALUE(_xlfn.TEXTBEFORE(_xlfn.TEXTAFTER(_xlpm.d,"yaw_error="),"deg"),".",","),"")),"")</f>
        <v/>
      </c>
      <c r="U45" s="44" t="str" cm="1">
        <f t="array" ref="U45">IF(AND($F45="success",D45="success"),_xlfn.LET(_xlpm.d,_xlfn.XLOOKUP(1,(Event_logs!$A$2:$A$1588=$A45)*(Event_logs!$H$2:$H$1588="side_align_complete"),Event_logs!$I$2:$I$1588,""),IFERROR(_xlfn.NUMBERVALUE(_xlfn.TEXTBEFORE(_xlfn.TEXTAFTER(_xlpm.d,"yaw_error="),"deg"),".",","),"")),"")</f>
        <v/>
      </c>
      <c r="V45" s="44"/>
      <c r="W45" s="44" cm="1">
        <f t="array" ref="W45">IF(OR($G45="success",$G45="sucess"),_xlfn.LET(_xlpm.d,_xlfn.XLOOKUP(1,(Event_logs!$A$2:$A$1588=$A45)*(Event_logs!$H$2:$H$1588="side_align_complete"),Event_logs!$I$2:$I$1588,""),IFERROR(_xlfn.NUMBERVALUE(_xlfn.TEXTBEFORE(_xlfn.TEXTAFTER(_xlpm.d,"yaw="),"deg"),".",","),"")),"")</f>
        <v>179.7</v>
      </c>
      <c r="X45" t="str" cm="1">
        <f t="array" ref="X45">IF(OR($G45="success",$G45="sucess"),_xlfn.XLOOKUP(1,(Event_logs!$A$2:$A$1588=$A45)*(Event_logs!$H$2:$H$1588="side_align_complete"),Event_logs!$I$2:$I$1588,""),"")</f>
        <v>side_align_left_done | final camera=left ids=[23, 24, 25, 26] target_pair=[24, 25] target_x=+0.3527 target_y=+0.2633 center_x=+0.3612 center_y=-0.0438 yaw=+179.70deg error_x=-0.0033 yaw_error=-0.30deg tolerance_x=0.0060 tolerance_yaw=2.00deg</v>
      </c>
      <c r="Z45" cm="1">
        <f t="array" ref="Z45">IF(OR($G45="success",$G45="sucess",$G45="unsuccessfull",$G45="partial"),_xlfn.LET(_xlpm.d,_xlfn.XLOOKUP(1,(Event_logs!$A$2:$A$1588=$A45)*(Event_logs!$H$2:$H$1588="fine_align_complete"),Event_logs!$I$2:$I$1588,""),IFERROR(_xlfn.NUMBERVALUE(_xlfn.TEXTBEFORE(_xlfn.TEXTAFTER(_xlpm.d,"error_x=")&amp;" "," "),".",","),"")),"")</f>
        <v>-3.7000000000000002E-3</v>
      </c>
      <c r="AA45" cm="1">
        <f t="array" ref="AA45">IF(AND($G45="success",$I45="success"),_xlfn.LET(_xlpm.d,_xlfn.XLOOKUP(1,(Event_logs!$A$2:$A$1588=$A45)*(Event_logs!$H$2:$H$1588="fine_align_complete"),Event_logs!$I$2:$I$1588,""),IFERROR(_xlfn.NUMBERVALUE(_xlfn.TEXTBEFORE(_xlfn.TEXTAFTER(_xlpm.d,"error_x=")&amp;" "," "),".",","),"")),"")</f>
        <v>-3.7000000000000002E-3</v>
      </c>
      <c r="AB45" cm="1">
        <f t="array" ref="AB45">IF($G45="success",_xlfn.LET(_xlpm.d,_xlfn.XLOOKUP(1,(Event_logs!$A$2:$A$1588=$A45)*(Event_logs!$H$2:$H$1588="fine_align_complete"),Event_logs!$I$2:$I$1588,""),IFERROR(_xlfn.NUMBERVALUE(_xlfn.TEXTBEFORE(_xlfn.TEXTAFTER(_xlpm.d,"error_y=")&amp;" "," "),".",","),"")),"")</f>
        <v>-6.1000000000000004E-3</v>
      </c>
      <c r="AC45" cm="1">
        <f t="array" ref="AC45">IF(AND($G45="success",$I45="success"),_xlfn.LET(_xlpm.d,_xlfn.XLOOKUP(1,(Event_logs!$A$2:$A$1588=$A45)*(Event_logs!$H$2:$H$1588="fine_align_complete"),Event_logs!$I$2:$I$1588,""),IFERROR(_xlfn.NUMBERVALUE(_xlfn.TEXTBEFORE(_xlfn.TEXTAFTER(_xlpm.d,"error_y=")&amp;" "," "),".",","),"")),"")</f>
        <v>-6.1000000000000004E-3</v>
      </c>
      <c r="AD45" cm="1">
        <f t="array" ref="AD45">IF(AND($G45="success",$I45="success"),_xlfn.LET(_xlpm.d,_xlfn.XLOOKUP(1,(Event_logs!$A$2:$A$1588=$A45)*(Event_logs!$H$2:$H$1588="fine_align_complete"),Event_logs!$I$2:$I$1588,""),IFERROR(_xlfn.NUMBERVALUE(_xlfn.TEXTBEFORE(_xlfn.TEXTAFTER(_xlpm.d,"yaw_error="),"deg"),".",","),"")),"")</f>
        <v>-1.38</v>
      </c>
      <c r="AE45" cm="1">
        <f t="array" ref="AE45">IF($G45="success",_xlfn.LET(_xlpm.d,_xlfn.XLOOKUP(1,(Event_logs!$A$2:$A$1588=$A45)*(Event_logs!$H$2:$H$1588="fine_align_complete"),Event_logs!$I$2:$I$1588,""),IFERROR(_xlfn.NUMBERVALUE(_xlfn.TEXTBEFORE(_xlfn.TEXTAFTER(_xlpm.d,"yaw_error="),"deg"),".",","),"")),"")</f>
        <v>-1.38</v>
      </c>
    </row>
    <row r="46" spans="1:31" x14ac:dyDescent="0.25">
      <c r="A46" s="41" t="str">
        <f>IF(Handnotes!$A$22="y",Handnotes!$B$22,"")</f>
        <v/>
      </c>
      <c r="B46" s="41" t="str">
        <f>IF($A46="","",IFERROR(Handnotes!$C$22,""))</f>
        <v/>
      </c>
      <c r="C46" t="str">
        <f>IF($A46="","",IFERROR(Handnotes!$D$22,""))</f>
        <v/>
      </c>
      <c r="D46" s="41" t="str">
        <f>IF($A46="","",IFERROR(Handnotes!$E$22,""))</f>
        <v/>
      </c>
      <c r="E46" s="41" t="str">
        <f>IF($A46="","",IFERROR(Handnotes!$G$22,""))</f>
        <v/>
      </c>
      <c r="F46" s="41" t="str">
        <f>IF($A46="","",IFERROR(Handnotes!$H$22,""))</f>
        <v/>
      </c>
      <c r="G46" s="41" t="str">
        <f>IF($A46="","",IFERROR(Handnotes!$J$22,""))</f>
        <v/>
      </c>
      <c r="H46" s="41" t="str">
        <f>IF($A46="","",IFERROR(Handnotes!$K$22,""))</f>
        <v/>
      </c>
      <c r="I46" s="41" t="str">
        <f>IF($A46="","",IFERROR(Handnotes!$M$22,""))</f>
        <v/>
      </c>
      <c r="J46" s="41" t="str">
        <f>IF($A46="","",IFERROR(Handnotes!$O$22,""))</f>
        <v/>
      </c>
      <c r="K46" s="41" t="str">
        <f>IF($A46="","",IFERROR(Handnotes!$P$22,""))</f>
        <v/>
      </c>
      <c r="L46" s="41" t="str">
        <f>IF($A46="","",IFERROR(Handnotes!$Q$22,""))</f>
        <v/>
      </c>
      <c r="M46" s="44" t="str" cm="1">
        <f t="array" ref="M46">IF($D46="success",_xlfn.LET(_xlpm.run,$A46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46" s="44" t="str" cm="1">
        <f t="array" ref="N46">IF($F46="success",_xlfn.LET(_xlpm.run,$A46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O46" s="44" t="str" cm="1">
        <f t="array" ref="O46">IF($G46="success",_xlfn.LET(_xlpm.run,$A46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46" s="44" t="str">
        <f t="shared" si="6"/>
        <v/>
      </c>
      <c r="Q46" s="44" t="str">
        <f>_xlfn.LET(_xlpm.t,$A46,_xlpm.s,_xlfn.MINIFS(Event_logs!$E$2:$E$1588,Event_logs!$A$2:$A$1588,_xlpm.t,Event_logs!$H$2:$H$1588,"fine_align_complete"),_xlpm.e,_xlfn.MINIFS(Event_logs!$E$2:$E$1588,Event_logs!$A$2:$A$1588,_xlpm.t,Event_logs!$H$2:$H$1588,"docking sucessfull"),IF(AND(OR($I46="success",$I46="sucess"),_xlpm.s&gt;0,_xlpm.e&gt;_xlpm.s),(_xlpm.e-_xlpm.s)/1000,""))</f>
        <v/>
      </c>
      <c r="R46" s="48" t="str" cm="1">
        <f t="array" ref="R46">IF($D46="success",_xlfn.LET(_xlpm.d,_xlfn.XLOOKUP(1,(Event_logs!$A$2:$A$1588=$A46)*(Event_logs!$H$2:$H$1588="side_align_complete"),Event_logs!$I$2:$I$1588,""),IFERROR(_xlfn.NUMBERVALUE(_xlfn.TEXTBEFORE(_xlfn.TEXTAFTER(_xlpm.d,"error_x=")&amp;" "," "),".",","),"")),"")</f>
        <v/>
      </c>
      <c r="S46" s="48" t="str" cm="1">
        <f t="array" ref="S46">IF(AND($F46="success",$D46="success"),_xlfn.LET(_xlpm.d,_xlfn.XLOOKUP(1,(Event_logs!$A$2:$A$1588=$A46)*(Event_logs!$H$2:$H$1588="side_align_complete"),Event_logs!$I$2:$I$1588,""),IFERROR(_xlfn.NUMBERVALUE(_xlfn.TEXTBEFORE(_xlfn.TEXTAFTER(_xlpm.d,"error_x=")&amp;" "," "),".",","),"")),"")</f>
        <v/>
      </c>
      <c r="T46" s="47" t="str" cm="1">
        <f t="array" ref="T46">IF($D46="success",_xlfn.LET(_xlpm.d,_xlfn.XLOOKUP(1,(Event_logs!$A$2:$A$1588=$A46)*(Event_logs!$H$2:$H$1588="side_align_complete"),Event_logs!$I$2:$I$1588,""),IFERROR(_xlfn.NUMBERVALUE(_xlfn.TEXTBEFORE(_xlfn.TEXTAFTER(_xlpm.d,"yaw_error="),"deg"),".",","),"")),"")</f>
        <v/>
      </c>
      <c r="U46" s="44" t="str" cm="1">
        <f t="array" ref="U46">IF(AND($F46="success",D46="success"),_xlfn.LET(_xlpm.d,_xlfn.XLOOKUP(1,(Event_logs!$A$2:$A$1588=$A46)*(Event_logs!$H$2:$H$1588="side_align_complete"),Event_logs!$I$2:$I$1588,""),IFERROR(_xlfn.NUMBERVALUE(_xlfn.TEXTBEFORE(_xlfn.TEXTAFTER(_xlpm.d,"yaw_error="),"deg"),".",","),"")),"")</f>
        <v/>
      </c>
      <c r="V46" s="44"/>
      <c r="W46" s="44" t="str" cm="1">
        <f t="array" ref="W46">IF(OR($G46="success",$G46="sucess"),_xlfn.LET(_xlpm.d,_xlfn.XLOOKUP(1,(Event_logs!$A$2:$A$1588=$A46)*(Event_logs!$H$2:$H$1588="side_align_complete"),Event_logs!$I$2:$I$1588,""),IFERROR(_xlfn.NUMBERVALUE(_xlfn.TEXTBEFORE(_xlfn.TEXTAFTER(_xlpm.d,"yaw="),"deg"),".",","),"")),"")</f>
        <v/>
      </c>
      <c r="X46" t="str" cm="1">
        <f t="array" ref="X46">IF(OR($G46="success",$G46="sucess"),_xlfn.XLOOKUP(1,(Event_logs!$A$2:$A$1588=$A46)*(Event_logs!$H$2:$H$1588="side_align_complete"),Event_logs!$I$2:$I$1588,""),"")</f>
        <v/>
      </c>
      <c r="Z46" t="str" cm="1">
        <f t="array" ref="Z46">IF(OR($G46="success",$G46="sucess",$G46="unsuccessfull",$G46="partial"),_xlfn.LET(_xlpm.d,_xlfn.XLOOKUP(1,(Event_logs!$A$2:$A$1588=$A46)*(Event_logs!$H$2:$H$1588="fine_align_complete"),Event_logs!$I$2:$I$1588,""),IFERROR(_xlfn.NUMBERVALUE(_xlfn.TEXTBEFORE(_xlfn.TEXTAFTER(_xlpm.d,"error_x=")&amp;" "," "),".",","),"")),"")</f>
        <v/>
      </c>
      <c r="AA46" t="str" cm="1">
        <f t="array" ref="AA46">IF(AND($G46="success",$I46="success"),_xlfn.LET(_xlpm.d,_xlfn.XLOOKUP(1,(Event_logs!$A$2:$A$1588=$A46)*(Event_logs!$H$2:$H$1588="fine_align_complete"),Event_logs!$I$2:$I$1588,""),IFERROR(_xlfn.NUMBERVALUE(_xlfn.TEXTBEFORE(_xlfn.TEXTAFTER(_xlpm.d,"error_x=")&amp;" "," "),".",","),"")),"")</f>
        <v/>
      </c>
      <c r="AB46" t="str" cm="1">
        <f t="array" ref="AB46">IF($G46="success",_xlfn.LET(_xlpm.d,_xlfn.XLOOKUP(1,(Event_logs!$A$2:$A$1588=$A46)*(Event_logs!$H$2:$H$1588="fine_align_complete"),Event_logs!$I$2:$I$1588,""),IFERROR(_xlfn.NUMBERVALUE(_xlfn.TEXTBEFORE(_xlfn.TEXTAFTER(_xlpm.d,"error_y=")&amp;" "," "),".",","),"")),"")</f>
        <v/>
      </c>
      <c r="AC46" t="str" cm="1">
        <f t="array" ref="AC46">IF(AND($G46="success",$I46="success"),_xlfn.LET(_xlpm.d,_xlfn.XLOOKUP(1,(Event_logs!$A$2:$A$1588=$A46)*(Event_logs!$H$2:$H$1588="fine_align_complete"),Event_logs!$I$2:$I$1588,""),IFERROR(_xlfn.NUMBERVALUE(_xlfn.TEXTBEFORE(_xlfn.TEXTAFTER(_xlpm.d,"error_y=")&amp;" "," "),".",","),"")),"")</f>
        <v/>
      </c>
      <c r="AD46" t="str" cm="1">
        <f t="array" ref="AD46">IF(AND($G46="success",$I46="success"),_xlfn.LET(_xlpm.d,_xlfn.XLOOKUP(1,(Event_logs!$A$2:$A$1588=$A46)*(Event_logs!$H$2:$H$1588="fine_align_complete"),Event_logs!$I$2:$I$1588,""),IFERROR(_xlfn.NUMBERVALUE(_xlfn.TEXTBEFORE(_xlfn.TEXTAFTER(_xlpm.d,"yaw_error="),"deg"),".",","),"")),"")</f>
        <v/>
      </c>
      <c r="AE46" t="str" cm="1">
        <f t="array" ref="AE46">IF($G46="success",_xlfn.LET(_xlpm.d,_xlfn.XLOOKUP(1,(Event_logs!$A$2:$A$1588=$A46)*(Event_logs!$H$2:$H$1588="fine_align_complete"),Event_logs!$I$2:$I$1588,""),IFERROR(_xlfn.NUMBERVALUE(_xlfn.TEXTBEFORE(_xlfn.TEXTAFTER(_xlpm.d,"yaw_error="),"deg"),".",","),"")),"")</f>
        <v/>
      </c>
    </row>
    <row r="47" spans="1:31" x14ac:dyDescent="0.25">
      <c r="A47" s="41">
        <f>IF(Handnotes!$A$23="y",Handnotes!$B$23,"")</f>
        <v>21</v>
      </c>
      <c r="B47" s="41" t="str">
        <f>IF($A47="","",IFERROR(Handnotes!$C$23,""))</f>
        <v>Normal</v>
      </c>
      <c r="C47" t="str">
        <f>IF($A47="","",IFERROR(Handnotes!$D$23,""))</f>
        <v>Laundry Trolley</v>
      </c>
      <c r="D47" s="41" t="str">
        <f>IF($A47="","",IFERROR(Handnotes!$E$23,""))</f>
        <v>success</v>
      </c>
      <c r="E47" s="41" t="str">
        <f>IF($A47="","",IFERROR(Handnotes!$G$23,""))</f>
        <v>correct</v>
      </c>
      <c r="F47" s="41" t="str">
        <f>IF($A47="","",IFERROR(Handnotes!$H$23,""))</f>
        <v>success</v>
      </c>
      <c r="G47" s="41" t="str">
        <f>IF($A47="","",IFERROR(Handnotes!$J$23,""))</f>
        <v>success</v>
      </c>
      <c r="H47" s="41" t="str">
        <f>IF($A47="","",IFERROR(Handnotes!$K$23,""))</f>
        <v>YES</v>
      </c>
      <c r="I47" s="41" t="str">
        <f>IF($A47="","",IFERROR(Handnotes!$M$23,""))</f>
        <v>success</v>
      </c>
      <c r="J47" s="41" t="str">
        <f>IF($A47="","",IFERROR(Handnotes!$O$23,""))</f>
        <v>success</v>
      </c>
      <c r="K47" s="41" t="str">
        <f>IF($A47="","",IFERROR(Handnotes!$P$23,""))</f>
        <v>success</v>
      </c>
      <c r="L47" s="41" t="str">
        <f>IF($A47="","",IFERROR(Handnotes!$Q$23,""))</f>
        <v>success</v>
      </c>
      <c r="M47" s="44" t="str" cm="1">
        <f t="array" ref="M47">IF($D47="success",_xlfn.LET(_xlpm.run,$A47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47" s="44" cm="1">
        <f t="array" ref="N47">IF($F47="success",_xlfn.LET(_xlpm.run,$A47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9.4039999999999999</v>
      </c>
      <c r="O47" s="44" cm="1">
        <f t="array" ref="O47">IF($G47="success",_xlfn.LET(_xlpm.run,$A47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23.454000000000001</v>
      </c>
      <c r="P47" s="44">
        <f t="shared" si="6"/>
        <v>32.858000000000004</v>
      </c>
      <c r="Q47" s="44">
        <f>_xlfn.LET(_xlpm.t,$A47,_xlpm.s,_xlfn.MINIFS(Event_logs!$E$2:$E$1588,Event_logs!$A$2:$A$1588,_xlpm.t,Event_logs!$H$2:$H$1588,"fine_align_complete"),_xlpm.e,_xlfn.MINIFS(Event_logs!$E$2:$E$1588,Event_logs!$A$2:$A$1588,_xlpm.t,Event_logs!$H$2:$H$1588,"docking sucessfull"),IF(AND(OR($I47="success",$I47="sucess"),_xlpm.s&gt;0,_xlpm.e&gt;_xlpm.s),(_xlpm.e-_xlpm.s)/1000,""))</f>
        <v>22.559000000000001</v>
      </c>
      <c r="R47" s="48" t="str" cm="1">
        <f t="array" ref="R47">IF($D47="success",_xlfn.LET(_xlpm.d,_xlfn.XLOOKUP(1,(Event_logs!$A$2:$A$1588=$A47)*(Event_logs!$H$2:$H$1588="side_align_complete"),Event_logs!$I$2:$I$1588,""),IFERROR(_xlfn.NUMBERVALUE(_xlfn.TEXTBEFORE(_xlfn.TEXTAFTER(_xlpm.d,"error_x=")&amp;" "," "),".",","),"")),"")</f>
        <v/>
      </c>
      <c r="S47" s="48" t="str" cm="1">
        <f t="array" ref="S47">IF(AND($F47="success",$D47="success"),_xlfn.LET(_xlpm.d,_xlfn.XLOOKUP(1,(Event_logs!$A$2:$A$1588=$A47)*(Event_logs!$H$2:$H$1588="side_align_complete"),Event_logs!$I$2:$I$1588,""),IFERROR(_xlfn.NUMBERVALUE(_xlfn.TEXTBEFORE(_xlfn.TEXTAFTER(_xlpm.d,"error_x=")&amp;" "," "),".",","),"")),"")</f>
        <v/>
      </c>
      <c r="T47" s="47" t="str" cm="1">
        <f t="array" ref="T47">IF($D47="success",_xlfn.LET(_xlpm.d,_xlfn.XLOOKUP(1,(Event_logs!$A$2:$A$1588=$A47)*(Event_logs!$H$2:$H$1588="side_align_complete"),Event_logs!$I$2:$I$1588,""),IFERROR(_xlfn.NUMBERVALUE(_xlfn.TEXTBEFORE(_xlfn.TEXTAFTER(_xlpm.d,"yaw_error="),"deg"),".",","),"")),"")</f>
        <v/>
      </c>
      <c r="U47" s="44" t="str" cm="1">
        <f t="array" ref="U47">IF(AND($F47="success",D47="success"),_xlfn.LET(_xlpm.d,_xlfn.XLOOKUP(1,(Event_logs!$A$2:$A$1588=$A47)*(Event_logs!$H$2:$H$1588="side_align_complete"),Event_logs!$I$2:$I$1588,""),IFERROR(_xlfn.NUMBERVALUE(_xlfn.TEXTBEFORE(_xlfn.TEXTAFTER(_xlpm.d,"yaw_error="),"deg"),".",","),"")),"")</f>
        <v/>
      </c>
      <c r="V47" s="44"/>
      <c r="W47" s="44" t="str" cm="1">
        <f t="array" ref="W47">IF(OR($G47="success",$G47="sucess"),_xlfn.LET(_xlpm.d,_xlfn.XLOOKUP(1,(Event_logs!$A$2:$A$1588=$A47)*(Event_logs!$H$2:$H$1588="side_align_complete"),Event_logs!$I$2:$I$1588,""),IFERROR(_xlfn.NUMBERVALUE(_xlfn.TEXTBEFORE(_xlfn.TEXTAFTER(_xlpm.d,"yaw="),"deg"),".",","),"")),"")</f>
        <v/>
      </c>
      <c r="X47" t="str" cm="1">
        <f t="array" ref="X47">IF(OR($G47="success",$G47="sucess"),_xlfn.XLOOKUP(1,(Event_logs!$A$2:$A$1588=$A47)*(Event_logs!$H$2:$H$1588="side_align_complete"),Event_logs!$I$2:$I$1588,""),"")</f>
        <v/>
      </c>
      <c r="Z47" cm="1">
        <f t="array" ref="Z47">IF(OR($G47="success",$G47="sucess",$G47="unsuccessfull",$G47="partial"),_xlfn.LET(_xlpm.d,_xlfn.XLOOKUP(1,(Event_logs!$A$2:$A$1588=$A47)*(Event_logs!$H$2:$H$1588="fine_align_complete"),Event_logs!$I$2:$I$1588,""),IFERROR(_xlfn.NUMBERVALUE(_xlfn.TEXTBEFORE(_xlfn.TEXTAFTER(_xlpm.d,"error_x=")&amp;" "," "),".",","),"")),"")</f>
        <v>-3.5999999999999999E-3</v>
      </c>
      <c r="AA47" cm="1">
        <f t="array" ref="AA47">IF(AND($G47="success",$I47="success"),_xlfn.LET(_xlpm.d,_xlfn.XLOOKUP(1,(Event_logs!$A$2:$A$1588=$A47)*(Event_logs!$H$2:$H$1588="fine_align_complete"),Event_logs!$I$2:$I$1588,""),IFERROR(_xlfn.NUMBERVALUE(_xlfn.TEXTBEFORE(_xlfn.TEXTAFTER(_xlpm.d,"error_x=")&amp;" "," "),".",","),"")),"")</f>
        <v>-3.5999999999999999E-3</v>
      </c>
      <c r="AB47" cm="1">
        <f t="array" ref="AB47">IF($G47="success",_xlfn.LET(_xlpm.d,_xlfn.XLOOKUP(1,(Event_logs!$A$2:$A$1588=$A47)*(Event_logs!$H$2:$H$1588="fine_align_complete"),Event_logs!$I$2:$I$1588,""),IFERROR(_xlfn.NUMBERVALUE(_xlfn.TEXTBEFORE(_xlfn.TEXTAFTER(_xlpm.d,"error_y=")&amp;" "," "),".",","),"")),"")</f>
        <v>-4.7000000000000002E-3</v>
      </c>
      <c r="AC47" cm="1">
        <f t="array" ref="AC47">IF(AND($G47="success",$I47="success"),_xlfn.LET(_xlpm.d,_xlfn.XLOOKUP(1,(Event_logs!$A$2:$A$1588=$A47)*(Event_logs!$H$2:$H$1588="fine_align_complete"),Event_logs!$I$2:$I$1588,""),IFERROR(_xlfn.NUMBERVALUE(_xlfn.TEXTBEFORE(_xlfn.TEXTAFTER(_xlpm.d,"error_y=")&amp;" "," "),".",","),"")),"")</f>
        <v>-4.7000000000000002E-3</v>
      </c>
      <c r="AD47" cm="1">
        <f t="array" ref="AD47">IF(AND($G47="success",$I47="success"),_xlfn.LET(_xlpm.d,_xlfn.XLOOKUP(1,(Event_logs!$A$2:$A$1588=$A47)*(Event_logs!$H$2:$H$1588="fine_align_complete"),Event_logs!$I$2:$I$1588,""),IFERROR(_xlfn.NUMBERVALUE(_xlfn.TEXTBEFORE(_xlfn.TEXTAFTER(_xlpm.d,"yaw_error="),"deg"),".",","),"")),"")</f>
        <v>-1.79</v>
      </c>
      <c r="AE47" cm="1">
        <f t="array" ref="AE47">IF($G47="success",_xlfn.LET(_xlpm.d,_xlfn.XLOOKUP(1,(Event_logs!$A$2:$A$1588=$A47)*(Event_logs!$H$2:$H$1588="fine_align_complete"),Event_logs!$I$2:$I$1588,""),IFERROR(_xlfn.NUMBERVALUE(_xlfn.TEXTBEFORE(_xlfn.TEXTAFTER(_xlpm.d,"yaw_error="),"deg"),".",","),"")),"")</f>
        <v>-1.79</v>
      </c>
    </row>
    <row r="48" spans="1:31" x14ac:dyDescent="0.25">
      <c r="A48" s="41">
        <f>IF(Handnotes!$A$24="y",Handnotes!$B$24,"")</f>
        <v>22</v>
      </c>
      <c r="B48" s="41" t="str">
        <f>IF($A48="","",IFERROR(Handnotes!$C$24,""))</f>
        <v>Normal</v>
      </c>
      <c r="C48" t="str">
        <f>IF($A48="","",IFERROR(Handnotes!$D$24,""))</f>
        <v>Laundry Trolley</v>
      </c>
      <c r="D48" s="41" t="str">
        <f>IF($A48="","",IFERROR(Handnotes!$E$24,""))</f>
        <v>unsuccessfull</v>
      </c>
      <c r="E48" s="41" t="str">
        <f>IF($A48="","",IFERROR(Handnotes!$G$24,""))</f>
        <v>correct</v>
      </c>
      <c r="F48" s="41" t="str">
        <f>IF($A48="","",IFERROR(Handnotes!$H$24,""))</f>
        <v>unsuccessful</v>
      </c>
      <c r="G48" s="41">
        <f>IF($A48="","",IFERROR(Handnotes!$J$24,""))</f>
        <v>0</v>
      </c>
      <c r="H48" s="41">
        <f>IF($A48="","",IFERROR(Handnotes!$K$24,""))</f>
        <v>0</v>
      </c>
      <c r="I48" s="41">
        <f>IF($A48="","",IFERROR(Handnotes!$M$24,""))</f>
        <v>0</v>
      </c>
      <c r="J48" s="41">
        <f>IF($A48="","",IFERROR(Handnotes!$O$24,""))</f>
        <v>0</v>
      </c>
      <c r="K48" s="41">
        <f>IF($A48="","",IFERROR(Handnotes!$P$24,""))</f>
        <v>0</v>
      </c>
      <c r="L48" s="41">
        <f>IF($A48="","",IFERROR(Handnotes!$Q$24,""))</f>
        <v>0</v>
      </c>
      <c r="M48" s="44" t="str" cm="1">
        <f t="array" ref="M48">IF($D48="success",_xlfn.LET(_xlpm.run,$A48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48" s="44" t="str" cm="1">
        <f t="array" ref="N48">IF($F48="success",_xlfn.LET(_xlpm.run,$A48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O48" s="44" t="str" cm="1">
        <f t="array" ref="O48">IF($G48="success",_xlfn.LET(_xlpm.run,$A48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48" s="44" t="str">
        <f t="shared" si="6"/>
        <v/>
      </c>
      <c r="Q48" s="44" t="str">
        <f>_xlfn.LET(_xlpm.t,$A48,_xlpm.s,_xlfn.MINIFS(Event_logs!$E$2:$E$1588,Event_logs!$A$2:$A$1588,_xlpm.t,Event_logs!$H$2:$H$1588,"fine_align_complete"),_xlpm.e,_xlfn.MINIFS(Event_logs!$E$2:$E$1588,Event_logs!$A$2:$A$1588,_xlpm.t,Event_logs!$H$2:$H$1588,"docking sucessfull"),IF(AND(OR($I48="success",$I48="sucess"),_xlpm.s&gt;0,_xlpm.e&gt;_xlpm.s),(_xlpm.e-_xlpm.s)/1000,""))</f>
        <v/>
      </c>
      <c r="R48" s="48" t="str" cm="1">
        <f t="array" ref="R48">IF($D48="success",_xlfn.LET(_xlpm.d,_xlfn.XLOOKUP(1,(Event_logs!$A$2:$A$1588=$A48)*(Event_logs!$H$2:$H$1588="side_align_complete"),Event_logs!$I$2:$I$1588,""),IFERROR(_xlfn.NUMBERVALUE(_xlfn.TEXTBEFORE(_xlfn.TEXTAFTER(_xlpm.d,"error_x=")&amp;" "," "),".",","),"")),"")</f>
        <v/>
      </c>
      <c r="S48" s="48" t="str" cm="1">
        <f t="array" ref="S48">IF(AND($F48="success",$D48="success"),_xlfn.LET(_xlpm.d,_xlfn.XLOOKUP(1,(Event_logs!$A$2:$A$1588=$A48)*(Event_logs!$H$2:$H$1588="side_align_complete"),Event_logs!$I$2:$I$1588,""),IFERROR(_xlfn.NUMBERVALUE(_xlfn.TEXTBEFORE(_xlfn.TEXTAFTER(_xlpm.d,"error_x=")&amp;" "," "),".",","),"")),"")</f>
        <v/>
      </c>
      <c r="T48" s="47" t="str" cm="1">
        <f t="array" ref="T48">IF($D48="success",_xlfn.LET(_xlpm.d,_xlfn.XLOOKUP(1,(Event_logs!$A$2:$A$1588=$A48)*(Event_logs!$H$2:$H$1588="side_align_complete"),Event_logs!$I$2:$I$1588,""),IFERROR(_xlfn.NUMBERVALUE(_xlfn.TEXTBEFORE(_xlfn.TEXTAFTER(_xlpm.d,"yaw_error="),"deg"),".",","),"")),"")</f>
        <v/>
      </c>
      <c r="U48" s="44" t="str" cm="1">
        <f t="array" ref="U48">IF(AND($F48="success",D48="success"),_xlfn.LET(_xlpm.d,_xlfn.XLOOKUP(1,(Event_logs!$A$2:$A$1588=$A48)*(Event_logs!$H$2:$H$1588="side_align_complete"),Event_logs!$I$2:$I$1588,""),IFERROR(_xlfn.NUMBERVALUE(_xlfn.TEXTBEFORE(_xlfn.TEXTAFTER(_xlpm.d,"yaw_error="),"deg"),".",","),"")),"")</f>
        <v/>
      </c>
      <c r="V48" s="44"/>
      <c r="W48" s="44" t="str" cm="1">
        <f t="array" ref="W48">IF(OR($G48="success",$G48="sucess"),_xlfn.LET(_xlpm.d,_xlfn.XLOOKUP(1,(Event_logs!$A$2:$A$1588=$A48)*(Event_logs!$H$2:$H$1588="side_align_complete"),Event_logs!$I$2:$I$1588,""),IFERROR(_xlfn.NUMBERVALUE(_xlfn.TEXTBEFORE(_xlfn.TEXTAFTER(_xlpm.d,"yaw="),"deg"),".",","),"")),"")</f>
        <v/>
      </c>
      <c r="X48" t="str" cm="1">
        <f t="array" ref="X48">IF(OR($G48="success",$G48="sucess"),_xlfn.XLOOKUP(1,(Event_logs!$A$2:$A$1588=$A48)*(Event_logs!$H$2:$H$1588="side_align_complete"),Event_logs!$I$2:$I$1588,""),"")</f>
        <v/>
      </c>
      <c r="Z48" t="str" cm="1">
        <f t="array" ref="Z48">IF(OR($G48="success",$G48="sucess",$G48="unsuccessfull",$G48="partial"),_xlfn.LET(_xlpm.d,_xlfn.XLOOKUP(1,(Event_logs!$A$2:$A$1588=$A48)*(Event_logs!$H$2:$H$1588="fine_align_complete"),Event_logs!$I$2:$I$1588,""),IFERROR(_xlfn.NUMBERVALUE(_xlfn.TEXTBEFORE(_xlfn.TEXTAFTER(_xlpm.d,"error_x=")&amp;" "," "),".",","),"")),"")</f>
        <v/>
      </c>
      <c r="AA48" t="str" cm="1">
        <f t="array" ref="AA48">IF(AND($G48="success",$I48="success"),_xlfn.LET(_xlpm.d,_xlfn.XLOOKUP(1,(Event_logs!$A$2:$A$1588=$A48)*(Event_logs!$H$2:$H$1588="fine_align_complete"),Event_logs!$I$2:$I$1588,""),IFERROR(_xlfn.NUMBERVALUE(_xlfn.TEXTBEFORE(_xlfn.TEXTAFTER(_xlpm.d,"error_x=")&amp;" "," "),".",","),"")),"")</f>
        <v/>
      </c>
      <c r="AB48" t="str" cm="1">
        <f t="array" ref="AB48">IF($G48="success",_xlfn.LET(_xlpm.d,_xlfn.XLOOKUP(1,(Event_logs!$A$2:$A$1588=$A48)*(Event_logs!$H$2:$H$1588="fine_align_complete"),Event_logs!$I$2:$I$1588,""),IFERROR(_xlfn.NUMBERVALUE(_xlfn.TEXTBEFORE(_xlfn.TEXTAFTER(_xlpm.d,"error_y=")&amp;" "," "),".",","),"")),"")</f>
        <v/>
      </c>
      <c r="AC48" t="str" cm="1">
        <f t="array" ref="AC48">IF(AND($G48="success",$I48="success"),_xlfn.LET(_xlpm.d,_xlfn.XLOOKUP(1,(Event_logs!$A$2:$A$1588=$A48)*(Event_logs!$H$2:$H$1588="fine_align_complete"),Event_logs!$I$2:$I$1588,""),IFERROR(_xlfn.NUMBERVALUE(_xlfn.TEXTBEFORE(_xlfn.TEXTAFTER(_xlpm.d,"error_y=")&amp;" "," "),".",","),"")),"")</f>
        <v/>
      </c>
      <c r="AD48" t="str" cm="1">
        <f t="array" ref="AD48">IF(AND($G48="success",$I48="success"),_xlfn.LET(_xlpm.d,_xlfn.XLOOKUP(1,(Event_logs!$A$2:$A$1588=$A48)*(Event_logs!$H$2:$H$1588="fine_align_complete"),Event_logs!$I$2:$I$1588,""),IFERROR(_xlfn.NUMBERVALUE(_xlfn.TEXTBEFORE(_xlfn.TEXTAFTER(_xlpm.d,"yaw_error="),"deg"),".",","),"")),"")</f>
        <v/>
      </c>
      <c r="AE48" t="str" cm="1">
        <f t="array" ref="AE48">IF($G48="success",_xlfn.LET(_xlpm.d,_xlfn.XLOOKUP(1,(Event_logs!$A$2:$A$1588=$A48)*(Event_logs!$H$2:$H$1588="fine_align_complete"),Event_logs!$I$2:$I$1588,""),IFERROR(_xlfn.NUMBERVALUE(_xlfn.TEXTBEFORE(_xlfn.TEXTAFTER(_xlpm.d,"yaw_error="),"deg"),".",","),"")),"")</f>
        <v/>
      </c>
    </row>
    <row r="49" spans="1:31" x14ac:dyDescent="0.25">
      <c r="A49" s="41">
        <f>IF(Handnotes!$A$25="y",Handnotes!$B$25,"")</f>
        <v>23</v>
      </c>
      <c r="B49" s="41" t="str">
        <f>IF($A49="","",IFERROR(Handnotes!$C$25,""))</f>
        <v>Normal</v>
      </c>
      <c r="C49" t="str">
        <f>IF($A49="","",IFERROR(Handnotes!$D$25,""))</f>
        <v>Laundry Trolley</v>
      </c>
      <c r="D49" s="41" t="str">
        <f>IF($A49="","",IFERROR(Handnotes!$E$25,""))</f>
        <v>success</v>
      </c>
      <c r="E49" s="41" t="str">
        <f>IF($A49="","",IFERROR(Handnotes!$G$25,""))</f>
        <v>correct</v>
      </c>
      <c r="F49" s="41" t="str">
        <f>IF($A49="","",IFERROR(Handnotes!$H$25,""))</f>
        <v>success</v>
      </c>
      <c r="G49" s="41" t="str">
        <f>IF($A49="","",IFERROR(Handnotes!$J$25,""))</f>
        <v>partial</v>
      </c>
      <c r="H49" s="41" t="str">
        <f>IF($A49="","",IFERROR(Handnotes!$K$25,""))</f>
        <v>YES</v>
      </c>
      <c r="I49" s="41" t="str">
        <f>IF($A49="","",IFERROR(Handnotes!$M$25,""))</f>
        <v>partial</v>
      </c>
      <c r="J49" s="41" t="str">
        <f>IF($A49="","",IFERROR(Handnotes!$O$25,""))</f>
        <v>unsuccessfull</v>
      </c>
      <c r="K49" s="41" t="str">
        <f>IF($A49="","",IFERROR(Handnotes!$P$25,""))</f>
        <v>unsuccessfull</v>
      </c>
      <c r="L49" s="41">
        <f>IF($A49="","",IFERROR(Handnotes!$Q$25,""))</f>
        <v>0</v>
      </c>
      <c r="M49" s="44" cm="1">
        <f t="array" ref="M49">IF($D49="success",_xlfn.LET(_xlpm.run,$A49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13.475</v>
      </c>
      <c r="N49" s="44" cm="1">
        <f t="array" ref="N49">IF($F49="success",_xlfn.LET(_xlpm.run,$A49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9.3780000000000001</v>
      </c>
      <c r="O49" s="44" t="str" cm="1">
        <f t="array" ref="O49">IF($G49="success",_xlfn.LET(_xlpm.run,$A49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49" s="44" t="str">
        <f t="shared" si="6"/>
        <v/>
      </c>
      <c r="Q49" s="44" t="str">
        <f>_xlfn.LET(_xlpm.t,$A49,_xlpm.s,_xlfn.MINIFS(Event_logs!$E$2:$E$1588,Event_logs!$A$2:$A$1588,_xlpm.t,Event_logs!$H$2:$H$1588,"fine_align_complete"),_xlpm.e,_xlfn.MINIFS(Event_logs!$E$2:$E$1588,Event_logs!$A$2:$A$1588,_xlpm.t,Event_logs!$H$2:$H$1588,"docking sucessfull"),IF(AND(OR($I49="success",$I49="sucess"),_xlpm.s&gt;0,_xlpm.e&gt;_xlpm.s),(_xlpm.e-_xlpm.s)/1000,""))</f>
        <v/>
      </c>
      <c r="R49" s="48" cm="1">
        <f t="array" ref="R49">IF($D49="success",_xlfn.LET(_xlpm.d,_xlfn.XLOOKUP(1,(Event_logs!$A$2:$A$1588=$A49)*(Event_logs!$H$2:$H$1588="side_align_complete"),Event_logs!$I$2:$I$1588,""),IFERROR(_xlfn.NUMBERVALUE(_xlfn.TEXTBEFORE(_xlfn.TEXTAFTER(_xlpm.d,"error_x=")&amp;" "," "),".",","),"")),"")</f>
        <v>4.7000000000000002E-3</v>
      </c>
      <c r="S49" s="48" cm="1">
        <f t="array" ref="S49">IF(AND($F49="success",$D49="success"),_xlfn.LET(_xlpm.d,_xlfn.XLOOKUP(1,(Event_logs!$A$2:$A$1588=$A49)*(Event_logs!$H$2:$H$1588="side_align_complete"),Event_logs!$I$2:$I$1588,""),IFERROR(_xlfn.NUMBERVALUE(_xlfn.TEXTBEFORE(_xlfn.TEXTAFTER(_xlpm.d,"error_x=")&amp;" "," "),".",","),"")),"")</f>
        <v>4.7000000000000002E-3</v>
      </c>
      <c r="T49" s="47" cm="1">
        <f t="array" ref="T49">IF($D49="success",_xlfn.LET(_xlpm.d,_xlfn.XLOOKUP(1,(Event_logs!$A$2:$A$1588=$A49)*(Event_logs!$H$2:$H$1588="side_align_complete"),Event_logs!$I$2:$I$1588,""),IFERROR(_xlfn.NUMBERVALUE(_xlfn.TEXTBEFORE(_xlfn.TEXTAFTER(_xlpm.d,"yaw_error="),"deg"),".",","),"")),"")</f>
        <v>-0.8</v>
      </c>
      <c r="U49" s="44" cm="1">
        <f t="array" ref="U49">IF(AND($F49="success",D49="success"),_xlfn.LET(_xlpm.d,_xlfn.XLOOKUP(1,(Event_logs!$A$2:$A$1588=$A49)*(Event_logs!$H$2:$H$1588="side_align_complete"),Event_logs!$I$2:$I$1588,""),IFERROR(_xlfn.NUMBERVALUE(_xlfn.TEXTBEFORE(_xlfn.TEXTAFTER(_xlpm.d,"yaw_error="),"deg"),".",","),"")),"")</f>
        <v>-0.8</v>
      </c>
      <c r="V49" s="44"/>
      <c r="W49" s="44" t="str" cm="1">
        <f t="array" ref="W49">IF(OR($G49="success",$G49="sucess"),_xlfn.LET(_xlpm.d,_xlfn.XLOOKUP(1,(Event_logs!$A$2:$A$1588=$A49)*(Event_logs!$H$2:$H$1588="side_align_complete"),Event_logs!$I$2:$I$1588,""),IFERROR(_xlfn.NUMBERVALUE(_xlfn.TEXTBEFORE(_xlfn.TEXTAFTER(_xlpm.d,"yaw="),"deg"),".",","),"")),"")</f>
        <v/>
      </c>
      <c r="X49" t="str" cm="1">
        <f t="array" ref="X49">IF(OR($G49="success",$G49="sucess"),_xlfn.XLOOKUP(1,(Event_logs!$A$2:$A$1588=$A49)*(Event_logs!$H$2:$H$1588="side_align_complete"),Event_logs!$I$2:$I$1588,""),"")</f>
        <v/>
      </c>
      <c r="Z49" cm="1">
        <f t="array" ref="Z49">IF(OR($G49="success",$G49="sucess",$G49="unsuccessfull",$G49="partial"),_xlfn.LET(_xlpm.d,_xlfn.XLOOKUP(1,(Event_logs!$A$2:$A$1588=$A49)*(Event_logs!$H$2:$H$1588="fine_align_complete"),Event_logs!$I$2:$I$1588,""),IFERROR(_xlfn.NUMBERVALUE(_xlfn.TEXTBEFORE(_xlfn.TEXTAFTER(_xlpm.d,"error_x=")&amp;" "," "),".",","),"")),"")</f>
        <v>-2E-3</v>
      </c>
      <c r="AA49" t="str" cm="1">
        <f t="array" ref="AA49">IF(AND($G49="success",$I49="success"),_xlfn.LET(_xlpm.d,_xlfn.XLOOKUP(1,(Event_logs!$A$2:$A$1588=$A49)*(Event_logs!$H$2:$H$1588="fine_align_complete"),Event_logs!$I$2:$I$1588,""),IFERROR(_xlfn.NUMBERVALUE(_xlfn.TEXTBEFORE(_xlfn.TEXTAFTER(_xlpm.d,"error_x=")&amp;" "," "),".",","),"")),"")</f>
        <v/>
      </c>
      <c r="AB49" t="str" cm="1">
        <f t="array" ref="AB49">IF($G49="success",_xlfn.LET(_xlpm.d,_xlfn.XLOOKUP(1,(Event_logs!$A$2:$A$1588=$A49)*(Event_logs!$H$2:$H$1588="fine_align_complete"),Event_logs!$I$2:$I$1588,""),IFERROR(_xlfn.NUMBERVALUE(_xlfn.TEXTBEFORE(_xlfn.TEXTAFTER(_xlpm.d,"error_y=")&amp;" "," "),".",","),"")),"")</f>
        <v/>
      </c>
      <c r="AC49" t="str" cm="1">
        <f t="array" ref="AC49">IF(AND($G49="success",$I49="success"),_xlfn.LET(_xlpm.d,_xlfn.XLOOKUP(1,(Event_logs!$A$2:$A$1588=$A49)*(Event_logs!$H$2:$H$1588="fine_align_complete"),Event_logs!$I$2:$I$1588,""),IFERROR(_xlfn.NUMBERVALUE(_xlfn.TEXTBEFORE(_xlfn.TEXTAFTER(_xlpm.d,"error_y=")&amp;" "," "),".",","),"")),"")</f>
        <v/>
      </c>
      <c r="AD49" t="str" cm="1">
        <f t="array" ref="AD49">IF(AND($G49="success",$I49="success"),_xlfn.LET(_xlpm.d,_xlfn.XLOOKUP(1,(Event_logs!$A$2:$A$1588=$A49)*(Event_logs!$H$2:$H$1588="fine_align_complete"),Event_logs!$I$2:$I$1588,""),IFERROR(_xlfn.NUMBERVALUE(_xlfn.TEXTBEFORE(_xlfn.TEXTAFTER(_xlpm.d,"yaw_error="),"deg"),".",","),"")),"")</f>
        <v/>
      </c>
      <c r="AE49" t="str" cm="1">
        <f t="array" ref="AE49">IF($G49="success",_xlfn.LET(_xlpm.d,_xlfn.XLOOKUP(1,(Event_logs!$A$2:$A$1588=$A49)*(Event_logs!$H$2:$H$1588="fine_align_complete"),Event_logs!$I$2:$I$1588,""),IFERROR(_xlfn.NUMBERVALUE(_xlfn.TEXTBEFORE(_xlfn.TEXTAFTER(_xlpm.d,"yaw_error="),"deg"),".",","),"")),"")</f>
        <v/>
      </c>
    </row>
    <row r="50" spans="1:31" x14ac:dyDescent="0.25">
      <c r="A50" s="41">
        <f>IF(Handnotes!$A$26="y",Handnotes!$B$26,"")</f>
        <v>24</v>
      </c>
      <c r="B50" s="41" t="str">
        <f>IF($A50="","",IFERROR(Handnotes!$C$26,""))</f>
        <v>Flipped 180 deg</v>
      </c>
      <c r="C50" t="str">
        <f>IF($A50="","",IFERROR(Handnotes!$D$26,""))</f>
        <v>Trash Trolley</v>
      </c>
      <c r="D50" s="41" t="str">
        <f>IF($A50="","",IFERROR(Handnotes!$E$26,""))</f>
        <v>success</v>
      </c>
      <c r="E50" s="41" t="str">
        <f>IF($A50="","",IFERROR(Handnotes!$G$26,""))</f>
        <v>correct</v>
      </c>
      <c r="F50" s="41" t="str">
        <f>IF($A50="","",IFERROR(Handnotes!$H$26,""))</f>
        <v>unsuccessfull</v>
      </c>
      <c r="G50" s="41">
        <f>IF($A50="","",IFERROR(Handnotes!$J$26,""))</f>
        <v>0</v>
      </c>
      <c r="H50" s="41"/>
      <c r="I50" s="41">
        <f>IF($A50="","",IFERROR(Handnotes!$M$26,""))</f>
        <v>0</v>
      </c>
      <c r="J50" s="41">
        <f>IF($A50="","",IFERROR(Handnotes!$O$26,""))</f>
        <v>0</v>
      </c>
      <c r="K50" s="41">
        <f>IF($A50="","",IFERROR(Handnotes!$P$26,""))</f>
        <v>0</v>
      </c>
      <c r="L50" s="41">
        <f>IF($A50="","",IFERROR(Handnotes!$Q$26,""))</f>
        <v>0</v>
      </c>
      <c r="M50" s="44" cm="1">
        <f t="array" ref="M50">IF($D50="success",_xlfn.LET(_xlpm.run,$A50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10.808999999999999</v>
      </c>
      <c r="N50" s="44" t="str" cm="1">
        <f t="array" ref="N50">IF($F50="success",_xlfn.LET(_xlpm.run,$A50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O50" s="44" t="str" cm="1">
        <f t="array" ref="O50">IF($G50="success",_xlfn.LET(_xlpm.run,$A50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50" s="44" t="str">
        <f t="shared" si="6"/>
        <v/>
      </c>
      <c r="Q50" s="44" t="str">
        <f>_xlfn.LET(_xlpm.t,$A50,_xlpm.s,_xlfn.MINIFS(Event_logs!$E$2:$E$1588,Event_logs!$A$2:$A$1588,_xlpm.t,Event_logs!$H$2:$H$1588,"fine_align_complete"),_xlpm.e,_xlfn.MINIFS(Event_logs!$E$2:$E$1588,Event_logs!$A$2:$A$1588,_xlpm.t,Event_logs!$H$2:$H$1588,"docking sucessfull"),IF(AND(OR($I50="success",$I50="sucess"),_xlpm.s&gt;0,_xlpm.e&gt;_xlpm.s),(_xlpm.e-_xlpm.s)/1000,""))</f>
        <v/>
      </c>
      <c r="R50" s="48" cm="1">
        <f t="array" ref="R50">IF($D50="success",_xlfn.LET(_xlpm.d,_xlfn.XLOOKUP(1,(Event_logs!$A$2:$A$1588=$A50)*(Event_logs!$H$2:$H$1588="side_align_complete"),Event_logs!$I$2:$I$1588,""),IFERROR(_xlfn.NUMBERVALUE(_xlfn.TEXTBEFORE(_xlfn.TEXTAFTER(_xlpm.d,"error_x=")&amp;" "," "),".",","),"")),"")</f>
        <v>3.2000000000000002E-3</v>
      </c>
      <c r="S50" s="48" t="str" cm="1">
        <f t="array" ref="S50">IF(AND($F50="success",$D50="success"),_xlfn.LET(_xlpm.d,_xlfn.XLOOKUP(1,(Event_logs!$A$2:$A$1588=$A50)*(Event_logs!$H$2:$H$1588="side_align_complete"),Event_logs!$I$2:$I$1588,""),IFERROR(_xlfn.NUMBERVALUE(_xlfn.TEXTBEFORE(_xlfn.TEXTAFTER(_xlpm.d,"error_x=")&amp;" "," "),".",","),"")),"")</f>
        <v/>
      </c>
      <c r="T50" s="47" cm="1">
        <f t="array" ref="T50">IF($D50="success",_xlfn.LET(_xlpm.d,_xlfn.XLOOKUP(1,(Event_logs!$A$2:$A$1588=$A50)*(Event_logs!$H$2:$H$1588="side_align_complete"),Event_logs!$I$2:$I$1588,""),IFERROR(_xlfn.NUMBERVALUE(_xlfn.TEXTBEFORE(_xlfn.TEXTAFTER(_xlpm.d,"yaw_error="),"deg"),".",","),"")),"")</f>
        <v>0.24</v>
      </c>
      <c r="U50" s="44" t="str" cm="1">
        <f t="array" ref="U50">IF(AND($F50="success",D50="success"),_xlfn.LET(_xlpm.d,_xlfn.XLOOKUP(1,(Event_logs!$A$2:$A$1588=$A50)*(Event_logs!$H$2:$H$1588="side_align_complete"),Event_logs!$I$2:$I$1588,""),IFERROR(_xlfn.NUMBERVALUE(_xlfn.TEXTBEFORE(_xlfn.TEXTAFTER(_xlpm.d,"yaw_error="),"deg"),".",","),"")),"")</f>
        <v/>
      </c>
      <c r="V50" s="44"/>
      <c r="W50" s="44" t="str" cm="1">
        <f t="array" ref="W50">IF(OR($G50="success",$G50="sucess"),_xlfn.LET(_xlpm.d,_xlfn.XLOOKUP(1,(Event_logs!$A$2:$A$1588=$A50)*(Event_logs!$H$2:$H$1588="side_align_complete"),Event_logs!$I$2:$I$1588,""),IFERROR(_xlfn.NUMBERVALUE(_xlfn.TEXTBEFORE(_xlfn.TEXTAFTER(_xlpm.d,"yaw="),"deg"),".",","),"")),"")</f>
        <v/>
      </c>
      <c r="X50" t="str" cm="1">
        <f t="array" ref="X50">IF(OR($G50="success",$G50="sucess"),_xlfn.XLOOKUP(1,(Event_logs!$A$2:$A$1588=$A50)*(Event_logs!$H$2:$H$1588="side_align_complete"),Event_logs!$I$2:$I$1588,""),"")</f>
        <v/>
      </c>
      <c r="Z50" t="str" cm="1">
        <f t="array" ref="Z50">IF(OR($G50="success",$G50="sucess",$G50="unsuccessfull",$G50="partial"),_xlfn.LET(_xlpm.d,_xlfn.XLOOKUP(1,(Event_logs!$A$2:$A$1588=$A50)*(Event_logs!$H$2:$H$1588="fine_align_complete"),Event_logs!$I$2:$I$1588,""),IFERROR(_xlfn.NUMBERVALUE(_xlfn.TEXTBEFORE(_xlfn.TEXTAFTER(_xlpm.d,"error_x=")&amp;" "," "),".",","),"")),"")</f>
        <v/>
      </c>
      <c r="AA50" t="str" cm="1">
        <f t="array" ref="AA50">IF(AND($G50="success",$I50="success"),_xlfn.LET(_xlpm.d,_xlfn.XLOOKUP(1,(Event_logs!$A$2:$A$1588=$A50)*(Event_logs!$H$2:$H$1588="fine_align_complete"),Event_logs!$I$2:$I$1588,""),IFERROR(_xlfn.NUMBERVALUE(_xlfn.TEXTBEFORE(_xlfn.TEXTAFTER(_xlpm.d,"error_x=")&amp;" "," "),".",","),"")),"")</f>
        <v/>
      </c>
      <c r="AB50" t="str" cm="1">
        <f t="array" ref="AB50">IF($G50="success",_xlfn.LET(_xlpm.d,_xlfn.XLOOKUP(1,(Event_logs!$A$2:$A$1588=$A50)*(Event_logs!$H$2:$H$1588="fine_align_complete"),Event_logs!$I$2:$I$1588,""),IFERROR(_xlfn.NUMBERVALUE(_xlfn.TEXTBEFORE(_xlfn.TEXTAFTER(_xlpm.d,"error_y=")&amp;" "," "),".",","),"")),"")</f>
        <v/>
      </c>
      <c r="AC50" t="str" cm="1">
        <f t="array" ref="AC50">IF(AND($G50="success",$I50="success"),_xlfn.LET(_xlpm.d,_xlfn.XLOOKUP(1,(Event_logs!$A$2:$A$1588=$A50)*(Event_logs!$H$2:$H$1588="fine_align_complete"),Event_logs!$I$2:$I$1588,""),IFERROR(_xlfn.NUMBERVALUE(_xlfn.TEXTBEFORE(_xlfn.TEXTAFTER(_xlpm.d,"error_y=")&amp;" "," "),".",","),"")),"")</f>
        <v/>
      </c>
      <c r="AD50" t="str" cm="1">
        <f t="array" ref="AD50">IF(AND($G50="success",$I50="success"),_xlfn.LET(_xlpm.d,_xlfn.XLOOKUP(1,(Event_logs!$A$2:$A$1588=$A50)*(Event_logs!$H$2:$H$1588="fine_align_complete"),Event_logs!$I$2:$I$1588,""),IFERROR(_xlfn.NUMBERVALUE(_xlfn.TEXTBEFORE(_xlfn.TEXTAFTER(_xlpm.d,"yaw_error="),"deg"),".",","),"")),"")</f>
        <v/>
      </c>
      <c r="AE50" t="str" cm="1">
        <f t="array" ref="AE50">IF($G50="success",_xlfn.LET(_xlpm.d,_xlfn.XLOOKUP(1,(Event_logs!$A$2:$A$1588=$A50)*(Event_logs!$H$2:$H$1588="fine_align_complete"),Event_logs!$I$2:$I$1588,""),IFERROR(_xlfn.NUMBERVALUE(_xlfn.TEXTBEFORE(_xlfn.TEXTAFTER(_xlpm.d,"yaw_error="),"deg"),".",","),"")),"")</f>
        <v/>
      </c>
    </row>
    <row r="51" spans="1:31" x14ac:dyDescent="0.25">
      <c r="A51" s="41" t="str">
        <f>IF(Handnotes!$A$27="y",Handnotes!$B$27,"")</f>
        <v/>
      </c>
      <c r="B51" s="41" t="str">
        <f>IF($A51="","",IFERROR(Handnotes!$C$27,""))</f>
        <v/>
      </c>
      <c r="C51" t="str">
        <f>IF($A51="","",IFERROR(Handnotes!$D$27,""))</f>
        <v/>
      </c>
      <c r="D51" s="41" t="str">
        <f>IF($A51="","",IFERROR(Handnotes!$E$27,""))</f>
        <v/>
      </c>
      <c r="E51" s="41" t="str">
        <f>IF($A51="","",IFERROR(Handnotes!$G$27,""))</f>
        <v/>
      </c>
      <c r="F51" s="41" t="str">
        <f>IF($A51="","",IFERROR(Handnotes!$H$27,""))</f>
        <v/>
      </c>
      <c r="G51" s="41" t="str">
        <f>IF($A51="","",IFERROR(Handnotes!$J$27,""))</f>
        <v/>
      </c>
      <c r="H51" s="41" t="str">
        <f>IF($A51="","",IFERROR(Handnotes!$K$27,""))</f>
        <v/>
      </c>
      <c r="I51" s="41" t="str">
        <f>IF($A51="","",IFERROR(Handnotes!$M$27,""))</f>
        <v/>
      </c>
      <c r="J51" s="41" t="str">
        <f>IF($A51="","",IFERROR(Handnotes!$O$27,""))</f>
        <v/>
      </c>
      <c r="K51" s="41" t="str">
        <f>IF($A51="","",IFERROR(Handnotes!$P$27,""))</f>
        <v/>
      </c>
      <c r="L51" s="41" t="str">
        <f>IF($A51="","",IFERROR(Handnotes!$Q$27,""))</f>
        <v/>
      </c>
      <c r="M51" s="44" t="str" cm="1">
        <f t="array" ref="M51">IF($D51="success",_xlfn.LET(_xlpm.run,$A51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51" s="44" t="str" cm="1">
        <f t="array" ref="N51">IF($F51="success",_xlfn.LET(_xlpm.run,$A51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O51" s="44" t="str" cm="1">
        <f t="array" ref="O51">IF($G51="success",_xlfn.LET(_xlpm.run,$A51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51" s="44" t="str">
        <f t="shared" si="6"/>
        <v/>
      </c>
      <c r="Q51" s="44" t="str">
        <f>_xlfn.LET(_xlpm.t,$A51,_xlpm.s,_xlfn.MINIFS(Event_logs!$E$2:$E$1588,Event_logs!$A$2:$A$1588,_xlpm.t,Event_logs!$H$2:$H$1588,"fine_align_complete"),_xlpm.e,_xlfn.MINIFS(Event_logs!$E$2:$E$1588,Event_logs!$A$2:$A$1588,_xlpm.t,Event_logs!$H$2:$H$1588,"docking sucessfull"),IF(AND(OR($I51="success",$I51="sucess"),_xlpm.s&gt;0,_xlpm.e&gt;_xlpm.s),(_xlpm.e-_xlpm.s)/1000,""))</f>
        <v/>
      </c>
      <c r="R51" s="48" t="str" cm="1">
        <f t="array" ref="R51">IF($D51="success",_xlfn.LET(_xlpm.d,_xlfn.XLOOKUP(1,(Event_logs!$A$2:$A$1588=$A51)*(Event_logs!$H$2:$H$1588="side_align_complete"),Event_logs!$I$2:$I$1588,""),IFERROR(_xlfn.NUMBERVALUE(_xlfn.TEXTBEFORE(_xlfn.TEXTAFTER(_xlpm.d,"error_x=")&amp;" "," "),".",","),"")),"")</f>
        <v/>
      </c>
      <c r="S51" s="48" t="str" cm="1">
        <f t="array" ref="S51">IF(AND($F51="success",$D51="success"),_xlfn.LET(_xlpm.d,_xlfn.XLOOKUP(1,(Event_logs!$A$2:$A$1588=$A51)*(Event_logs!$H$2:$H$1588="side_align_complete"),Event_logs!$I$2:$I$1588,""),IFERROR(_xlfn.NUMBERVALUE(_xlfn.TEXTBEFORE(_xlfn.TEXTAFTER(_xlpm.d,"error_x=")&amp;" "," "),".",","),"")),"")</f>
        <v/>
      </c>
      <c r="T51" s="47" t="str" cm="1">
        <f t="array" ref="T51">IF($D51="success",_xlfn.LET(_xlpm.d,_xlfn.XLOOKUP(1,(Event_logs!$A$2:$A$1588=$A51)*(Event_logs!$H$2:$H$1588="side_align_complete"),Event_logs!$I$2:$I$1588,""),IFERROR(_xlfn.NUMBERVALUE(_xlfn.TEXTBEFORE(_xlfn.TEXTAFTER(_xlpm.d,"yaw_error="),"deg"),".",","),"")),"")</f>
        <v/>
      </c>
      <c r="U51" s="44" t="str" cm="1">
        <f t="array" ref="U51">IF(AND($F51="success",D51="success"),_xlfn.LET(_xlpm.d,_xlfn.XLOOKUP(1,(Event_logs!$A$2:$A$1588=$A51)*(Event_logs!$H$2:$H$1588="side_align_complete"),Event_logs!$I$2:$I$1588,""),IFERROR(_xlfn.NUMBERVALUE(_xlfn.TEXTBEFORE(_xlfn.TEXTAFTER(_xlpm.d,"yaw_error="),"deg"),".",","),"")),"")</f>
        <v/>
      </c>
      <c r="V51" s="44"/>
      <c r="W51" s="44" t="str" cm="1">
        <f t="array" ref="W51">IF(OR($G51="success",$G51="sucess"),_xlfn.LET(_xlpm.d,_xlfn.XLOOKUP(1,(Event_logs!$A$2:$A$1588=$A51)*(Event_logs!$H$2:$H$1588="side_align_complete"),Event_logs!$I$2:$I$1588,""),IFERROR(_xlfn.NUMBERVALUE(_xlfn.TEXTBEFORE(_xlfn.TEXTAFTER(_xlpm.d,"yaw="),"deg"),".",","),"")),"")</f>
        <v/>
      </c>
      <c r="X51" t="str" cm="1">
        <f t="array" ref="X51">IF(OR($G51="success",$G51="sucess"),_xlfn.XLOOKUP(1,(Event_logs!$A$2:$A$1588=$A51)*(Event_logs!$H$2:$H$1588="side_align_complete"),Event_logs!$I$2:$I$1588,""),"")</f>
        <v/>
      </c>
      <c r="Z51" t="str" cm="1">
        <f t="array" ref="Z51">IF(OR($G51="success",$G51="sucess",$G51="unsuccessfull",$G51="partial"),_xlfn.LET(_xlpm.d,_xlfn.XLOOKUP(1,(Event_logs!$A$2:$A$1588=$A51)*(Event_logs!$H$2:$H$1588="fine_align_complete"),Event_logs!$I$2:$I$1588,""),IFERROR(_xlfn.NUMBERVALUE(_xlfn.TEXTBEFORE(_xlfn.TEXTAFTER(_xlpm.d,"error_x=")&amp;" "," "),".",","),"")),"")</f>
        <v/>
      </c>
      <c r="AA51" t="str" cm="1">
        <f t="array" ref="AA51">IF(AND($G51="success",$I51="success"),_xlfn.LET(_xlpm.d,_xlfn.XLOOKUP(1,(Event_logs!$A$2:$A$1588=$A51)*(Event_logs!$H$2:$H$1588="fine_align_complete"),Event_logs!$I$2:$I$1588,""),IFERROR(_xlfn.NUMBERVALUE(_xlfn.TEXTBEFORE(_xlfn.TEXTAFTER(_xlpm.d,"error_x=")&amp;" "," "),".",","),"")),"")</f>
        <v/>
      </c>
      <c r="AB51" t="str" cm="1">
        <f t="array" ref="AB51">IF($G51="success",_xlfn.LET(_xlpm.d,_xlfn.XLOOKUP(1,(Event_logs!$A$2:$A$1588=$A51)*(Event_logs!$H$2:$H$1588="fine_align_complete"),Event_logs!$I$2:$I$1588,""),IFERROR(_xlfn.NUMBERVALUE(_xlfn.TEXTBEFORE(_xlfn.TEXTAFTER(_xlpm.d,"error_y=")&amp;" "," "),".",","),"")),"")</f>
        <v/>
      </c>
      <c r="AC51" t="str" cm="1">
        <f t="array" ref="AC51">IF(AND($G51="success",$I51="success"),_xlfn.LET(_xlpm.d,_xlfn.XLOOKUP(1,(Event_logs!$A$2:$A$1588=$A51)*(Event_logs!$H$2:$H$1588="fine_align_complete"),Event_logs!$I$2:$I$1588,""),IFERROR(_xlfn.NUMBERVALUE(_xlfn.TEXTBEFORE(_xlfn.TEXTAFTER(_xlpm.d,"error_y=")&amp;" "," "),".",","),"")),"")</f>
        <v/>
      </c>
      <c r="AD51" t="str" cm="1">
        <f t="array" ref="AD51">IF(AND($G51="success",$I51="success"),_xlfn.LET(_xlpm.d,_xlfn.XLOOKUP(1,(Event_logs!$A$2:$A$1588=$A51)*(Event_logs!$H$2:$H$1588="fine_align_complete"),Event_logs!$I$2:$I$1588,""),IFERROR(_xlfn.NUMBERVALUE(_xlfn.TEXTBEFORE(_xlfn.TEXTAFTER(_xlpm.d,"yaw_error="),"deg"),".",","),"")),"")</f>
        <v/>
      </c>
      <c r="AE51" t="str" cm="1">
        <f t="array" ref="AE51">IF($G51="success",_xlfn.LET(_xlpm.d,_xlfn.XLOOKUP(1,(Event_logs!$A$2:$A$1588=$A51)*(Event_logs!$H$2:$H$1588="fine_align_complete"),Event_logs!$I$2:$I$1588,""),IFERROR(_xlfn.NUMBERVALUE(_xlfn.TEXTBEFORE(_xlfn.TEXTAFTER(_xlpm.d,"yaw_error="),"deg"),".",","),"")),"")</f>
        <v/>
      </c>
    </row>
    <row r="52" spans="1:31" x14ac:dyDescent="0.25">
      <c r="A52" s="41">
        <f>IF(Handnotes!$A$28="y",Handnotes!$B$28,"")</f>
        <v>25</v>
      </c>
      <c r="B52" s="41" t="str">
        <f>IF($A52="","",IFERROR(Handnotes!$C$28,""))</f>
        <v>Flipped 180 deg</v>
      </c>
      <c r="C52" t="str">
        <f>IF($A52="","",IFERROR(Handnotes!$D$28,""))</f>
        <v>Trash Trolley</v>
      </c>
      <c r="D52" s="41" t="str">
        <f>IF($A52="","",IFERROR(Handnotes!$E$28,""))</f>
        <v>success</v>
      </c>
      <c r="E52" s="41" t="str">
        <f>IF($A52="","",IFERROR(Handnotes!$G$28,""))</f>
        <v>correct</v>
      </c>
      <c r="F52" s="41" t="str">
        <f>IF($A52="","",IFERROR(Handnotes!$H$28,""))</f>
        <v>success</v>
      </c>
      <c r="G52" s="41" t="str">
        <f>IF($A52="","",IFERROR(Handnotes!$J$28,""))</f>
        <v>success</v>
      </c>
      <c r="H52" s="41" t="str">
        <f>IF($A52="","",IFERROR(Handnotes!$K$28,""))</f>
        <v>YES</v>
      </c>
      <c r="I52" s="41" t="str">
        <f>IF($A52="","",IFERROR(Handnotes!$M$28,""))</f>
        <v>success</v>
      </c>
      <c r="J52" s="41" t="str">
        <f>IF($A52="","",IFERROR(Handnotes!$O$28,""))</f>
        <v>success</v>
      </c>
      <c r="K52" s="41" t="str">
        <f>IF($A52="","",IFERROR(Handnotes!$P$28,""))</f>
        <v>success</v>
      </c>
      <c r="L52" s="41" t="str">
        <f>IF($A52="","",IFERROR(Handnotes!$Q$28,""))</f>
        <v>success</v>
      </c>
      <c r="M52" s="44" cm="1">
        <f t="array" ref="M52">IF($D52="success",_xlfn.LET(_xlpm.run,$A52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5.48</v>
      </c>
      <c r="N52" s="44" cm="1">
        <f t="array" ref="N52">IF($F52="success",_xlfn.LET(_xlpm.run,$A52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9.5869999999999997</v>
      </c>
      <c r="O52" s="44" cm="1">
        <f t="array" ref="O52">IF($G52="success",_xlfn.LET(_xlpm.run,$A52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2.286</v>
      </c>
      <c r="P52" s="44">
        <f t="shared" si="6"/>
        <v>17.353000000000002</v>
      </c>
      <c r="Q52" s="44">
        <f>_xlfn.LET(_xlpm.t,$A52,_xlpm.s,_xlfn.MINIFS(Event_logs!$E$2:$E$1588,Event_logs!$A$2:$A$1588,_xlpm.t,Event_logs!$H$2:$H$1588,"fine_align_complete"),_xlpm.e,_xlfn.MINIFS(Event_logs!$E$2:$E$1588,Event_logs!$A$2:$A$1588,_xlpm.t,Event_logs!$H$2:$H$1588,"docking sucessfull"),IF(AND(OR($I52="success",$I52="sucess"),_xlpm.s&gt;0,_xlpm.e&gt;_xlpm.s),(_xlpm.e-_xlpm.s)/1000,""))</f>
        <v>34.847999999999999</v>
      </c>
      <c r="R52" s="48" cm="1">
        <f t="array" ref="R52">IF($D52="success",_xlfn.LET(_xlpm.d,_xlfn.XLOOKUP(1,(Event_logs!$A$2:$A$1588=$A52)*(Event_logs!$H$2:$H$1588="side_align_complete"),Event_logs!$I$2:$I$1588,""),IFERROR(_xlfn.NUMBERVALUE(_xlfn.TEXTBEFORE(_xlfn.TEXTAFTER(_xlpm.d,"error_x=")&amp;" "," "),".",","),"")),"")</f>
        <v>2.8999999999999998E-3</v>
      </c>
      <c r="S52" s="48" cm="1">
        <f t="array" ref="S52">IF(AND($F52="success",$D52="success"),_xlfn.LET(_xlpm.d,_xlfn.XLOOKUP(1,(Event_logs!$A$2:$A$1588=$A52)*(Event_logs!$H$2:$H$1588="side_align_complete"),Event_logs!$I$2:$I$1588,""),IFERROR(_xlfn.NUMBERVALUE(_xlfn.TEXTBEFORE(_xlfn.TEXTAFTER(_xlpm.d,"error_x=")&amp;" "," "),".",","),"")),"")</f>
        <v>2.8999999999999998E-3</v>
      </c>
      <c r="T52" s="47" cm="1">
        <f t="array" ref="T52">IF($D52="success",_xlfn.LET(_xlpm.d,_xlfn.XLOOKUP(1,(Event_logs!$A$2:$A$1588=$A52)*(Event_logs!$H$2:$H$1588="side_align_complete"),Event_logs!$I$2:$I$1588,""),IFERROR(_xlfn.NUMBERVALUE(_xlfn.TEXTBEFORE(_xlfn.TEXTAFTER(_xlpm.d,"yaw_error="),"deg"),".",","),"")),"")</f>
        <v>0.05</v>
      </c>
      <c r="U52" s="44" cm="1">
        <f t="array" ref="U52">IF(AND($F52="success",D52="success"),_xlfn.LET(_xlpm.d,_xlfn.XLOOKUP(1,(Event_logs!$A$2:$A$1588=$A52)*(Event_logs!$H$2:$H$1588="side_align_complete"),Event_logs!$I$2:$I$1588,""),IFERROR(_xlfn.NUMBERVALUE(_xlfn.TEXTBEFORE(_xlfn.TEXTAFTER(_xlpm.d,"yaw_error="),"deg"),".",","),"")),"")</f>
        <v>0.05</v>
      </c>
      <c r="V52" s="44"/>
      <c r="W52" s="44" cm="1">
        <f t="array" ref="W52">IF(OR($G52="success",$G52="sucess"),_xlfn.LET(_xlpm.d,_xlfn.XLOOKUP(1,(Event_logs!$A$2:$A$1588=$A52)*(Event_logs!$H$2:$H$1588="side_align_complete"),Event_logs!$I$2:$I$1588,""),IFERROR(_xlfn.NUMBERVALUE(_xlfn.TEXTBEFORE(_xlfn.TEXTAFTER(_xlpm.d,"yaw="),"deg"),".",","),"")),"")</f>
        <v>-179.95</v>
      </c>
      <c r="X52" t="str" cm="1">
        <f t="array" ref="X52">IF(OR($G52="success",$G52="sucess"),_xlfn.XLOOKUP(1,(Event_logs!$A$2:$A$1588=$A52)*(Event_logs!$H$2:$H$1588="side_align_complete"),Event_logs!$I$2:$I$1588,""),"")</f>
        <v>side_align_complete: side_align_left_done | final camera=left ids=[17, 18, 19, 20] target_pair=[18, 19] target_x=+0.3589 target_y=+0.2703 side_target_offset_x=+0.3560 center_x=+0.3667 center_y=+0.5760 yaw=-179.95deg error_x=+0.0029 yaw_error=+0.05deg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v>
      </c>
      <c r="Z52" cm="1">
        <f t="array" ref="Z52">IF(OR($G52="success",$G52="sucess",$G52="unsuccessfull",$G52="partial"),_xlfn.LET(_xlpm.d,_xlfn.XLOOKUP(1,(Event_logs!$A$2:$A$1588=$A52)*(Event_logs!$H$2:$H$1588="fine_align_complete"),Event_logs!$I$2:$I$1588,""),IFERROR(_xlfn.NUMBERVALUE(_xlfn.TEXTBEFORE(_xlfn.TEXTAFTER(_xlpm.d,"error_x=")&amp;" "," "),".",","),"")),"")</f>
        <v>2.7000000000000001E-3</v>
      </c>
      <c r="AA52" cm="1">
        <f t="array" ref="AA52">IF(AND($G52="success",$I52="success"),_xlfn.LET(_xlpm.d,_xlfn.XLOOKUP(1,(Event_logs!$A$2:$A$1588=$A52)*(Event_logs!$H$2:$H$1588="fine_align_complete"),Event_logs!$I$2:$I$1588,""),IFERROR(_xlfn.NUMBERVALUE(_xlfn.TEXTBEFORE(_xlfn.TEXTAFTER(_xlpm.d,"error_x=")&amp;" "," "),".",","),"")),"")</f>
        <v>2.7000000000000001E-3</v>
      </c>
      <c r="AB52" cm="1">
        <f t="array" ref="AB52">IF($G52="success",_xlfn.LET(_xlpm.d,_xlfn.XLOOKUP(1,(Event_logs!$A$2:$A$1588=$A52)*(Event_logs!$H$2:$H$1588="fine_align_complete"),Event_logs!$I$2:$I$1588,""),IFERROR(_xlfn.NUMBERVALUE(_xlfn.TEXTBEFORE(_xlfn.TEXTAFTER(_xlpm.d,"error_y=")&amp;" "," "),".",","),"")),"")</f>
        <v>4.7999999999999996E-3</v>
      </c>
      <c r="AC52" cm="1">
        <f t="array" ref="AC52">IF(AND($G52="success",$I52="success"),_xlfn.LET(_xlpm.d,_xlfn.XLOOKUP(1,(Event_logs!$A$2:$A$1588=$A52)*(Event_logs!$H$2:$H$1588="fine_align_complete"),Event_logs!$I$2:$I$1588,""),IFERROR(_xlfn.NUMBERVALUE(_xlfn.TEXTBEFORE(_xlfn.TEXTAFTER(_xlpm.d,"error_y=")&amp;" "," "),".",","),"")),"")</f>
        <v>4.7999999999999996E-3</v>
      </c>
      <c r="AD52" cm="1">
        <f t="array" ref="AD52">IF(AND($G52="success",$I52="success"),_xlfn.LET(_xlpm.d,_xlfn.XLOOKUP(1,(Event_logs!$A$2:$A$1588=$A52)*(Event_logs!$H$2:$H$1588="fine_align_complete"),Event_logs!$I$2:$I$1588,""),IFERROR(_xlfn.NUMBERVALUE(_xlfn.TEXTBEFORE(_xlfn.TEXTAFTER(_xlpm.d,"yaw_error="),"deg"),".",","),"")),"")</f>
        <v>-2.0299999999999998</v>
      </c>
      <c r="AE52" cm="1">
        <f t="array" ref="AE52">IF($G52="success",_xlfn.LET(_xlpm.d,_xlfn.XLOOKUP(1,(Event_logs!$A$2:$A$1588=$A52)*(Event_logs!$H$2:$H$1588="fine_align_complete"),Event_logs!$I$2:$I$1588,""),IFERROR(_xlfn.NUMBERVALUE(_xlfn.TEXTBEFORE(_xlfn.TEXTAFTER(_xlpm.d,"yaw_error="),"deg"),".",","),"")),"")</f>
        <v>-2.0299999999999998</v>
      </c>
    </row>
    <row r="53" spans="1:31" x14ac:dyDescent="0.25">
      <c r="A53" s="41">
        <f>IF(Handnotes!$A$29="y",Handnotes!$B$29,"")</f>
        <v>26</v>
      </c>
      <c r="B53" s="41" t="str">
        <f>IF($A53="","",IFERROR(Handnotes!$C$29,""))</f>
        <v>Flipped 180 deg</v>
      </c>
      <c r="C53" t="str">
        <f>IF($A53="","",IFERROR(Handnotes!$D$29,""))</f>
        <v>Trash Trolley</v>
      </c>
      <c r="D53" s="41" t="str">
        <f>IF($A53="","",IFERROR(Handnotes!$E$29,""))</f>
        <v>success</v>
      </c>
      <c r="E53" s="41" t="str">
        <f>IF($A53="","",IFERROR(Handnotes!$G$29,""))</f>
        <v>correct</v>
      </c>
      <c r="F53" s="41" t="str">
        <f>IF($A53="","",IFERROR(Handnotes!$H$29,""))</f>
        <v>success</v>
      </c>
      <c r="G53" s="41" t="str">
        <f>IF($A53="","",IFERROR(Handnotes!$J$29,""))</f>
        <v>success</v>
      </c>
      <c r="H53" s="41" t="str">
        <f>IF($A53="","",IFERROR(Handnotes!$K$29,""))</f>
        <v>YES</v>
      </c>
      <c r="I53" s="41" t="str">
        <f>IF($A53="","",IFERROR(Handnotes!$M$29,""))</f>
        <v>success</v>
      </c>
      <c r="J53" s="41" t="str">
        <f>IF($A53="","",IFERROR(Handnotes!$O$29,""))</f>
        <v>success</v>
      </c>
      <c r="K53" s="41" t="str">
        <f>IF($A53="","",IFERROR(Handnotes!$P$29,""))</f>
        <v>success</v>
      </c>
      <c r="L53" s="41" t="str">
        <f>IF($A53="","",IFERROR(Handnotes!$Q$29,""))</f>
        <v>success</v>
      </c>
      <c r="M53" s="44" t="str" cm="1">
        <f t="array" ref="M53">IF($D53="success",_xlfn.LET(_xlpm.run,$A53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53" s="44" cm="1">
        <f t="array" ref="N53">IF($F53="success",_xlfn.LET(_xlpm.run,$A53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9.5169999999999995</v>
      </c>
      <c r="O53" s="44" cm="1">
        <f t="array" ref="O53">IF($G53="success",_xlfn.LET(_xlpm.run,$A53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2.2690000000000001</v>
      </c>
      <c r="P53" s="44">
        <f t="shared" si="6"/>
        <v>11.786</v>
      </c>
      <c r="Q53" s="44">
        <f>_xlfn.LET(_xlpm.t,$A53,_xlpm.s,_xlfn.MINIFS(Event_logs!$E$2:$E$1588,Event_logs!$A$2:$A$1588,_xlpm.t,Event_logs!$H$2:$H$1588,"fine_align_complete"),_xlpm.e,_xlfn.MINIFS(Event_logs!$E$2:$E$1588,Event_logs!$A$2:$A$1588,_xlpm.t,Event_logs!$H$2:$H$1588,"docking sucessfull"),IF(AND(OR($I53="success",$I53="sucess"),_xlpm.s&gt;0,_xlpm.e&gt;_xlpm.s),(_xlpm.e-_xlpm.s)/1000,""))</f>
        <v>64.798000000000002</v>
      </c>
      <c r="R53" s="48" t="str" cm="1">
        <f t="array" ref="R53">IF($D53="success",_xlfn.LET(_xlpm.d,_xlfn.XLOOKUP(1,(Event_logs!$A$2:$A$1588=$A53)*(Event_logs!$H$2:$H$1588="side_align_complete"),Event_logs!$I$2:$I$1588,""),IFERROR(_xlfn.NUMBERVALUE(_xlfn.TEXTBEFORE(_xlfn.TEXTAFTER(_xlpm.d,"error_x=")&amp;" "," "),".",","),"")),"")</f>
        <v/>
      </c>
      <c r="S53" s="48" t="str" cm="1">
        <f t="array" ref="S53">IF(AND($F53="success",$D53="success"),_xlfn.LET(_xlpm.d,_xlfn.XLOOKUP(1,(Event_logs!$A$2:$A$1588=$A53)*(Event_logs!$H$2:$H$1588="side_align_complete"),Event_logs!$I$2:$I$1588,""),IFERROR(_xlfn.NUMBERVALUE(_xlfn.TEXTBEFORE(_xlfn.TEXTAFTER(_xlpm.d,"error_x=")&amp;" "," "),".",","),"")),"")</f>
        <v/>
      </c>
      <c r="T53" s="47" t="str" cm="1">
        <f t="array" ref="T53">IF($D53="success",_xlfn.LET(_xlpm.d,_xlfn.XLOOKUP(1,(Event_logs!$A$2:$A$1588=$A53)*(Event_logs!$H$2:$H$1588="side_align_complete"),Event_logs!$I$2:$I$1588,""),IFERROR(_xlfn.NUMBERVALUE(_xlfn.TEXTBEFORE(_xlfn.TEXTAFTER(_xlpm.d,"yaw_error="),"deg"),".",","),"")),"")</f>
        <v/>
      </c>
      <c r="U53" s="44" t="str" cm="1">
        <f t="array" ref="U53">IF(AND($F53="success",D53="success"),_xlfn.LET(_xlpm.d,_xlfn.XLOOKUP(1,(Event_logs!$A$2:$A$1588=$A53)*(Event_logs!$H$2:$H$1588="side_align_complete"),Event_logs!$I$2:$I$1588,""),IFERROR(_xlfn.NUMBERVALUE(_xlfn.TEXTBEFORE(_xlfn.TEXTAFTER(_xlpm.d,"yaw_error="),"deg"),".",","),"")),"")</f>
        <v/>
      </c>
      <c r="V53" s="44"/>
      <c r="W53" s="44" t="str" cm="1">
        <f t="array" ref="W53">IF(OR($G53="success",$G53="sucess"),_xlfn.LET(_xlpm.d,_xlfn.XLOOKUP(1,(Event_logs!$A$2:$A$1588=$A53)*(Event_logs!$H$2:$H$1588="side_align_complete"),Event_logs!$I$2:$I$1588,""),IFERROR(_xlfn.NUMBERVALUE(_xlfn.TEXTBEFORE(_xlfn.TEXTAFTER(_xlpm.d,"yaw="),"deg"),".",","),"")),"")</f>
        <v/>
      </c>
      <c r="X53" t="str" cm="1">
        <f t="array" ref="X53">IF(OR($G53="success",$G53="sucess"),_xlfn.XLOOKUP(1,(Event_logs!$A$2:$A$1588=$A53)*(Event_logs!$H$2:$H$1588="side_align_complete"),Event_logs!$I$2:$I$1588,""),"")</f>
        <v/>
      </c>
      <c r="Z53" cm="1">
        <f t="array" ref="Z53">IF(OR($G53="success",$G53="sucess",$G53="unsuccessfull",$G53="partial"),_xlfn.LET(_xlpm.d,_xlfn.XLOOKUP(1,(Event_logs!$A$2:$A$1588=$A53)*(Event_logs!$H$2:$H$1588="fine_align_complete"),Event_logs!$I$2:$I$1588,""),IFERROR(_xlfn.NUMBERVALUE(_xlfn.TEXTBEFORE(_xlfn.TEXTAFTER(_xlpm.d,"error_x=")&amp;" "," "),".",","),"")),"")</f>
        <v>2.2000000000000001E-3</v>
      </c>
      <c r="AA53" cm="1">
        <f t="array" ref="AA53">IF(AND($G53="success",$I53="success"),_xlfn.LET(_xlpm.d,_xlfn.XLOOKUP(1,(Event_logs!$A$2:$A$1588=$A53)*(Event_logs!$H$2:$H$1588="fine_align_complete"),Event_logs!$I$2:$I$1588,""),IFERROR(_xlfn.NUMBERVALUE(_xlfn.TEXTBEFORE(_xlfn.TEXTAFTER(_xlpm.d,"error_x=")&amp;" "," "),".",","),"")),"")</f>
        <v>2.2000000000000001E-3</v>
      </c>
      <c r="AB53" cm="1">
        <f t="array" ref="AB53">IF($G53="success",_xlfn.LET(_xlpm.d,_xlfn.XLOOKUP(1,(Event_logs!$A$2:$A$1588=$A53)*(Event_logs!$H$2:$H$1588="fine_align_complete"),Event_logs!$I$2:$I$1588,""),IFERROR(_xlfn.NUMBERVALUE(_xlfn.TEXTBEFORE(_xlfn.TEXTAFTER(_xlpm.d,"error_y=")&amp;" "," "),".",","),"")),"")</f>
        <v>0</v>
      </c>
      <c r="AC53" cm="1">
        <f t="array" ref="AC53">IF(AND($G53="success",$I53="success"),_xlfn.LET(_xlpm.d,_xlfn.XLOOKUP(1,(Event_logs!$A$2:$A$1588=$A53)*(Event_logs!$H$2:$H$1588="fine_align_complete"),Event_logs!$I$2:$I$1588,""),IFERROR(_xlfn.NUMBERVALUE(_xlfn.TEXTBEFORE(_xlfn.TEXTAFTER(_xlpm.d,"error_y=")&amp;" "," "),".",","),"")),"")</f>
        <v>0</v>
      </c>
      <c r="AD53" cm="1">
        <f t="array" ref="AD53">IF(AND($G53="success",$I53="success"),_xlfn.LET(_xlpm.d,_xlfn.XLOOKUP(1,(Event_logs!$A$2:$A$1588=$A53)*(Event_logs!$H$2:$H$1588="fine_align_complete"),Event_logs!$I$2:$I$1588,""),IFERROR(_xlfn.NUMBERVALUE(_xlfn.TEXTBEFORE(_xlfn.TEXTAFTER(_xlpm.d,"yaw_error="),"deg"),".",","),"")),"")</f>
        <v>-2.04</v>
      </c>
      <c r="AE53" cm="1">
        <f t="array" ref="AE53">IF($G53="success",_xlfn.LET(_xlpm.d,_xlfn.XLOOKUP(1,(Event_logs!$A$2:$A$1588=$A53)*(Event_logs!$H$2:$H$1588="fine_align_complete"),Event_logs!$I$2:$I$1588,""),IFERROR(_xlfn.NUMBERVALUE(_xlfn.TEXTBEFORE(_xlfn.TEXTAFTER(_xlpm.d,"yaw_error="),"deg"),".",","),"")),"")</f>
        <v>-2.04</v>
      </c>
    </row>
    <row r="54" spans="1:31" x14ac:dyDescent="0.25">
      <c r="A54" s="41">
        <f>IF(Handnotes!$A$30="y",Handnotes!$B$30,"")</f>
        <v>27</v>
      </c>
      <c r="B54" s="41" t="str">
        <f>IF($A54="","",IFERROR(Handnotes!$C$30,""))</f>
        <v>Flipped 180 deg</v>
      </c>
      <c r="C54" t="str">
        <f>IF($A54="","",IFERROR(Handnotes!$D$30,""))</f>
        <v>Trash Trolley</v>
      </c>
      <c r="D54" s="41" t="str">
        <f>IF($A54="","",IFERROR(Handnotes!$E$30,""))</f>
        <v>success</v>
      </c>
      <c r="E54" s="41" t="str">
        <f>IF($A54="","",IFERROR(Handnotes!$G$30,""))</f>
        <v>correct</v>
      </c>
      <c r="F54" s="41" t="str">
        <f>IF($A54="","",IFERROR(Handnotes!$H$30,""))</f>
        <v>success</v>
      </c>
      <c r="G54" s="41" t="str">
        <f>IF($A54="","",IFERROR(Handnotes!$J$30,""))</f>
        <v>success</v>
      </c>
      <c r="H54" s="41" t="str">
        <f>IF($A54="","",IFERROR(Handnotes!$K$30,""))</f>
        <v>YES</v>
      </c>
      <c r="I54" s="41" t="str">
        <f>IF($A54="","",IFERROR(Handnotes!$M$30,""))</f>
        <v>success</v>
      </c>
      <c r="J54" s="41" t="str">
        <f>IF($A54="","",IFERROR(Handnotes!$O$30,""))</f>
        <v>success</v>
      </c>
      <c r="K54" s="41" t="str">
        <f>IF($A54="","",IFERROR(Handnotes!$P$30,""))</f>
        <v>success</v>
      </c>
      <c r="L54" s="41" t="str">
        <f>IF($A54="","",IFERROR(Handnotes!$Q$30,""))</f>
        <v>success</v>
      </c>
      <c r="M54" s="44" cm="1">
        <f t="array" ref="M54">IF($D54="success",_xlfn.LET(_xlpm.run,$A54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11.337</v>
      </c>
      <c r="N54" s="44" cm="1">
        <f t="array" ref="N54">IF($F54="success",_xlfn.LET(_xlpm.run,$A54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9.5559999999999992</v>
      </c>
      <c r="O54" s="44" cm="1">
        <f t="array" ref="O54">IF($G54="success",_xlfn.LET(_xlpm.run,$A54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8.8780000000000001</v>
      </c>
      <c r="P54" s="44">
        <f t="shared" si="6"/>
        <v>29.771000000000001</v>
      </c>
      <c r="Q54" s="44">
        <f>_xlfn.LET(_xlpm.t,$A54,_xlpm.s,_xlfn.MINIFS(Event_logs!$E$2:$E$1588,Event_logs!$A$2:$A$1588,_xlpm.t,Event_logs!$H$2:$H$1588,"fine_align_complete"),_xlpm.e,_xlfn.MINIFS(Event_logs!$E$2:$E$1588,Event_logs!$A$2:$A$1588,_xlpm.t,Event_logs!$H$2:$H$1588,"docking sucessfull"),IF(AND(OR($I54="success",$I54="sucess"),_xlpm.s&gt;0,_xlpm.e&gt;_xlpm.s),(_xlpm.e-_xlpm.s)/1000,""))</f>
        <v>24.448</v>
      </c>
      <c r="R54" s="48" cm="1">
        <f t="array" ref="R54">IF($D54="success",_xlfn.LET(_xlpm.d,_xlfn.XLOOKUP(1,(Event_logs!$A$2:$A$1588=$A54)*(Event_logs!$H$2:$H$1588="side_align_complete"),Event_logs!$I$2:$I$1588,""),IFERROR(_xlfn.NUMBERVALUE(_xlfn.TEXTBEFORE(_xlfn.TEXTAFTER(_xlpm.d,"error_x=")&amp;" "," "),".",","),"")),"")</f>
        <v>-3.0000000000000001E-3</v>
      </c>
      <c r="S54" s="48" cm="1">
        <f t="array" ref="S54">IF(AND($F54="success",$D54="success"),_xlfn.LET(_xlpm.d,_xlfn.XLOOKUP(1,(Event_logs!$A$2:$A$1588=$A54)*(Event_logs!$H$2:$H$1588="side_align_complete"),Event_logs!$I$2:$I$1588,""),IFERROR(_xlfn.NUMBERVALUE(_xlfn.TEXTBEFORE(_xlfn.TEXTAFTER(_xlpm.d,"error_x=")&amp;" "," "),".",","),"")),"")</f>
        <v>-3.0000000000000001E-3</v>
      </c>
      <c r="T54" s="47" cm="1">
        <f t="array" ref="T54">IF($D54="success",_xlfn.LET(_xlpm.d,_xlfn.XLOOKUP(1,(Event_logs!$A$2:$A$1588=$A54)*(Event_logs!$H$2:$H$1588="side_align_complete"),Event_logs!$I$2:$I$1588,""),IFERROR(_xlfn.NUMBERVALUE(_xlfn.TEXTBEFORE(_xlfn.TEXTAFTER(_xlpm.d,"yaw_error="),"deg"),".",","),"")),"")</f>
        <v>0.96</v>
      </c>
      <c r="U54" s="44" cm="1">
        <f t="array" ref="U54">IF(AND($F54="success",D54="success"),_xlfn.LET(_xlpm.d,_xlfn.XLOOKUP(1,(Event_logs!$A$2:$A$1588=$A54)*(Event_logs!$H$2:$H$1588="side_align_complete"),Event_logs!$I$2:$I$1588,""),IFERROR(_xlfn.NUMBERVALUE(_xlfn.TEXTBEFORE(_xlfn.TEXTAFTER(_xlpm.d,"yaw_error="),"deg"),".",","),"")),"")</f>
        <v>0.96</v>
      </c>
      <c r="V54" s="44"/>
      <c r="W54" s="44" cm="1">
        <f t="array" ref="W54">IF(OR($G54="success",$G54="sucess"),_xlfn.LET(_xlpm.d,_xlfn.XLOOKUP(1,(Event_logs!$A$2:$A$1588=$A54)*(Event_logs!$H$2:$H$1588="side_align_complete"),Event_logs!$I$2:$I$1588,""),IFERROR(_xlfn.NUMBERVALUE(_xlfn.TEXTBEFORE(_xlfn.TEXTAFTER(_xlpm.d,"yaw="),"deg"),".",","),"")),"")</f>
        <v>-179.04</v>
      </c>
      <c r="X54" t="str" cm="1">
        <f t="array" ref="X54">IF(OR($G54="success",$G54="sucess"),_xlfn.XLOOKUP(1,(Event_logs!$A$2:$A$1588=$A54)*(Event_logs!$H$2:$H$1588="side_align_complete"),Event_logs!$I$2:$I$1588,""),"")</f>
        <v>side_align_left_done | final camera=left ids=[17, 18, 19, 20] target_pair=[18, 19] target_x=+0.3530 target_y=+0.2695 side_target_offset_x=+0.3560 center_x=+0.3549 center_y=+0.5753 yaw=-179.04deg error_x=-0.0030 yaw_error=+0.96deg tolerance_x=0.0060 tolerance_yaw=2.00deg</v>
      </c>
      <c r="Z54" cm="1">
        <f t="array" ref="Z54">IF(OR($G54="success",$G54="sucess",$G54="unsuccessfull",$G54="partial"),_xlfn.LET(_xlpm.d,_xlfn.XLOOKUP(1,(Event_logs!$A$2:$A$1588=$A54)*(Event_logs!$H$2:$H$1588="fine_align_complete"),Event_logs!$I$2:$I$1588,""),IFERROR(_xlfn.NUMBERVALUE(_xlfn.TEXTBEFORE(_xlfn.TEXTAFTER(_xlpm.d,"error_x=")&amp;" "," "),".",","),"")),"")</f>
        <v>-8.0000000000000004E-4</v>
      </c>
      <c r="AA54" cm="1">
        <f t="array" ref="AA54">IF(AND($G54="success",$I54="success"),_xlfn.LET(_xlpm.d,_xlfn.XLOOKUP(1,(Event_logs!$A$2:$A$1588=$A54)*(Event_logs!$H$2:$H$1588="fine_align_complete"),Event_logs!$I$2:$I$1588,""),IFERROR(_xlfn.NUMBERVALUE(_xlfn.TEXTBEFORE(_xlfn.TEXTAFTER(_xlpm.d,"error_x=")&amp;" "," "),".",","),"")),"")</f>
        <v>-8.0000000000000004E-4</v>
      </c>
      <c r="AB54" cm="1">
        <f t="array" ref="AB54">IF($G54="success",_xlfn.LET(_xlpm.d,_xlfn.XLOOKUP(1,(Event_logs!$A$2:$A$1588=$A54)*(Event_logs!$H$2:$H$1588="fine_align_complete"),Event_logs!$I$2:$I$1588,""),IFERROR(_xlfn.NUMBERVALUE(_xlfn.TEXTBEFORE(_xlfn.TEXTAFTER(_xlpm.d,"error_y=")&amp;" "," "),".",","),"")),"")</f>
        <v>9.5999999999999992E-3</v>
      </c>
      <c r="AC54" cm="1">
        <f t="array" ref="AC54">IF(AND($G54="success",$I54="success"),_xlfn.LET(_xlpm.d,_xlfn.XLOOKUP(1,(Event_logs!$A$2:$A$1588=$A54)*(Event_logs!$H$2:$H$1588="fine_align_complete"),Event_logs!$I$2:$I$1588,""),IFERROR(_xlfn.NUMBERVALUE(_xlfn.TEXTBEFORE(_xlfn.TEXTAFTER(_xlpm.d,"error_y=")&amp;" "," "),".",","),"")),"")</f>
        <v>9.5999999999999992E-3</v>
      </c>
      <c r="AD54" cm="1">
        <f t="array" ref="AD54">IF(AND($G54="success",$I54="success"),_xlfn.LET(_xlpm.d,_xlfn.XLOOKUP(1,(Event_logs!$A$2:$A$1588=$A54)*(Event_logs!$H$2:$H$1588="fine_align_complete"),Event_logs!$I$2:$I$1588,""),IFERROR(_xlfn.NUMBERVALUE(_xlfn.TEXTBEFORE(_xlfn.TEXTAFTER(_xlpm.d,"yaw_error="),"deg"),".",","),"")),"")</f>
        <v>-1.2</v>
      </c>
      <c r="AE54" cm="1">
        <f t="array" ref="AE54">IF($G54="success",_xlfn.LET(_xlpm.d,_xlfn.XLOOKUP(1,(Event_logs!$A$2:$A$1588=$A54)*(Event_logs!$H$2:$H$1588="fine_align_complete"),Event_logs!$I$2:$I$1588,""),IFERROR(_xlfn.NUMBERVALUE(_xlfn.TEXTBEFORE(_xlfn.TEXTAFTER(_xlpm.d,"yaw_error="),"deg"),".",","),"")),"")</f>
        <v>-1.2</v>
      </c>
    </row>
    <row r="55" spans="1:31" x14ac:dyDescent="0.25">
      <c r="A55" s="41">
        <f>IF(Handnotes!$A$31="y",Handnotes!$B$31,"")</f>
        <v>28</v>
      </c>
      <c r="B55" s="41" t="str">
        <f>IF($A55="","",IFERROR(Handnotes!$C$31,""))</f>
        <v>Normal</v>
      </c>
      <c r="C55" t="str">
        <f>IF($A55="","",IFERROR(Handnotes!$D$31,""))</f>
        <v>Trash Trolley</v>
      </c>
      <c r="D55" s="41" t="str">
        <f>IF($A55="","",IFERROR(Handnotes!$E$31,""))</f>
        <v>partial</v>
      </c>
      <c r="E55" s="41" t="str">
        <f>IF($A55="","",IFERROR(Handnotes!$G$31,""))</f>
        <v>correct</v>
      </c>
      <c r="F55" s="41" t="str">
        <f>IF($A55="","",IFERROR(Handnotes!$H$31,""))</f>
        <v>success</v>
      </c>
      <c r="G55" s="41" t="str">
        <f>IF($A55="","",IFERROR(Handnotes!$J$31,""))</f>
        <v>success</v>
      </c>
      <c r="H55" s="41" t="str">
        <f>IF($A55="","",IFERROR(Handnotes!$K$31,""))</f>
        <v>YES</v>
      </c>
      <c r="I55" s="41" t="str">
        <f>IF($A55="","",IFERROR(Handnotes!$M$31,""))</f>
        <v>success</v>
      </c>
      <c r="J55" s="41" t="str">
        <f>IF($A55="","",IFERROR(Handnotes!$O$31,""))</f>
        <v>success</v>
      </c>
      <c r="K55" s="41" t="str">
        <f>IF($A55="","",IFERROR(Handnotes!$P$31,""))</f>
        <v>success</v>
      </c>
      <c r="L55" s="41" t="str">
        <f>IF($A55="","",IFERROR(Handnotes!$Q$31,""))</f>
        <v>success</v>
      </c>
      <c r="M55" s="44" t="str" cm="1">
        <f t="array" ref="M55">IF($D55="success",_xlfn.LET(_xlpm.run,$A55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55" s="44" cm="1">
        <f t="array" ref="N55">IF($F55="success",_xlfn.LET(_xlpm.run,$A55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9.3970000000000002</v>
      </c>
      <c r="O55" s="44" cm="1">
        <f t="array" ref="O55">IF($G55="success",_xlfn.LET(_xlpm.run,$A55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19.471</v>
      </c>
      <c r="P55" s="44" t="str">
        <f t="shared" si="6"/>
        <v/>
      </c>
      <c r="Q55" s="44">
        <f>_xlfn.LET(_xlpm.t,$A55,_xlpm.s,_xlfn.MINIFS(Event_logs!$E$2:$E$1588,Event_logs!$A$2:$A$1588,_xlpm.t,Event_logs!$H$2:$H$1588,"fine_align_complete"),_xlpm.e,_xlfn.MINIFS(Event_logs!$E$2:$E$1588,Event_logs!$A$2:$A$1588,_xlpm.t,Event_logs!$H$2:$H$1588,"docking sucessfull"),IF(AND(OR($I55="success",$I55="sucess"),_xlpm.s&gt;0,_xlpm.e&gt;_xlpm.s),(_xlpm.e-_xlpm.s)/1000,""))</f>
        <v>23.317</v>
      </c>
      <c r="R55" s="48" t="str" cm="1">
        <f t="array" ref="R55">IF($D55="success",_xlfn.LET(_xlpm.d,_xlfn.XLOOKUP(1,(Event_logs!$A$2:$A$1588=$A55)*(Event_logs!$H$2:$H$1588="side_align_complete"),Event_logs!$I$2:$I$1588,""),IFERROR(_xlfn.NUMBERVALUE(_xlfn.TEXTBEFORE(_xlfn.TEXTAFTER(_xlpm.d,"error_x=")&amp;" "," "),".",","),"")),"")</f>
        <v/>
      </c>
      <c r="S55" s="48" t="str" cm="1">
        <f t="array" ref="S55">IF(AND($F55="success",$D55="success"),_xlfn.LET(_xlpm.d,_xlfn.XLOOKUP(1,(Event_logs!$A$2:$A$1588=$A55)*(Event_logs!$H$2:$H$1588="side_align_complete"),Event_logs!$I$2:$I$1588,""),IFERROR(_xlfn.NUMBERVALUE(_xlfn.TEXTBEFORE(_xlfn.TEXTAFTER(_xlpm.d,"error_x=")&amp;" "," "),".",","),"")),"")</f>
        <v/>
      </c>
      <c r="T55" s="47" t="str" cm="1">
        <f t="array" ref="T55">IF($D55="success",_xlfn.LET(_xlpm.d,_xlfn.XLOOKUP(1,(Event_logs!$A$2:$A$1588=$A55)*(Event_logs!$H$2:$H$1588="side_align_complete"),Event_logs!$I$2:$I$1588,""),IFERROR(_xlfn.NUMBERVALUE(_xlfn.TEXTBEFORE(_xlfn.TEXTAFTER(_xlpm.d,"yaw_error="),"deg"),".",","),"")),"")</f>
        <v/>
      </c>
      <c r="U55" s="44" t="str" cm="1">
        <f t="array" ref="U55">IF(AND($F55="success",D55="success"),_xlfn.LET(_xlpm.d,_xlfn.XLOOKUP(1,(Event_logs!$A$2:$A$1588=$A55)*(Event_logs!$H$2:$H$1588="side_align_complete"),Event_logs!$I$2:$I$1588,""),IFERROR(_xlfn.NUMBERVALUE(_xlfn.TEXTBEFORE(_xlfn.TEXTAFTER(_xlpm.d,"yaw_error="),"deg"),".",","),"")),"")</f>
        <v/>
      </c>
      <c r="V55" s="44"/>
      <c r="W55" s="44" t="str" cm="1">
        <f t="array" ref="W55">IF(OR($G55="success",$G55="sucess"),_xlfn.LET(_xlpm.d,_xlfn.XLOOKUP(1,(Event_logs!$A$2:$A$1588=$A55)*(Event_logs!$H$2:$H$1588="side_align_complete"),Event_logs!$I$2:$I$1588,""),IFERROR(_xlfn.NUMBERVALUE(_xlfn.TEXTBEFORE(_xlfn.TEXTAFTER(_xlpm.d,"yaw="),"deg"),".",","),"")),"")</f>
        <v/>
      </c>
      <c r="X55" t="str" cm="1">
        <f t="array" ref="X55">IF(OR($G55="success",$G55="sucess"),_xlfn.XLOOKUP(1,(Event_logs!$A$2:$A$1588=$A55)*(Event_logs!$H$2:$H$1588="side_align_complete"),Event_logs!$I$2:$I$1588,""),"")</f>
        <v/>
      </c>
      <c r="Z55" cm="1">
        <f t="array" ref="Z55">IF(OR($G55="success",$G55="sucess",$G55="unsuccessfull",$G55="partial"),_xlfn.LET(_xlpm.d,_xlfn.XLOOKUP(1,(Event_logs!$A$2:$A$1588=$A55)*(Event_logs!$H$2:$H$1588="fine_align_complete"),Event_logs!$I$2:$I$1588,""),IFERROR(_xlfn.NUMBERVALUE(_xlfn.TEXTBEFORE(_xlfn.TEXTAFTER(_xlpm.d,"error_x=")&amp;" "," "),".",","),"")),"")</f>
        <v>-3.5999999999999999E-3</v>
      </c>
      <c r="AA55" cm="1">
        <f t="array" ref="AA55">IF(AND($G55="success",$I55="success"),_xlfn.LET(_xlpm.d,_xlfn.XLOOKUP(1,(Event_logs!$A$2:$A$1588=$A55)*(Event_logs!$H$2:$H$1588="fine_align_complete"),Event_logs!$I$2:$I$1588,""),IFERROR(_xlfn.NUMBERVALUE(_xlfn.TEXTBEFORE(_xlfn.TEXTAFTER(_xlpm.d,"error_x=")&amp;" "," "),".",","),"")),"")</f>
        <v>-3.5999999999999999E-3</v>
      </c>
      <c r="AB55" cm="1">
        <f t="array" ref="AB55">IF($G55="success",_xlfn.LET(_xlpm.d,_xlfn.XLOOKUP(1,(Event_logs!$A$2:$A$1588=$A55)*(Event_logs!$H$2:$H$1588="fine_align_complete"),Event_logs!$I$2:$I$1588,""),IFERROR(_xlfn.NUMBERVALUE(_xlfn.TEXTBEFORE(_xlfn.TEXTAFTER(_xlpm.d,"error_y=")&amp;" "," "),".",","),"")),"")</f>
        <v>-4.7999999999999996E-3</v>
      </c>
      <c r="AC55" cm="1">
        <f t="array" ref="AC55">IF(AND($G55="success",$I55="success"),_xlfn.LET(_xlpm.d,_xlfn.XLOOKUP(1,(Event_logs!$A$2:$A$1588=$A55)*(Event_logs!$H$2:$H$1588="fine_align_complete"),Event_logs!$I$2:$I$1588,""),IFERROR(_xlfn.NUMBERVALUE(_xlfn.TEXTBEFORE(_xlfn.TEXTAFTER(_xlpm.d,"error_y=")&amp;" "," "),".",","),"")),"")</f>
        <v>-4.7999999999999996E-3</v>
      </c>
      <c r="AD55" cm="1">
        <f t="array" ref="AD55">IF(AND($G55="success",$I55="success"),_xlfn.LET(_xlpm.d,_xlfn.XLOOKUP(1,(Event_logs!$A$2:$A$1588=$A55)*(Event_logs!$H$2:$H$1588="fine_align_complete"),Event_logs!$I$2:$I$1588,""),IFERROR(_xlfn.NUMBERVALUE(_xlfn.TEXTBEFORE(_xlfn.TEXTAFTER(_xlpm.d,"yaw_error="),"deg"),".",","),"")),"")</f>
        <v>-2.14</v>
      </c>
      <c r="AE55" cm="1">
        <f t="array" ref="AE55">IF($G55="success",_xlfn.LET(_xlpm.d,_xlfn.XLOOKUP(1,(Event_logs!$A$2:$A$1588=$A55)*(Event_logs!$H$2:$H$1588="fine_align_complete"),Event_logs!$I$2:$I$1588,""),IFERROR(_xlfn.NUMBERVALUE(_xlfn.TEXTBEFORE(_xlfn.TEXTAFTER(_xlpm.d,"yaw_error="),"deg"),".",","),"")),"")</f>
        <v>-2.14</v>
      </c>
    </row>
    <row r="56" spans="1:31" x14ac:dyDescent="0.25">
      <c r="A56" s="41">
        <f>IF(Handnotes!$A$32="y",Handnotes!$B$32,"")</f>
        <v>29</v>
      </c>
      <c r="B56" s="41" t="str">
        <f>IF($A56="","",IFERROR(Handnotes!$C$32,""))</f>
        <v>Normal</v>
      </c>
      <c r="C56" t="str">
        <f>IF($A56="","",IFERROR(Handnotes!$D$32,""))</f>
        <v>Trash Trolley</v>
      </c>
      <c r="D56" s="41" t="str">
        <f>IF($A56="","",IFERROR(Handnotes!$E$32,""))</f>
        <v>success</v>
      </c>
      <c r="E56" s="41" t="str">
        <f>IF($A56="","",IFERROR(Handnotes!$G$32,""))</f>
        <v>correct</v>
      </c>
      <c r="F56" s="41" t="str">
        <f>IF($A56="","",IFERROR(Handnotes!$H$32,""))</f>
        <v>success</v>
      </c>
      <c r="G56" s="41" t="str">
        <f>IF($A56="","",IFERROR(Handnotes!$J$32,""))</f>
        <v>success</v>
      </c>
      <c r="H56" s="41" t="str">
        <f>IF($A56="","",IFERROR(Handnotes!$K$32,""))</f>
        <v>YES</v>
      </c>
      <c r="I56" s="41" t="str">
        <f>IF($A56="","",IFERROR(Handnotes!$M$32,""))</f>
        <v>success</v>
      </c>
      <c r="J56" s="41" t="str">
        <f>IF($A56="","",IFERROR(Handnotes!$O$32,""))</f>
        <v>success</v>
      </c>
      <c r="K56" s="41" t="str">
        <f>IF($A56="","",IFERROR(Handnotes!$P$32,""))</f>
        <v>success</v>
      </c>
      <c r="L56" s="41" t="str">
        <f>IF($A56="","",IFERROR(Handnotes!$Q$32,""))</f>
        <v>success</v>
      </c>
      <c r="M56" s="44" cm="1">
        <f t="array" ref="M56">IF($D56="success",_xlfn.LET(_xlpm.run,$A56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13.321999999999999</v>
      </c>
      <c r="N56" s="44" cm="1">
        <f t="array" ref="N56">IF($F56="success",_xlfn.LET(_xlpm.run,$A56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9.3620000000000001</v>
      </c>
      <c r="O56" s="44" cm="1">
        <f t="array" ref="O56">IF($G56="success",_xlfn.LET(_xlpm.run,$A56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18.295000000000002</v>
      </c>
      <c r="P56" s="44">
        <f t="shared" si="6"/>
        <v>40.978999999999999</v>
      </c>
      <c r="Q56" s="44">
        <f>_xlfn.LET(_xlpm.t,$A56,_xlpm.s,_xlfn.MINIFS(Event_logs!$E$2:$E$1588,Event_logs!$A$2:$A$1588,_xlpm.t,Event_logs!$H$2:$H$1588,"fine_align_complete"),_xlpm.e,_xlfn.MINIFS(Event_logs!$E$2:$E$1588,Event_logs!$A$2:$A$1588,_xlpm.t,Event_logs!$H$2:$H$1588,"docking sucessfull"),IF(AND(OR($I56="success",$I56="sucess"),_xlpm.s&gt;0,_xlpm.e&gt;_xlpm.s),(_xlpm.e-_xlpm.s)/1000,""))</f>
        <v>28.402000000000001</v>
      </c>
      <c r="R56" s="48" cm="1">
        <f t="array" ref="R56">IF($D56="success",_xlfn.LET(_xlpm.d,_xlfn.XLOOKUP(1,(Event_logs!$A$2:$A$1588=$A56)*(Event_logs!$H$2:$H$1588="side_align_complete"),Event_logs!$I$2:$I$1588,""),IFERROR(_xlfn.NUMBERVALUE(_xlfn.TEXTBEFORE(_xlfn.TEXTAFTER(_xlpm.d,"error_x=")&amp;" "," "),".",","),"")),"")</f>
        <v>5.5999999999999999E-3</v>
      </c>
      <c r="S56" s="48" cm="1">
        <f t="array" ref="S56">IF(AND($F56="success",$D56="success"),_xlfn.LET(_xlpm.d,_xlfn.XLOOKUP(1,(Event_logs!$A$2:$A$1588=$A56)*(Event_logs!$H$2:$H$1588="side_align_complete"),Event_logs!$I$2:$I$1588,""),IFERROR(_xlfn.NUMBERVALUE(_xlfn.TEXTBEFORE(_xlfn.TEXTAFTER(_xlpm.d,"error_x=")&amp;" "," "),".",","),"")),"")</f>
        <v>5.5999999999999999E-3</v>
      </c>
      <c r="T56" s="47" cm="1">
        <f t="array" ref="T56">IF($D56="success",_xlfn.LET(_xlpm.d,_xlfn.XLOOKUP(1,(Event_logs!$A$2:$A$1588=$A56)*(Event_logs!$H$2:$H$1588="side_align_complete"),Event_logs!$I$2:$I$1588,""),IFERROR(_xlfn.NUMBERVALUE(_xlfn.TEXTBEFORE(_xlfn.TEXTAFTER(_xlpm.d,"yaw_error="),"deg"),".",","),"")),"")</f>
        <v>0.66</v>
      </c>
      <c r="U56" s="44" cm="1">
        <f t="array" ref="U56">IF(AND($F56="success",D56="success"),_xlfn.LET(_xlpm.d,_xlfn.XLOOKUP(1,(Event_logs!$A$2:$A$1588=$A56)*(Event_logs!$H$2:$H$1588="side_align_complete"),Event_logs!$I$2:$I$1588,""),IFERROR(_xlfn.NUMBERVALUE(_xlfn.TEXTBEFORE(_xlfn.TEXTAFTER(_xlpm.d,"yaw_error="),"deg"),".",","),"")),"")</f>
        <v>0.66</v>
      </c>
      <c r="V56" s="44"/>
      <c r="W56" s="44" cm="1">
        <f t="array" ref="W56">IF(OR($G56="success",$G56="sucess"),_xlfn.LET(_xlpm.d,_xlfn.XLOOKUP(1,(Event_logs!$A$2:$A$1588=$A56)*(Event_logs!$H$2:$H$1588="side_align_complete"),Event_logs!$I$2:$I$1588,""),IFERROR(_xlfn.NUMBERVALUE(_xlfn.TEXTBEFORE(_xlfn.TEXTAFTER(_xlpm.d,"yaw="),"deg"),".",","),"")),"")</f>
        <v>-179.34</v>
      </c>
      <c r="X56" t="str" cm="1">
        <f t="array" ref="X56">IF(OR($G56="success",$G56="sucess"),_xlfn.XLOOKUP(1,(Event_logs!$A$2:$A$1588=$A56)*(Event_logs!$H$2:$H$1588="side_align_complete"),Event_logs!$I$2:$I$1588,""),"")</f>
        <v>side_align_left_done | final camera=left ids=[24, 25, 26] target_pair=[24, 25] target_x=+0.3616 target_y=+0.2777 side_target_offset_x=+0.3560 center_x=+0.4215 center_y=-0.0282 yaw=-179.34deg error_x=+0.0056 yaw_error=+0.66deg tolerance_x=0.0060 tolerance_yaw=2.00deg</v>
      </c>
      <c r="Z56" cm="1">
        <f t="array" ref="Z56">IF(OR($G56="success",$G56="sucess",$G56="unsuccessfull",$G56="partial"),_xlfn.LET(_xlpm.d,_xlfn.XLOOKUP(1,(Event_logs!$A$2:$A$1588=$A56)*(Event_logs!$H$2:$H$1588="fine_align_complete"),Event_logs!$I$2:$I$1588,""),IFERROR(_xlfn.NUMBERVALUE(_xlfn.TEXTBEFORE(_xlfn.TEXTAFTER(_xlpm.d,"error_x=")&amp;" "," "),".",","),"")),"")</f>
        <v>3.8999999999999998E-3</v>
      </c>
      <c r="AA56" cm="1">
        <f t="array" ref="AA56">IF(AND($G56="success",$I56="success"),_xlfn.LET(_xlpm.d,_xlfn.XLOOKUP(1,(Event_logs!$A$2:$A$1588=$A56)*(Event_logs!$H$2:$H$1588="fine_align_complete"),Event_logs!$I$2:$I$1588,""),IFERROR(_xlfn.NUMBERVALUE(_xlfn.TEXTBEFORE(_xlfn.TEXTAFTER(_xlpm.d,"error_x=")&amp;" "," "),".",","),"")),"")</f>
        <v>3.8999999999999998E-3</v>
      </c>
      <c r="AB56" cm="1">
        <f t="array" ref="AB56">IF($G56="success",_xlfn.LET(_xlpm.d,_xlfn.XLOOKUP(1,(Event_logs!$A$2:$A$1588=$A56)*(Event_logs!$H$2:$H$1588="fine_align_complete"),Event_logs!$I$2:$I$1588,""),IFERROR(_xlfn.NUMBERVALUE(_xlfn.TEXTBEFORE(_xlfn.TEXTAFTER(_xlpm.d,"error_y=")&amp;" "," "),".",","),"")),"")</f>
        <v>-5.4999999999999997E-3</v>
      </c>
      <c r="AC56" cm="1">
        <f t="array" ref="AC56">IF(AND($G56="success",$I56="success"),_xlfn.LET(_xlpm.d,_xlfn.XLOOKUP(1,(Event_logs!$A$2:$A$1588=$A56)*(Event_logs!$H$2:$H$1588="fine_align_complete"),Event_logs!$I$2:$I$1588,""),IFERROR(_xlfn.NUMBERVALUE(_xlfn.TEXTBEFORE(_xlfn.TEXTAFTER(_xlpm.d,"error_y=")&amp;" "," "),".",","),"")),"")</f>
        <v>-5.4999999999999997E-3</v>
      </c>
      <c r="AD56" cm="1">
        <f t="array" ref="AD56">IF(AND($G56="success",$I56="success"),_xlfn.LET(_xlpm.d,_xlfn.XLOOKUP(1,(Event_logs!$A$2:$A$1588=$A56)*(Event_logs!$H$2:$H$1588="fine_align_complete"),Event_logs!$I$2:$I$1588,""),IFERROR(_xlfn.NUMBERVALUE(_xlfn.TEXTBEFORE(_xlfn.TEXTAFTER(_xlpm.d,"yaw_error="),"deg"),".",","),"")),"")</f>
        <v>-1.4</v>
      </c>
      <c r="AE56" cm="1">
        <f t="array" ref="AE56">IF($G56="success",_xlfn.LET(_xlpm.d,_xlfn.XLOOKUP(1,(Event_logs!$A$2:$A$1588=$A56)*(Event_logs!$H$2:$H$1588="fine_align_complete"),Event_logs!$I$2:$I$1588,""),IFERROR(_xlfn.NUMBERVALUE(_xlfn.TEXTBEFORE(_xlfn.TEXTAFTER(_xlpm.d,"yaw_error="),"deg"),".",","),"")),"")</f>
        <v>-1.4</v>
      </c>
    </row>
    <row r="57" spans="1:31" x14ac:dyDescent="0.25">
      <c r="A57" s="41">
        <f>IF(Handnotes!$A$33="y",Handnotes!$B$33,"")</f>
        <v>30</v>
      </c>
      <c r="B57" s="41" t="str">
        <f>IF($A57="","",IFERROR(Handnotes!$C$33,""))</f>
        <v>Normal</v>
      </c>
      <c r="C57" t="str">
        <f>IF($A57="","",IFERROR(Handnotes!$D$33,""))</f>
        <v>Trash Trolley</v>
      </c>
      <c r="D57" s="41" t="str">
        <f>IF($A57="","",IFERROR(Handnotes!$E$33,""))</f>
        <v>success</v>
      </c>
      <c r="E57" s="41" t="str">
        <f>IF($A57="","",IFERROR(Handnotes!$G$33,""))</f>
        <v>correct</v>
      </c>
      <c r="F57" s="41" t="str">
        <f>IF($A57="","",IFERROR(Handnotes!$H$33,""))</f>
        <v>success</v>
      </c>
      <c r="G57" s="41" t="str">
        <f>IF($A57="","",IFERROR(Handnotes!$J$33,""))</f>
        <v>success</v>
      </c>
      <c r="H57" s="41" t="str">
        <f>IF($A57="","",IFERROR(Handnotes!$K$33,""))</f>
        <v>YES</v>
      </c>
      <c r="I57" s="41" t="str">
        <f>IF($A57="","",IFERROR(Handnotes!$M$33,""))</f>
        <v>success</v>
      </c>
      <c r="J57" s="41" t="str">
        <f>IF($A57="","",IFERROR(Handnotes!$O$33,""))</f>
        <v>success</v>
      </c>
      <c r="K57" s="41" t="str">
        <f>IF($A57="","",IFERROR(Handnotes!$P$33,""))</f>
        <v>success</v>
      </c>
      <c r="L57" s="41" t="str">
        <f>IF($A57="","",IFERROR(Handnotes!$Q$33,""))</f>
        <v>success</v>
      </c>
      <c r="M57" s="44" cm="1">
        <f t="array" ref="M57">IF($D57="success",_xlfn.LET(_xlpm.run,$A57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13.042999999999999</v>
      </c>
      <c r="N57" s="44" cm="1">
        <f t="array" ref="N57">IF($F57="success",_xlfn.LET(_xlpm.run,$A57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9.4309999999999992</v>
      </c>
      <c r="O57" s="44" cm="1">
        <f t="array" ref="O57">IF($G57="success",_xlfn.LET(_xlpm.run,$A57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5.8390000000000004</v>
      </c>
      <c r="P57" s="44">
        <f t="shared" si="6"/>
        <v>28.312999999999995</v>
      </c>
      <c r="Q57" s="44">
        <f>_xlfn.LET(_xlpm.t,$A57,_xlpm.s,_xlfn.MINIFS(Event_logs!$E$2:$E$1588,Event_logs!$A$2:$A$1588,_xlpm.t,Event_logs!$H$2:$H$1588,"fine_align_complete"),_xlpm.e,_xlfn.MINIFS(Event_logs!$E$2:$E$1588,Event_logs!$A$2:$A$1588,_xlpm.t,Event_logs!$H$2:$H$1588,"docking sucessfull"),IF(AND(OR($I57="success",$I57="sucess"),_xlpm.s&gt;0,_xlpm.e&gt;_xlpm.s),(_xlpm.e-_xlpm.s)/1000,""))</f>
        <v>21.952000000000002</v>
      </c>
      <c r="R57" s="48" cm="1">
        <f t="array" ref="R57">IF($D57="success",_xlfn.LET(_xlpm.d,_xlfn.XLOOKUP(1,(Event_logs!$A$2:$A$1588=$A57)*(Event_logs!$H$2:$H$1588="side_align_complete"),Event_logs!$I$2:$I$1588,""),IFERROR(_xlfn.NUMBERVALUE(_xlfn.TEXTBEFORE(_xlfn.TEXTAFTER(_xlpm.d,"error_x=")&amp;" "," "),".",","),"")),"")</f>
        <v>-4.7999999999999996E-3</v>
      </c>
      <c r="S57" s="48" cm="1">
        <f t="array" ref="S57">IF(AND($F57="success",$D57="success"),_xlfn.LET(_xlpm.d,_xlfn.XLOOKUP(1,(Event_logs!$A$2:$A$1588=$A57)*(Event_logs!$H$2:$H$1588="side_align_complete"),Event_logs!$I$2:$I$1588,""),IFERROR(_xlfn.NUMBERVALUE(_xlfn.TEXTBEFORE(_xlfn.TEXTAFTER(_xlpm.d,"error_x=")&amp;" "," "),".",","),"")),"")</f>
        <v>-4.7999999999999996E-3</v>
      </c>
      <c r="T57" s="47" cm="1">
        <f t="array" ref="T57">IF($D57="success",_xlfn.LET(_xlpm.d,_xlfn.XLOOKUP(1,(Event_logs!$A$2:$A$1588=$A57)*(Event_logs!$H$2:$H$1588="side_align_complete"),Event_logs!$I$2:$I$1588,""),IFERROR(_xlfn.NUMBERVALUE(_xlfn.TEXTBEFORE(_xlfn.TEXTAFTER(_xlpm.d,"yaw_error="),"deg"),".",","),"")),"")</f>
        <v>1.39</v>
      </c>
      <c r="U57" s="44" cm="1">
        <f t="array" ref="U57">IF(AND($F57="success",D57="success"),_xlfn.LET(_xlpm.d,_xlfn.XLOOKUP(1,(Event_logs!$A$2:$A$1588=$A57)*(Event_logs!$H$2:$H$1588="side_align_complete"),Event_logs!$I$2:$I$1588,""),IFERROR(_xlfn.NUMBERVALUE(_xlfn.TEXTBEFORE(_xlfn.TEXTAFTER(_xlpm.d,"yaw_error="),"deg"),".",","),"")),"")</f>
        <v>1.39</v>
      </c>
      <c r="V57" s="44"/>
      <c r="W57" s="44" cm="1">
        <f t="array" ref="W57">IF(OR($G57="success",$G57="sucess"),_xlfn.LET(_xlpm.d,_xlfn.XLOOKUP(1,(Event_logs!$A$2:$A$1588=$A57)*(Event_logs!$H$2:$H$1588="side_align_complete"),Event_logs!$I$2:$I$1588,""),IFERROR(_xlfn.NUMBERVALUE(_xlfn.TEXTBEFORE(_xlfn.TEXTAFTER(_xlpm.d,"yaw="),"deg"),".",","),"")),"")</f>
        <v>-178.61</v>
      </c>
      <c r="X57" t="str" cm="1">
        <f t="array" ref="X57">IF(OR($G57="success",$G57="sucess"),_xlfn.XLOOKUP(1,(Event_logs!$A$2:$A$1588=$A57)*(Event_logs!$H$2:$H$1588="side_align_complete"),Event_logs!$I$2:$I$1588,""),"")</f>
        <v>side_align_left_done | final camera=left ids=[23, 24, 25, 26] target_pair=[24, 25] target_x=+0.3512 target_y=+0.2701 side_target_offset_x=+0.3560 center_x=+0.3676 center_y=-0.0369 yaw=-178.61deg error_x=-0.0048 yaw_error=+1.39deg tolerance_x=0.0060 tolerance_yaw=2.00deg</v>
      </c>
      <c r="Z57" cm="1">
        <f t="array" ref="Z57">IF(OR($G57="success",$G57="sucess",$G57="unsuccessfull",$G57="partial"),_xlfn.LET(_xlpm.d,_xlfn.XLOOKUP(1,(Event_logs!$A$2:$A$1588=$A57)*(Event_logs!$H$2:$H$1588="fine_align_complete"),Event_logs!$I$2:$I$1588,""),IFERROR(_xlfn.NUMBERVALUE(_xlfn.TEXTBEFORE(_xlfn.TEXTAFTER(_xlpm.d,"error_x=")&amp;" "," "),".",","),"")),"")</f>
        <v>5.9999999999999995E-4</v>
      </c>
      <c r="AA57" cm="1">
        <f t="array" ref="AA57">IF(AND($G57="success",$I57="success"),_xlfn.LET(_xlpm.d,_xlfn.XLOOKUP(1,(Event_logs!$A$2:$A$1588=$A57)*(Event_logs!$H$2:$H$1588="fine_align_complete"),Event_logs!$I$2:$I$1588,""),IFERROR(_xlfn.NUMBERVALUE(_xlfn.TEXTBEFORE(_xlfn.TEXTAFTER(_xlpm.d,"error_x=")&amp;" "," "),".",","),"")),"")</f>
        <v>5.9999999999999995E-4</v>
      </c>
      <c r="AB57" cm="1">
        <f t="array" ref="AB57">IF($G57="success",_xlfn.LET(_xlpm.d,_xlfn.XLOOKUP(1,(Event_logs!$A$2:$A$1588=$A57)*(Event_logs!$H$2:$H$1588="fine_align_complete"),Event_logs!$I$2:$I$1588,""),IFERROR(_xlfn.NUMBERVALUE(_xlfn.TEXTBEFORE(_xlfn.TEXTAFTER(_xlpm.d,"error_y=")&amp;" "," "),".",","),"")),"")</f>
        <v>3.8999999999999998E-3</v>
      </c>
      <c r="AC57" cm="1">
        <f t="array" ref="AC57">IF(AND($G57="success",$I57="success"),_xlfn.LET(_xlpm.d,_xlfn.XLOOKUP(1,(Event_logs!$A$2:$A$1588=$A57)*(Event_logs!$H$2:$H$1588="fine_align_complete"),Event_logs!$I$2:$I$1588,""),IFERROR(_xlfn.NUMBERVALUE(_xlfn.TEXTBEFORE(_xlfn.TEXTAFTER(_xlpm.d,"error_y=")&amp;" "," "),".",","),"")),"")</f>
        <v>3.8999999999999998E-3</v>
      </c>
      <c r="AD57" cm="1">
        <f t="array" ref="AD57">IF(AND($G57="success",$I57="success"),_xlfn.LET(_xlpm.d,_xlfn.XLOOKUP(1,(Event_logs!$A$2:$A$1588=$A57)*(Event_logs!$H$2:$H$1588="fine_align_complete"),Event_logs!$I$2:$I$1588,""),IFERROR(_xlfn.NUMBERVALUE(_xlfn.TEXTBEFORE(_xlfn.TEXTAFTER(_xlpm.d,"yaw_error="),"deg"),".",","),"")),"")</f>
        <v>-2.61</v>
      </c>
      <c r="AE57" cm="1">
        <f t="array" ref="AE57">IF($G57="success",_xlfn.LET(_xlpm.d,_xlfn.XLOOKUP(1,(Event_logs!$A$2:$A$1588=$A57)*(Event_logs!$H$2:$H$1588="fine_align_complete"),Event_logs!$I$2:$I$1588,""),IFERROR(_xlfn.NUMBERVALUE(_xlfn.TEXTBEFORE(_xlfn.TEXTAFTER(_xlpm.d,"yaw_error="),"deg"),".",","),"")),"")</f>
        <v>-2.61</v>
      </c>
    </row>
    <row r="58" spans="1:31" x14ac:dyDescent="0.25">
      <c r="A58" s="41">
        <f>IF(Handnotes!$A$34="y",Handnotes!$B$34,"")</f>
        <v>31</v>
      </c>
      <c r="B58" s="41" t="str">
        <f>IF($A58="","",IFERROR(Handnotes!$C$34,""))</f>
        <v>Normal</v>
      </c>
      <c r="C58" t="str">
        <f>IF($A58="","",IFERROR(Handnotes!$D$34,""))</f>
        <v>Trash Trolley</v>
      </c>
      <c r="D58" s="41" t="str">
        <f>IF($A58="","",IFERROR(Handnotes!$E$34,""))</f>
        <v>success</v>
      </c>
      <c r="E58" s="41" t="str">
        <f>IF($A58="","",IFERROR(Handnotes!$G$34,""))</f>
        <v>correct</v>
      </c>
      <c r="F58" s="41" t="str">
        <f>IF($A58="","",IFERROR(Handnotes!$H$34,""))</f>
        <v>success</v>
      </c>
      <c r="G58" s="41" t="str">
        <f>IF($A58="","",IFERROR(Handnotes!$J$34,""))</f>
        <v>success</v>
      </c>
      <c r="H58" s="41" t="str">
        <f>IF($A58="","",IFERROR(Handnotes!$K$34,""))</f>
        <v>YES</v>
      </c>
      <c r="I58" s="41" t="str">
        <f>IF($A58="","",IFERROR(Handnotes!$M$34,""))</f>
        <v>partial</v>
      </c>
      <c r="J58" s="41" t="str">
        <f>IF($A58="","",IFERROR(Handnotes!$O$34,""))</f>
        <v>success</v>
      </c>
      <c r="K58" s="41" t="str">
        <f>IF($A58="","",IFERROR(Handnotes!$P$34,""))</f>
        <v>success</v>
      </c>
      <c r="L58" s="41" t="str">
        <f>IF($A58="","",IFERROR(Handnotes!$Q$34,""))</f>
        <v>success</v>
      </c>
      <c r="M58" s="44" cm="1">
        <f t="array" ref="M58">IF($D58="success",_xlfn.LET(_xlpm.run,$A58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10.840999999999999</v>
      </c>
      <c r="N58" s="44" cm="1">
        <f t="array" ref="N58">IF($F58="success",_xlfn.LET(_xlpm.run,$A58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9.35</v>
      </c>
      <c r="O58" s="44" cm="1">
        <f t="array" ref="O58">IF($G58="success",_xlfn.LET(_xlpm.run,$A58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20.318999999999999</v>
      </c>
      <c r="P58" s="44">
        <f t="shared" si="6"/>
        <v>40.51</v>
      </c>
      <c r="Q58" s="44" t="str">
        <f>_xlfn.LET(_xlpm.t,$A58,_xlpm.s,_xlfn.MINIFS(Event_logs!$E$2:$E$1588,Event_logs!$A$2:$A$1588,_xlpm.t,Event_logs!$H$2:$H$1588,"fine_align_complete"),_xlpm.e,_xlfn.MINIFS(Event_logs!$E$2:$E$1588,Event_logs!$A$2:$A$1588,_xlpm.t,Event_logs!$H$2:$H$1588,"docking sucessfull"),IF(AND(OR($I58="success",$I58="sucess"),_xlpm.s&gt;0,_xlpm.e&gt;_xlpm.s),(_xlpm.e-_xlpm.s)/1000,""))</f>
        <v/>
      </c>
      <c r="R58" s="48" cm="1">
        <f t="array" ref="R58">IF($D58="success",_xlfn.LET(_xlpm.d,_xlfn.XLOOKUP(1,(Event_logs!$A$2:$A$1588=$A58)*(Event_logs!$H$2:$H$1588="side_align_complete"),Event_logs!$I$2:$I$1588,""),IFERROR(_xlfn.NUMBERVALUE(_xlfn.TEXTBEFORE(_xlfn.TEXTAFTER(_xlpm.d,"error_x=")&amp;" "," "),".",","),"")),"")</f>
        <v>1.2999999999999999E-3</v>
      </c>
      <c r="S58" s="48" cm="1">
        <f t="array" ref="S58">IF(AND($F58="success",$D58="success"),_xlfn.LET(_xlpm.d,_xlfn.XLOOKUP(1,(Event_logs!$A$2:$A$1588=$A58)*(Event_logs!$H$2:$H$1588="side_align_complete"),Event_logs!$I$2:$I$1588,""),IFERROR(_xlfn.NUMBERVALUE(_xlfn.TEXTBEFORE(_xlfn.TEXTAFTER(_xlpm.d,"error_x=")&amp;" "," "),".",","),"")),"")</f>
        <v>1.2999999999999999E-3</v>
      </c>
      <c r="T58" s="47" cm="1">
        <f t="array" ref="T58">IF($D58="success",_xlfn.LET(_xlpm.d,_xlfn.XLOOKUP(1,(Event_logs!$A$2:$A$1588=$A58)*(Event_logs!$H$2:$H$1588="side_align_complete"),Event_logs!$I$2:$I$1588,""),IFERROR(_xlfn.NUMBERVALUE(_xlfn.TEXTBEFORE(_xlfn.TEXTAFTER(_xlpm.d,"yaw_error="),"deg"),".",","),"")),"")</f>
        <v>-1.25</v>
      </c>
      <c r="U58" s="44" cm="1">
        <f t="array" ref="U58">IF(AND($F58="success",D58="success"),_xlfn.LET(_xlpm.d,_xlfn.XLOOKUP(1,(Event_logs!$A$2:$A$1588=$A58)*(Event_logs!$H$2:$H$1588="side_align_complete"),Event_logs!$I$2:$I$1588,""),IFERROR(_xlfn.NUMBERVALUE(_xlfn.TEXTBEFORE(_xlfn.TEXTAFTER(_xlpm.d,"yaw_error="),"deg"),".",","),"")),"")</f>
        <v>-1.25</v>
      </c>
      <c r="V58" s="44"/>
      <c r="W58" s="44" cm="1">
        <f t="array" ref="W58">IF(OR($G58="success",$G58="sucess"),_xlfn.LET(_xlpm.d,_xlfn.XLOOKUP(1,(Event_logs!$A$2:$A$1588=$A58)*(Event_logs!$H$2:$H$1588="side_align_complete"),Event_logs!$I$2:$I$1588,""),IFERROR(_xlfn.NUMBERVALUE(_xlfn.TEXTBEFORE(_xlfn.TEXTAFTER(_xlpm.d,"yaw="),"deg"),".",","),"")),"")</f>
        <v>178.75</v>
      </c>
      <c r="X58" t="str" cm="1">
        <f t="array" ref="X58">IF(OR($G58="success",$G58="sucess"),_xlfn.XLOOKUP(1,(Event_logs!$A$2:$A$1588=$A58)*(Event_logs!$H$2:$H$1588="side_align_complete"),Event_logs!$I$2:$I$1588,""),"")</f>
        <v>side_align_left_done | final camera=left ids=[23, 24, 25, 26] target_pair=[24, 25] target_x=+0.3573 target_y=+0.2595 side_target_offset_x=+0.3560 center_x=+0.3596 center_y=-0.0476 yaw=+178.75deg error_x=+0.0013 yaw_error=-1.25deg tolerance_x=0.0060 tolerance_yaw=2.00deg</v>
      </c>
      <c r="Z58" cm="1">
        <f t="array" ref="Z58">IF(OR($G58="success",$G58="sucess",$G58="unsuccessfull",$G58="partial"),_xlfn.LET(_xlpm.d,_xlfn.XLOOKUP(1,(Event_logs!$A$2:$A$1588=$A58)*(Event_logs!$H$2:$H$1588="fine_align_complete"),Event_logs!$I$2:$I$1588,""),IFERROR(_xlfn.NUMBERVALUE(_xlfn.TEXTBEFORE(_xlfn.TEXTAFTER(_xlpm.d,"error_x=")&amp;" "," "),".",","),"")),"")</f>
        <v>-3.5000000000000001E-3</v>
      </c>
      <c r="AA58" t="str" cm="1">
        <f t="array" ref="AA58">IF(AND($G58="success",$I58="success"),_xlfn.LET(_xlpm.d,_xlfn.XLOOKUP(1,(Event_logs!$A$2:$A$1588=$A58)*(Event_logs!$H$2:$H$1588="fine_align_complete"),Event_logs!$I$2:$I$1588,""),IFERROR(_xlfn.NUMBERVALUE(_xlfn.TEXTBEFORE(_xlfn.TEXTAFTER(_xlpm.d,"error_x=")&amp;" "," "),".",","),"")),"")</f>
        <v/>
      </c>
      <c r="AB58" cm="1">
        <f t="array" ref="AB58">IF($G58="success",_xlfn.LET(_xlpm.d,_xlfn.XLOOKUP(1,(Event_logs!$A$2:$A$1588=$A58)*(Event_logs!$H$2:$H$1588="fine_align_complete"),Event_logs!$I$2:$I$1588,""),IFERROR(_xlfn.NUMBERVALUE(_xlfn.TEXTBEFORE(_xlfn.TEXTAFTER(_xlpm.d,"error_y=")&amp;" "," "),".",","),"")),"")</f>
        <v>-6.6E-3</v>
      </c>
      <c r="AC58" t="str" cm="1">
        <f t="array" ref="AC58">IF(AND($G58="success",$I58="success"),_xlfn.LET(_xlpm.d,_xlfn.XLOOKUP(1,(Event_logs!$A$2:$A$1588=$A58)*(Event_logs!$H$2:$H$1588="fine_align_complete"),Event_logs!$I$2:$I$1588,""),IFERROR(_xlfn.NUMBERVALUE(_xlfn.TEXTBEFORE(_xlfn.TEXTAFTER(_xlpm.d,"error_y=")&amp;" "," "),".",","),"")),"")</f>
        <v/>
      </c>
      <c r="AD58" t="str" cm="1">
        <f t="array" ref="AD58">IF(AND($G58="success",$I58="success"),_xlfn.LET(_xlpm.d,_xlfn.XLOOKUP(1,(Event_logs!$A$2:$A$1588=$A58)*(Event_logs!$H$2:$H$1588="fine_align_complete"),Event_logs!$I$2:$I$1588,""),IFERROR(_xlfn.NUMBERVALUE(_xlfn.TEXTBEFORE(_xlfn.TEXTAFTER(_xlpm.d,"yaw_error="),"deg"),".",","),"")),"")</f>
        <v/>
      </c>
      <c r="AE58" cm="1">
        <f t="array" ref="AE58">IF($G58="success",_xlfn.LET(_xlpm.d,_xlfn.XLOOKUP(1,(Event_logs!$A$2:$A$1588=$A58)*(Event_logs!$H$2:$H$1588="fine_align_complete"),Event_logs!$I$2:$I$1588,""),IFERROR(_xlfn.NUMBERVALUE(_xlfn.TEXTBEFORE(_xlfn.TEXTAFTER(_xlpm.d,"yaw_error="),"deg"),".",","),"")),"")</f>
        <v>-2.84</v>
      </c>
    </row>
    <row r="59" spans="1:31" x14ac:dyDescent="0.25">
      <c r="A59" s="41">
        <f>IF(Handnotes!$A$35="y",Handnotes!$B$35,"")</f>
        <v>32</v>
      </c>
      <c r="B59" s="41" t="str">
        <f>IF($A59="","",IFERROR(Handnotes!$C$35,""))</f>
        <v>Flipped 180 deg</v>
      </c>
      <c r="C59" t="str">
        <f>IF($A59="","",IFERROR(Handnotes!$D$35,""))</f>
        <v>Laundry Trolley</v>
      </c>
      <c r="D59" s="41" t="str">
        <f>IF($A59="","",IFERROR(Handnotes!$E$35,""))</f>
        <v>success</v>
      </c>
      <c r="E59" s="41" t="str">
        <f>IF($A59="","",IFERROR(Handnotes!$G$35,""))</f>
        <v>correct</v>
      </c>
      <c r="F59" s="41" t="str">
        <f>IF($A59="","",IFERROR(Handnotes!$H$35,""))</f>
        <v>success</v>
      </c>
      <c r="G59" s="41" t="str">
        <f>IF($A59="","",IFERROR(Handnotes!$J$35,""))</f>
        <v>success</v>
      </c>
      <c r="H59" s="41" t="str">
        <f>IF($A59="","",IFERROR(Handnotes!$K$35,""))</f>
        <v>YES</v>
      </c>
      <c r="I59" s="41" t="str">
        <f>IF($A59="","",IFERROR(Handnotes!$M$35,""))</f>
        <v>partial</v>
      </c>
      <c r="J59" s="41" t="str">
        <f>IF($A59="","",IFERROR(Handnotes!$O$35,""))</f>
        <v>success</v>
      </c>
      <c r="K59" s="41" t="str">
        <f>IF($A59="","",IFERROR(Handnotes!$P$35,""))</f>
        <v>success</v>
      </c>
      <c r="L59" s="41" t="str">
        <f>IF($A59="","",IFERROR(Handnotes!$Q$35,""))</f>
        <v>success</v>
      </c>
      <c r="M59" s="44" cm="1">
        <f t="array" ref="M59">IF($D59="success",_xlfn.LET(_xlpm.run,$A59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10.211</v>
      </c>
      <c r="N59" s="44" cm="1">
        <f t="array" ref="N59">IF($F59="success",_xlfn.LET(_xlpm.run,$A59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9.4480000000000004</v>
      </c>
      <c r="O59" s="44" cm="1">
        <f t="array" ref="O59">IF($G59="success",_xlfn.LET(_xlpm.run,$A59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29.806000000000001</v>
      </c>
      <c r="P59" s="44">
        <f t="shared" si="6"/>
        <v>49.465000000000003</v>
      </c>
      <c r="Q59" s="44" t="str">
        <f>_xlfn.LET(_xlpm.t,$A59,_xlpm.s,_xlfn.MINIFS(Event_logs!$E$2:$E$1588,Event_logs!$A$2:$A$1588,_xlpm.t,Event_logs!$H$2:$H$1588,"fine_align_complete"),_xlpm.e,_xlfn.MINIFS(Event_logs!$E$2:$E$1588,Event_logs!$A$2:$A$1588,_xlpm.t,Event_logs!$H$2:$H$1588,"docking sucessfull"),IF(AND(OR($I59="success",$I59="sucess"),_xlpm.s&gt;0,_xlpm.e&gt;_xlpm.s),(_xlpm.e-_xlpm.s)/1000,""))</f>
        <v/>
      </c>
      <c r="R59" s="48" cm="1">
        <f t="array" ref="R59">IF($D59="success",_xlfn.LET(_xlpm.d,_xlfn.XLOOKUP(1,(Event_logs!$A$2:$A$1588=$A59)*(Event_logs!$H$2:$H$1588="side_align_complete"),Event_logs!$I$2:$I$1588,""),IFERROR(_xlfn.NUMBERVALUE(_xlfn.TEXTBEFORE(_xlfn.TEXTAFTER(_xlpm.d,"error_x=")&amp;" "," "),".",","),"")),"")</f>
        <v>-2.8E-3</v>
      </c>
      <c r="S59" s="48" cm="1">
        <f t="array" ref="S59">IF(AND($F59="success",$D59="success"),_xlfn.LET(_xlpm.d,_xlfn.XLOOKUP(1,(Event_logs!$A$2:$A$1588=$A59)*(Event_logs!$H$2:$H$1588="side_align_complete"),Event_logs!$I$2:$I$1588,""),IFERROR(_xlfn.NUMBERVALUE(_xlfn.TEXTBEFORE(_xlfn.TEXTAFTER(_xlpm.d,"error_x=")&amp;" "," "),".",","),"")),"")</f>
        <v>-2.8E-3</v>
      </c>
      <c r="T59" s="47" cm="1">
        <f t="array" ref="T59">IF($D59="success",_xlfn.LET(_xlpm.d,_xlfn.XLOOKUP(1,(Event_logs!$A$2:$A$1588=$A59)*(Event_logs!$H$2:$H$1588="side_align_complete"),Event_logs!$I$2:$I$1588,""),IFERROR(_xlfn.NUMBERVALUE(_xlfn.TEXTBEFORE(_xlfn.TEXTAFTER(_xlpm.d,"yaw_error="),"deg"),".",","),"")),"")</f>
        <v>0.41</v>
      </c>
      <c r="U59" s="44" cm="1">
        <f t="array" ref="U59">IF(AND($F59="success",D59="success"),_xlfn.LET(_xlpm.d,_xlfn.XLOOKUP(1,(Event_logs!$A$2:$A$1588=$A59)*(Event_logs!$H$2:$H$1588="side_align_complete"),Event_logs!$I$2:$I$1588,""),IFERROR(_xlfn.NUMBERVALUE(_xlfn.TEXTBEFORE(_xlfn.TEXTAFTER(_xlpm.d,"yaw_error="),"deg"),".",","),"")),"")</f>
        <v>0.41</v>
      </c>
      <c r="V59" s="44"/>
      <c r="W59" s="44" cm="1">
        <f t="array" ref="W59">IF(OR($G59="success",$G59="sucess"),_xlfn.LET(_xlpm.d,_xlfn.XLOOKUP(1,(Event_logs!$A$2:$A$1588=$A59)*(Event_logs!$H$2:$H$1588="side_align_complete"),Event_logs!$I$2:$I$1588,""),IFERROR(_xlfn.NUMBERVALUE(_xlfn.TEXTBEFORE(_xlfn.TEXTAFTER(_xlpm.d,"yaw="),"deg"),".",","),"")),"")</f>
        <v>-179.59</v>
      </c>
      <c r="X59" t="str" cm="1">
        <f t="array" ref="X59">IF(OR($G59="success",$G59="sucess"),_xlfn.XLOOKUP(1,(Event_logs!$A$2:$A$1588=$A59)*(Event_logs!$H$2:$H$1588="side_align_complete"),Event_logs!$I$2:$I$1588,""),"")</f>
        <v>side_align_complete: side_align_left_done | final camera=left ids=[17, 18, 19, 20] target_pair=[18, 19] target_x=+0.3532 target_y=+0.2814 side_target_offset_x=+0.3560 center_x=+0.3558 center_y=+0.5867 yaw=-179.59deg error_x=-0.0028 yaw_error=+0.41deg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v>
      </c>
      <c r="Z59" cm="1">
        <f t="array" ref="Z59">IF(OR($G59="success",$G59="sucess",$G59="unsuccessfull",$G59="partial"),_xlfn.LET(_xlpm.d,_xlfn.XLOOKUP(1,(Event_logs!$A$2:$A$1588=$A59)*(Event_logs!$H$2:$H$1588="fine_align_complete"),Event_logs!$I$2:$I$1588,""),IFERROR(_xlfn.NUMBERVALUE(_xlfn.TEXTBEFORE(_xlfn.TEXTAFTER(_xlpm.d,"error_x=")&amp;" "," "),".",","),"")),"")</f>
        <v>3.8E-3</v>
      </c>
      <c r="AA59" t="str" cm="1">
        <f t="array" ref="AA59">IF(AND($G59="success",$I59="success"),_xlfn.LET(_xlpm.d,_xlfn.XLOOKUP(1,(Event_logs!$A$2:$A$1588=$A59)*(Event_logs!$H$2:$H$1588="fine_align_complete"),Event_logs!$I$2:$I$1588,""),IFERROR(_xlfn.NUMBERVALUE(_xlfn.TEXTBEFORE(_xlfn.TEXTAFTER(_xlpm.d,"error_x=")&amp;" "," "),".",","),"")),"")</f>
        <v/>
      </c>
      <c r="AB59" cm="1">
        <f t="array" ref="AB59">IF($G59="success",_xlfn.LET(_xlpm.d,_xlfn.XLOOKUP(1,(Event_logs!$A$2:$A$1588=$A59)*(Event_logs!$H$2:$H$1588="fine_align_complete"),Event_logs!$I$2:$I$1588,""),IFERROR(_xlfn.NUMBERVALUE(_xlfn.TEXTBEFORE(_xlfn.TEXTAFTER(_xlpm.d,"error_y=")&amp;" "," "),".",","),"")),"")</f>
        <v>5.4000000000000003E-3</v>
      </c>
      <c r="AC59" t="str" cm="1">
        <f t="array" ref="AC59">IF(AND($G59="success",$I59="success"),_xlfn.LET(_xlpm.d,_xlfn.XLOOKUP(1,(Event_logs!$A$2:$A$1588=$A59)*(Event_logs!$H$2:$H$1588="fine_align_complete"),Event_logs!$I$2:$I$1588,""),IFERROR(_xlfn.NUMBERVALUE(_xlfn.TEXTBEFORE(_xlfn.TEXTAFTER(_xlpm.d,"error_y=")&amp;" "," "),".",","),"")),"")</f>
        <v/>
      </c>
      <c r="AD59" t="str" cm="1">
        <f t="array" ref="AD59">IF(AND($G59="success",$I59="success"),_xlfn.LET(_xlpm.d,_xlfn.XLOOKUP(1,(Event_logs!$A$2:$A$1588=$A59)*(Event_logs!$H$2:$H$1588="fine_align_complete"),Event_logs!$I$2:$I$1588,""),IFERROR(_xlfn.NUMBERVALUE(_xlfn.TEXTBEFORE(_xlfn.TEXTAFTER(_xlpm.d,"yaw_error="),"deg"),".",","),"")),"")</f>
        <v/>
      </c>
      <c r="AE59" cm="1">
        <f t="array" ref="AE59">IF($G59="success",_xlfn.LET(_xlpm.d,_xlfn.XLOOKUP(1,(Event_logs!$A$2:$A$1588=$A59)*(Event_logs!$H$2:$H$1588="fine_align_complete"),Event_logs!$I$2:$I$1588,""),IFERROR(_xlfn.NUMBERVALUE(_xlfn.TEXTBEFORE(_xlfn.TEXTAFTER(_xlpm.d,"yaw_error="),"deg"),".",","),"")),"")</f>
        <v>-0.28000000000000003</v>
      </c>
    </row>
    <row r="60" spans="1:31" x14ac:dyDescent="0.25">
      <c r="A60" s="41">
        <f>IF(Handnotes!$A$36="y",Handnotes!$B$36,"")</f>
        <v>33</v>
      </c>
      <c r="B60" s="41" t="str">
        <f>IF($A60="","",IFERROR(Handnotes!$C$36,""))</f>
        <v>Flipped 180 deg</v>
      </c>
      <c r="C60" t="str">
        <f>IF($A60="","",IFERROR(Handnotes!$D$36,""))</f>
        <v>Laundry Trolley</v>
      </c>
      <c r="D60" s="41" t="str">
        <f>IF($A60="","",IFERROR(Handnotes!$E$36,""))</f>
        <v>success</v>
      </c>
      <c r="E60" s="41" t="str">
        <f>IF($A60="","",IFERROR(Handnotes!$G$36,""))</f>
        <v>correct</v>
      </c>
      <c r="F60" s="41" t="str">
        <f>IF($A60="","",IFERROR(Handnotes!$H$36,""))</f>
        <v>success</v>
      </c>
      <c r="G60" s="41" t="str">
        <f>IF($A60="","",IFERROR(Handnotes!$J$36,""))</f>
        <v>unsuccessfull</v>
      </c>
      <c r="H60" s="41" t="str">
        <f>IF($A60="","",IFERROR(Handnotes!$K$36,""))</f>
        <v>YES</v>
      </c>
      <c r="I60" s="41" t="str">
        <f>IF($A60="","",IFERROR(Handnotes!$M$36,""))</f>
        <v>unsuccessfull</v>
      </c>
      <c r="J60" s="41" t="str">
        <f>IF($A60="","",IFERROR(Handnotes!$O$36,""))</f>
        <v>success</v>
      </c>
      <c r="K60" s="41" t="str">
        <f>IF($A60="","",IFERROR(Handnotes!$P$36,""))</f>
        <v>success</v>
      </c>
      <c r="L60" s="41" t="str">
        <f>IF($A60="","",IFERROR(Handnotes!$Q$36,""))</f>
        <v>success</v>
      </c>
      <c r="M60" s="44" cm="1">
        <f t="array" ref="M60">IF($D60="success",_xlfn.LET(_xlpm.run,$A60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10.095000000000001</v>
      </c>
      <c r="N60" s="44" cm="1">
        <f t="array" ref="N60">IF($F60="success",_xlfn.LET(_xlpm.run,$A60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9.4090000000000007</v>
      </c>
      <c r="O60" s="44" t="str" cm="1">
        <f t="array" ref="O60">IF($G60="success",_xlfn.LET(_xlpm.run,$A60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60" s="44" t="str">
        <f t="shared" si="6"/>
        <v/>
      </c>
      <c r="Q60" s="44" t="str">
        <f>_xlfn.LET(_xlpm.t,$A60,_xlpm.s,_xlfn.MINIFS(Event_logs!$E$2:$E$1588,Event_logs!$A$2:$A$1588,_xlpm.t,Event_logs!$H$2:$H$1588,"fine_align_complete"),_xlpm.e,_xlfn.MINIFS(Event_logs!$E$2:$E$1588,Event_logs!$A$2:$A$1588,_xlpm.t,Event_logs!$H$2:$H$1588,"docking sucessfull"),IF(AND(OR($I60="success",$I60="sucess"),_xlpm.s&gt;0,_xlpm.e&gt;_xlpm.s),(_xlpm.e-_xlpm.s)/1000,""))</f>
        <v/>
      </c>
      <c r="R60" s="48" cm="1">
        <f t="array" ref="R60">IF($D60="success",_xlfn.LET(_xlpm.d,_xlfn.XLOOKUP(1,(Event_logs!$A$2:$A$1588=$A60)*(Event_logs!$H$2:$H$1588="side_align_complete"),Event_logs!$I$2:$I$1588,""),IFERROR(_xlfn.NUMBERVALUE(_xlfn.TEXTBEFORE(_xlfn.TEXTAFTER(_xlpm.d,"error_x=")&amp;" "," "),".",","),"")),"")</f>
        <v>2.5999999999999999E-3</v>
      </c>
      <c r="S60" s="48" cm="1">
        <f t="array" ref="S60">IF(AND($F60="success",$D60="success"),_xlfn.LET(_xlpm.d,_xlfn.XLOOKUP(1,(Event_logs!$A$2:$A$1588=$A60)*(Event_logs!$H$2:$H$1588="side_align_complete"),Event_logs!$I$2:$I$1588,""),IFERROR(_xlfn.NUMBERVALUE(_xlfn.TEXTBEFORE(_xlfn.TEXTAFTER(_xlpm.d,"error_x=")&amp;" "," "),".",","),"")),"")</f>
        <v>2.5999999999999999E-3</v>
      </c>
      <c r="T60" s="47" cm="1">
        <f t="array" ref="T60">IF($D60="success",_xlfn.LET(_xlpm.d,_xlfn.XLOOKUP(1,(Event_logs!$A$2:$A$1588=$A60)*(Event_logs!$H$2:$H$1588="side_align_complete"),Event_logs!$I$2:$I$1588,""),IFERROR(_xlfn.NUMBERVALUE(_xlfn.TEXTBEFORE(_xlfn.TEXTAFTER(_xlpm.d,"yaw_error="),"deg"),".",","),"")),"")</f>
        <v>0.62</v>
      </c>
      <c r="U60" s="44" cm="1">
        <f t="array" ref="U60">IF(AND($F60="success",D60="success"),_xlfn.LET(_xlpm.d,_xlfn.XLOOKUP(1,(Event_logs!$A$2:$A$1588=$A60)*(Event_logs!$H$2:$H$1588="side_align_complete"),Event_logs!$I$2:$I$1588,""),IFERROR(_xlfn.NUMBERVALUE(_xlfn.TEXTBEFORE(_xlfn.TEXTAFTER(_xlpm.d,"yaw_error="),"deg"),".",","),"")),"")</f>
        <v>0.62</v>
      </c>
      <c r="V60" s="44"/>
      <c r="W60" s="44" t="str" cm="1">
        <f t="array" ref="W60">IF(OR($G60="success",$G60="sucess"),_xlfn.LET(_xlpm.d,_xlfn.XLOOKUP(1,(Event_logs!$A$2:$A$1588=$A60)*(Event_logs!$H$2:$H$1588="side_align_complete"),Event_logs!$I$2:$I$1588,""),IFERROR(_xlfn.NUMBERVALUE(_xlfn.TEXTBEFORE(_xlfn.TEXTAFTER(_xlpm.d,"yaw="),"deg"),".",","),"")),"")</f>
        <v/>
      </c>
      <c r="X60" t="str" cm="1">
        <f t="array" ref="X60">IF(OR($G60="success",$G60="sucess"),_xlfn.XLOOKUP(1,(Event_logs!$A$2:$A$1588=$A60)*(Event_logs!$H$2:$H$1588="side_align_complete"),Event_logs!$I$2:$I$1588,""),"")</f>
        <v/>
      </c>
      <c r="Z60" cm="1">
        <f t="array" ref="Z60">IF(OR($G60="success",$G60="sucess",$G60="unsuccessfull",$G60="partial"),_xlfn.LET(_xlpm.d,_xlfn.XLOOKUP(1,(Event_logs!$A$2:$A$1588=$A60)*(Event_logs!$H$2:$H$1588="fine_align_complete"),Event_logs!$I$2:$I$1588,""),IFERROR(_xlfn.NUMBERVALUE(_xlfn.TEXTBEFORE(_xlfn.TEXTAFTER(_xlpm.d,"error_x=")&amp;" "," "),".",","),"")),"")</f>
        <v>2.9999999999999997E-4</v>
      </c>
      <c r="AA60" t="str" cm="1">
        <f t="array" ref="AA60">IF(AND($G60="success",$I60="success"),_xlfn.LET(_xlpm.d,_xlfn.XLOOKUP(1,(Event_logs!$A$2:$A$1588=$A60)*(Event_logs!$H$2:$H$1588="fine_align_complete"),Event_logs!$I$2:$I$1588,""),IFERROR(_xlfn.NUMBERVALUE(_xlfn.TEXTBEFORE(_xlfn.TEXTAFTER(_xlpm.d,"error_x=")&amp;" "," "),".",","),"")),"")</f>
        <v/>
      </c>
      <c r="AB60" t="str" cm="1">
        <f t="array" ref="AB60">IF($G60="success",_xlfn.LET(_xlpm.d,_xlfn.XLOOKUP(1,(Event_logs!$A$2:$A$1588=$A60)*(Event_logs!$H$2:$H$1588="fine_align_complete"),Event_logs!$I$2:$I$1588,""),IFERROR(_xlfn.NUMBERVALUE(_xlfn.TEXTBEFORE(_xlfn.TEXTAFTER(_xlpm.d,"error_y=")&amp;" "," "),".",","),"")),"")</f>
        <v/>
      </c>
      <c r="AC60" t="str" cm="1">
        <f t="array" ref="AC60">IF(AND($G60="success",$I60="success"),_xlfn.LET(_xlpm.d,_xlfn.XLOOKUP(1,(Event_logs!$A$2:$A$1588=$A60)*(Event_logs!$H$2:$H$1588="fine_align_complete"),Event_logs!$I$2:$I$1588,""),IFERROR(_xlfn.NUMBERVALUE(_xlfn.TEXTBEFORE(_xlfn.TEXTAFTER(_xlpm.d,"error_y=")&amp;" "," "),".",","),"")),"")</f>
        <v/>
      </c>
      <c r="AD60" t="str" cm="1">
        <f t="array" ref="AD60">IF(AND($G60="success",$I60="success"),_xlfn.LET(_xlpm.d,_xlfn.XLOOKUP(1,(Event_logs!$A$2:$A$1588=$A60)*(Event_logs!$H$2:$H$1588="fine_align_complete"),Event_logs!$I$2:$I$1588,""),IFERROR(_xlfn.NUMBERVALUE(_xlfn.TEXTBEFORE(_xlfn.TEXTAFTER(_xlpm.d,"yaw_error="),"deg"),".",","),"")),"")</f>
        <v/>
      </c>
      <c r="AE60" t="str" cm="1">
        <f t="array" ref="AE60">IF($G60="success",_xlfn.LET(_xlpm.d,_xlfn.XLOOKUP(1,(Event_logs!$A$2:$A$1588=$A60)*(Event_logs!$H$2:$H$1588="fine_align_complete"),Event_logs!$I$2:$I$1588,""),IFERROR(_xlfn.NUMBERVALUE(_xlfn.TEXTBEFORE(_xlfn.TEXTAFTER(_xlpm.d,"yaw_error="),"deg"),".",","),"")),"")</f>
        <v/>
      </c>
    </row>
    <row r="61" spans="1:31" x14ac:dyDescent="0.25">
      <c r="A61" s="41" t="str">
        <f>IF(Handnotes!$A$37="y",Handnotes!$B$37,"")</f>
        <v/>
      </c>
      <c r="B61" s="41" t="str">
        <f>IF($A61="","",IFERROR(Handnotes!$C$37,""))</f>
        <v/>
      </c>
      <c r="C61" t="str">
        <f>IF($A61="","",IFERROR(Handnotes!$D$37,""))</f>
        <v/>
      </c>
      <c r="D61" s="41" t="str">
        <f>IF($A61="","",IFERROR(Handnotes!$E$37,""))</f>
        <v/>
      </c>
      <c r="E61" s="41" t="str">
        <f>IF($A61="","",IFERROR(Handnotes!$G$37,""))</f>
        <v/>
      </c>
      <c r="F61" s="41" t="str">
        <f>IF($A61="","",IFERROR(Handnotes!$H$37,""))</f>
        <v/>
      </c>
      <c r="G61" s="41" t="str">
        <f>IF($A61="","",IFERROR(Handnotes!$J$37,""))</f>
        <v/>
      </c>
      <c r="H61" s="41" t="str">
        <f>IF($A61="","",IFERROR(Handnotes!$K$37,""))</f>
        <v/>
      </c>
      <c r="I61" s="41" t="str">
        <f>IF($A61="","",IFERROR(Handnotes!$M$37,""))</f>
        <v/>
      </c>
      <c r="J61" s="41" t="str">
        <f>IF($A61="","",IFERROR(Handnotes!$O$37,""))</f>
        <v/>
      </c>
      <c r="K61" s="41" t="str">
        <f>IF($A61="","",IFERROR(Handnotes!$P$37,""))</f>
        <v/>
      </c>
      <c r="L61" s="41" t="str">
        <f>IF($A61="","",IFERROR(Handnotes!$Q$37,""))</f>
        <v/>
      </c>
      <c r="M61" s="44" t="str" cm="1">
        <f t="array" ref="M61">IF($D61="success",_xlfn.LET(_xlpm.run,$A61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61" s="44" t="str" cm="1">
        <f t="array" ref="N61">IF($F61="success",_xlfn.LET(_xlpm.run,$A61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O61" s="44" t="str" cm="1">
        <f t="array" ref="O61">IF($G61="success",_xlfn.LET(_xlpm.run,$A61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61" s="44" t="str">
        <f t="shared" si="6"/>
        <v/>
      </c>
      <c r="Q61" s="44" t="str">
        <f>_xlfn.LET(_xlpm.t,$A61,_xlpm.s,_xlfn.MINIFS(Event_logs!$E$2:$E$1588,Event_logs!$A$2:$A$1588,_xlpm.t,Event_logs!$H$2:$H$1588,"fine_align_complete"),_xlpm.e,_xlfn.MINIFS(Event_logs!$E$2:$E$1588,Event_logs!$A$2:$A$1588,_xlpm.t,Event_logs!$H$2:$H$1588,"docking sucessfull"),IF(AND(OR($I61="success",$I61="sucess"),_xlpm.s&gt;0,_xlpm.e&gt;_xlpm.s),(_xlpm.e-_xlpm.s)/1000,""))</f>
        <v/>
      </c>
      <c r="R61" s="48" t="str" cm="1">
        <f t="array" ref="R61">IF($D61="success",_xlfn.LET(_xlpm.d,_xlfn.XLOOKUP(1,(Event_logs!$A$2:$A$1588=$A61)*(Event_logs!$H$2:$H$1588="side_align_complete"),Event_logs!$I$2:$I$1588,""),IFERROR(_xlfn.NUMBERVALUE(_xlfn.TEXTBEFORE(_xlfn.TEXTAFTER(_xlpm.d,"error_x=")&amp;" "," "),".",","),"")),"")</f>
        <v/>
      </c>
      <c r="S61" s="48" t="str" cm="1">
        <f t="array" ref="S61">IF(AND($F61="success",$D61="success"),_xlfn.LET(_xlpm.d,_xlfn.XLOOKUP(1,(Event_logs!$A$2:$A$1588=$A61)*(Event_logs!$H$2:$H$1588="side_align_complete"),Event_logs!$I$2:$I$1588,""),IFERROR(_xlfn.NUMBERVALUE(_xlfn.TEXTBEFORE(_xlfn.TEXTAFTER(_xlpm.d,"error_x=")&amp;" "," "),".",","),"")),"")</f>
        <v/>
      </c>
      <c r="T61" s="47" t="str" cm="1">
        <f t="array" ref="T61">IF($D61="success",_xlfn.LET(_xlpm.d,_xlfn.XLOOKUP(1,(Event_logs!$A$2:$A$1588=$A61)*(Event_logs!$H$2:$H$1588="side_align_complete"),Event_logs!$I$2:$I$1588,""),IFERROR(_xlfn.NUMBERVALUE(_xlfn.TEXTBEFORE(_xlfn.TEXTAFTER(_xlpm.d,"yaw_error="),"deg"),".",","),"")),"")</f>
        <v/>
      </c>
      <c r="U61" s="44" t="str" cm="1">
        <f t="array" ref="U61">IF(AND($F61="success",D61="success"),_xlfn.LET(_xlpm.d,_xlfn.XLOOKUP(1,(Event_logs!$A$2:$A$1588=$A61)*(Event_logs!$H$2:$H$1588="side_align_complete"),Event_logs!$I$2:$I$1588,""),IFERROR(_xlfn.NUMBERVALUE(_xlfn.TEXTBEFORE(_xlfn.TEXTAFTER(_xlpm.d,"yaw_error="),"deg"),".",","),"")),"")</f>
        <v/>
      </c>
      <c r="V61" s="44"/>
      <c r="W61" s="44" t="str" cm="1">
        <f t="array" ref="W61">IF(OR($G61="success",$G61="sucess"),_xlfn.LET(_xlpm.d,_xlfn.XLOOKUP(1,(Event_logs!$A$2:$A$1588=$A61)*(Event_logs!$H$2:$H$1588="side_align_complete"),Event_logs!$I$2:$I$1588,""),IFERROR(_xlfn.NUMBERVALUE(_xlfn.TEXTBEFORE(_xlfn.TEXTAFTER(_xlpm.d,"yaw="),"deg"),".",","),"")),"")</f>
        <v/>
      </c>
      <c r="X61" t="str" cm="1">
        <f t="array" ref="X61">IF(OR($G61="success",$G61="sucess"),_xlfn.XLOOKUP(1,(Event_logs!$A$2:$A$1588=$A61)*(Event_logs!$H$2:$H$1588="side_align_complete"),Event_logs!$I$2:$I$1588,""),"")</f>
        <v/>
      </c>
      <c r="Z61" t="str" cm="1">
        <f t="array" ref="Z61">IF(OR($G61="success",$G61="sucess",$G61="unsuccessfull",$G61="partial"),_xlfn.LET(_xlpm.d,_xlfn.XLOOKUP(1,(Event_logs!$A$2:$A$1588=$A61)*(Event_logs!$H$2:$H$1588="fine_align_complete"),Event_logs!$I$2:$I$1588,""),IFERROR(_xlfn.NUMBERVALUE(_xlfn.TEXTBEFORE(_xlfn.TEXTAFTER(_xlpm.d,"error_x=")&amp;" "," "),".",","),"")),"")</f>
        <v/>
      </c>
      <c r="AA61" t="str" cm="1">
        <f t="array" ref="AA61">IF(AND($G61="success",$I61="success"),_xlfn.LET(_xlpm.d,_xlfn.XLOOKUP(1,(Event_logs!$A$2:$A$1588=$A61)*(Event_logs!$H$2:$H$1588="fine_align_complete"),Event_logs!$I$2:$I$1588,""),IFERROR(_xlfn.NUMBERVALUE(_xlfn.TEXTBEFORE(_xlfn.TEXTAFTER(_xlpm.d,"error_x=")&amp;" "," "),".",","),"")),"")</f>
        <v/>
      </c>
      <c r="AB61" t="str" cm="1">
        <f t="array" ref="AB61">IF($G61="success",_xlfn.LET(_xlpm.d,_xlfn.XLOOKUP(1,(Event_logs!$A$2:$A$1588=$A61)*(Event_logs!$H$2:$H$1588="fine_align_complete"),Event_logs!$I$2:$I$1588,""),IFERROR(_xlfn.NUMBERVALUE(_xlfn.TEXTBEFORE(_xlfn.TEXTAFTER(_xlpm.d,"error_y=")&amp;" "," "),".",","),"")),"")</f>
        <v/>
      </c>
      <c r="AC61" t="str" cm="1">
        <f t="array" ref="AC61">IF(AND($G61="success",$I61="success"),_xlfn.LET(_xlpm.d,_xlfn.XLOOKUP(1,(Event_logs!$A$2:$A$1588=$A61)*(Event_logs!$H$2:$H$1588="fine_align_complete"),Event_logs!$I$2:$I$1588,""),IFERROR(_xlfn.NUMBERVALUE(_xlfn.TEXTBEFORE(_xlfn.TEXTAFTER(_xlpm.d,"error_y=")&amp;" "," "),".",","),"")),"")</f>
        <v/>
      </c>
      <c r="AD61" t="str" cm="1">
        <f t="array" ref="AD61">IF(AND($G61="success",$I61="success"),_xlfn.LET(_xlpm.d,_xlfn.XLOOKUP(1,(Event_logs!$A$2:$A$1588=$A61)*(Event_logs!$H$2:$H$1588="fine_align_complete"),Event_logs!$I$2:$I$1588,""),IFERROR(_xlfn.NUMBERVALUE(_xlfn.TEXTBEFORE(_xlfn.TEXTAFTER(_xlpm.d,"yaw_error="),"deg"),".",","),"")),"")</f>
        <v/>
      </c>
      <c r="AE61" t="str" cm="1">
        <f t="array" ref="AE61">IF($G61="success",_xlfn.LET(_xlpm.d,_xlfn.XLOOKUP(1,(Event_logs!$A$2:$A$1588=$A61)*(Event_logs!$H$2:$H$1588="fine_align_complete"),Event_logs!$I$2:$I$1588,""),IFERROR(_xlfn.NUMBERVALUE(_xlfn.TEXTBEFORE(_xlfn.TEXTAFTER(_xlpm.d,"yaw_error="),"deg"),".",","),"")),"")</f>
        <v/>
      </c>
    </row>
    <row r="62" spans="1:31" x14ac:dyDescent="0.25">
      <c r="A62" s="41" t="str">
        <f>IF(Handnotes!$A$38="y",Handnotes!$B$38,"")</f>
        <v/>
      </c>
      <c r="B62" s="41" t="str">
        <f>IF($A62="","",IFERROR(Handnotes!$C$38,""))</f>
        <v/>
      </c>
      <c r="C62" t="str">
        <f>IF($A62="","",IFERROR(Handnotes!$D$38,""))</f>
        <v/>
      </c>
      <c r="D62" s="41" t="str">
        <f>IF($A62="","",IFERROR(Handnotes!$E$38,""))</f>
        <v/>
      </c>
      <c r="E62" s="41" t="str">
        <f>IF($A62="","",IFERROR(Handnotes!$G$38,""))</f>
        <v/>
      </c>
      <c r="F62" s="41" t="str">
        <f>IF($A62="","",IFERROR(Handnotes!$H$38,""))</f>
        <v/>
      </c>
      <c r="G62" s="41" t="str">
        <f>IF($A62="","",IFERROR(Handnotes!$J$38,""))</f>
        <v/>
      </c>
      <c r="H62" s="41" t="str">
        <f>IF($A62="","",IFERROR(Handnotes!$K$38,""))</f>
        <v/>
      </c>
      <c r="I62" s="41" t="str">
        <f>IF($A62="","",IFERROR(Handnotes!$M$38,""))</f>
        <v/>
      </c>
      <c r="J62" s="41" t="str">
        <f>IF($A62="","",IFERROR(Handnotes!$O$38,""))</f>
        <v/>
      </c>
      <c r="K62" s="41" t="str">
        <f>IF($A62="","",IFERROR(Handnotes!$P$38,""))</f>
        <v/>
      </c>
      <c r="L62" s="41" t="str">
        <f>IF($A62="","",IFERROR(Handnotes!$Q$38,""))</f>
        <v/>
      </c>
      <c r="M62" s="44" t="str" cm="1">
        <f t="array" ref="M62">IF($D62="success",_xlfn.LET(_xlpm.run,$A62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62" s="44" t="str" cm="1">
        <f t="array" ref="N62">IF($F62="success",_xlfn.LET(_xlpm.run,$A62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O62" s="44" t="str" cm="1">
        <f t="array" ref="O62">IF($G62="success",_xlfn.LET(_xlpm.run,$A62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62" s="44" t="str">
        <f t="shared" si="6"/>
        <v/>
      </c>
      <c r="Q62" s="44" t="str">
        <f>_xlfn.LET(_xlpm.t,$A62,_xlpm.s,_xlfn.MINIFS(Event_logs!$E$2:$E$1588,Event_logs!$A$2:$A$1588,_xlpm.t,Event_logs!$H$2:$H$1588,"fine_align_complete"),_xlpm.e,_xlfn.MINIFS(Event_logs!$E$2:$E$1588,Event_logs!$A$2:$A$1588,_xlpm.t,Event_logs!$H$2:$H$1588,"docking sucessfull"),IF(AND(OR($I62="success",$I62="sucess"),_xlpm.s&gt;0,_xlpm.e&gt;_xlpm.s),(_xlpm.e-_xlpm.s)/1000,""))</f>
        <v/>
      </c>
      <c r="R62" s="48" t="str" cm="1">
        <f t="array" ref="R62">IF($D62="success",_xlfn.LET(_xlpm.d,_xlfn.XLOOKUP(1,(Event_logs!$A$2:$A$1588=$A62)*(Event_logs!$H$2:$H$1588="side_align_complete"),Event_logs!$I$2:$I$1588,""),IFERROR(_xlfn.NUMBERVALUE(_xlfn.TEXTBEFORE(_xlfn.TEXTAFTER(_xlpm.d,"error_x=")&amp;" "," "),".",","),"")),"")</f>
        <v/>
      </c>
      <c r="S62" s="48" t="str" cm="1">
        <f t="array" ref="S62">IF(AND($F62="success",$D62="success"),_xlfn.LET(_xlpm.d,_xlfn.XLOOKUP(1,(Event_logs!$A$2:$A$1588=$A62)*(Event_logs!$H$2:$H$1588="side_align_complete"),Event_logs!$I$2:$I$1588,""),IFERROR(_xlfn.NUMBERVALUE(_xlfn.TEXTBEFORE(_xlfn.TEXTAFTER(_xlpm.d,"error_x=")&amp;" "," "),".",","),"")),"")</f>
        <v/>
      </c>
      <c r="T62" s="47" t="str" cm="1">
        <f t="array" ref="T62">IF($D62="success",_xlfn.LET(_xlpm.d,_xlfn.XLOOKUP(1,(Event_logs!$A$2:$A$1588=$A62)*(Event_logs!$H$2:$H$1588="side_align_complete"),Event_logs!$I$2:$I$1588,""),IFERROR(_xlfn.NUMBERVALUE(_xlfn.TEXTBEFORE(_xlfn.TEXTAFTER(_xlpm.d,"yaw_error="),"deg"),".",","),"")),"")</f>
        <v/>
      </c>
      <c r="U62" s="44" t="str" cm="1">
        <f t="array" ref="U62">IF(AND($F62="success",D62="success"),_xlfn.LET(_xlpm.d,_xlfn.XLOOKUP(1,(Event_logs!$A$2:$A$1588=$A62)*(Event_logs!$H$2:$H$1588="side_align_complete"),Event_logs!$I$2:$I$1588,""),IFERROR(_xlfn.NUMBERVALUE(_xlfn.TEXTBEFORE(_xlfn.TEXTAFTER(_xlpm.d,"yaw_error="),"deg"),".",","),"")),"")</f>
        <v/>
      </c>
      <c r="V62" s="44"/>
      <c r="W62" s="44" t="str" cm="1">
        <f t="array" ref="W62">IF(OR($G62="success",$G62="sucess"),_xlfn.LET(_xlpm.d,_xlfn.XLOOKUP(1,(Event_logs!$A$2:$A$1588=$A62)*(Event_logs!$H$2:$H$1588="side_align_complete"),Event_logs!$I$2:$I$1588,""),IFERROR(_xlfn.NUMBERVALUE(_xlfn.TEXTBEFORE(_xlfn.TEXTAFTER(_xlpm.d,"yaw="),"deg"),".",","),"")),"")</f>
        <v/>
      </c>
      <c r="X62" t="str" cm="1">
        <f t="array" ref="X62">IF(OR($G62="success",$G62="sucess"),_xlfn.XLOOKUP(1,(Event_logs!$A$2:$A$1588=$A62)*(Event_logs!$H$2:$H$1588="side_align_complete"),Event_logs!$I$2:$I$1588,""),"")</f>
        <v/>
      </c>
      <c r="Z62" t="str" cm="1">
        <f t="array" ref="Z62">IF(OR($G62="success",$G62="sucess",$G62="unsuccessfull",$G62="partial"),_xlfn.LET(_xlpm.d,_xlfn.XLOOKUP(1,(Event_logs!$A$2:$A$1588=$A62)*(Event_logs!$H$2:$H$1588="fine_align_complete"),Event_logs!$I$2:$I$1588,""),IFERROR(_xlfn.NUMBERVALUE(_xlfn.TEXTBEFORE(_xlfn.TEXTAFTER(_xlpm.d,"error_x=")&amp;" "," "),".",","),"")),"")</f>
        <v/>
      </c>
      <c r="AA62" t="str" cm="1">
        <f t="array" ref="AA62">IF(AND($G62="success",$I62="success"),_xlfn.LET(_xlpm.d,_xlfn.XLOOKUP(1,(Event_logs!$A$2:$A$1588=$A62)*(Event_logs!$H$2:$H$1588="fine_align_complete"),Event_logs!$I$2:$I$1588,""),IFERROR(_xlfn.NUMBERVALUE(_xlfn.TEXTBEFORE(_xlfn.TEXTAFTER(_xlpm.d,"error_x=")&amp;" "," "),".",","),"")),"")</f>
        <v/>
      </c>
      <c r="AB62" t="str" cm="1">
        <f t="array" ref="AB62">IF($G62="success",_xlfn.LET(_xlpm.d,_xlfn.XLOOKUP(1,(Event_logs!$A$2:$A$1588=$A62)*(Event_logs!$H$2:$H$1588="fine_align_complete"),Event_logs!$I$2:$I$1588,""),IFERROR(_xlfn.NUMBERVALUE(_xlfn.TEXTBEFORE(_xlfn.TEXTAFTER(_xlpm.d,"error_y=")&amp;" "," "),".",","),"")),"")</f>
        <v/>
      </c>
      <c r="AC62" t="str" cm="1">
        <f t="array" ref="AC62">IF(AND($G62="success",$I62="success"),_xlfn.LET(_xlpm.d,_xlfn.XLOOKUP(1,(Event_logs!$A$2:$A$1588=$A62)*(Event_logs!$H$2:$H$1588="fine_align_complete"),Event_logs!$I$2:$I$1588,""),IFERROR(_xlfn.NUMBERVALUE(_xlfn.TEXTBEFORE(_xlfn.TEXTAFTER(_xlpm.d,"error_y=")&amp;" "," "),".",","),"")),"")</f>
        <v/>
      </c>
      <c r="AD62" t="str" cm="1">
        <f t="array" ref="AD62">IF(AND($G62="success",$I62="success"),_xlfn.LET(_xlpm.d,_xlfn.XLOOKUP(1,(Event_logs!$A$2:$A$1588=$A62)*(Event_logs!$H$2:$H$1588="fine_align_complete"),Event_logs!$I$2:$I$1588,""),IFERROR(_xlfn.NUMBERVALUE(_xlfn.TEXTBEFORE(_xlfn.TEXTAFTER(_xlpm.d,"yaw_error="),"deg"),".",","),"")),"")</f>
        <v/>
      </c>
      <c r="AE62" t="str" cm="1">
        <f t="array" ref="AE62">IF($G62="success",_xlfn.LET(_xlpm.d,_xlfn.XLOOKUP(1,(Event_logs!$A$2:$A$1588=$A62)*(Event_logs!$H$2:$H$1588="fine_align_complete"),Event_logs!$I$2:$I$1588,""),IFERROR(_xlfn.NUMBERVALUE(_xlfn.TEXTBEFORE(_xlfn.TEXTAFTER(_xlpm.d,"yaw_error="),"deg"),".",","),"")),"")</f>
        <v/>
      </c>
    </row>
    <row r="63" spans="1:31" x14ac:dyDescent="0.25">
      <c r="A63" s="41">
        <f>IF(Handnotes!$A$39="y",Handnotes!$B$39,"")</f>
        <v>35</v>
      </c>
      <c r="B63" s="41" t="str">
        <f>IF($A63="","",IFERROR(Handnotes!$C$39,""))</f>
        <v>Flipped 180 deg</v>
      </c>
      <c r="C63" t="str">
        <f>IF($A63="","",IFERROR(Handnotes!$D$39,""))</f>
        <v>Laundry Trolley</v>
      </c>
      <c r="D63" s="41" t="str">
        <f>IF($A63="","",IFERROR(Handnotes!$E$39,""))</f>
        <v>success</v>
      </c>
      <c r="E63" s="41" t="str">
        <f>IF($A63="","",IFERROR(Handnotes!$G$39,""))</f>
        <v>correct</v>
      </c>
      <c r="F63" s="41" t="str">
        <f>IF($A63="","",IFERROR(Handnotes!$H$39,""))</f>
        <v>success</v>
      </c>
      <c r="G63" s="41" t="str">
        <f>IF($A63="","",IFERROR(Handnotes!$J$39,""))</f>
        <v>success</v>
      </c>
      <c r="H63" s="41" t="str">
        <f>IF($A63="","",IFERROR(Handnotes!$K$39,""))</f>
        <v>YES</v>
      </c>
      <c r="I63" s="41" t="str">
        <f>IF($A63="","",IFERROR(Handnotes!$M$39,""))</f>
        <v>success</v>
      </c>
      <c r="J63" s="41" t="str">
        <f>IF($A63="","",IFERROR(Handnotes!$O$39,""))</f>
        <v>success</v>
      </c>
      <c r="K63" s="41" t="str">
        <f>IF($A63="","",IFERROR(Handnotes!$P$39,""))</f>
        <v>success</v>
      </c>
      <c r="L63" s="41" t="str">
        <f>IF($A63="","",IFERROR(Handnotes!$Q$39,""))</f>
        <v>success</v>
      </c>
      <c r="M63" s="44" cm="1">
        <f t="array" ref="M63">IF($D63="success",_xlfn.LET(_xlpm.run,$A63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13.125</v>
      </c>
      <c r="N63" s="44" cm="1">
        <f t="array" ref="N63">IF($F63="success",_xlfn.LET(_xlpm.run,$A63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9.24</v>
      </c>
      <c r="O63" s="44" cm="1">
        <f t="array" ref="O63">IF($G63="success",_xlfn.LET(_xlpm.run,$A63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23.189</v>
      </c>
      <c r="P63" s="44">
        <f t="shared" si="6"/>
        <v>45.554000000000002</v>
      </c>
      <c r="Q63" s="44" t="str">
        <f>_xlfn.LET(_xlpm.t,$A63,_xlpm.s,_xlfn.MINIFS(Event_logs!$E$2:$E$1588,Event_logs!$A$2:$A$1588,_xlpm.t,Event_logs!$H$2:$H$1588,"fine_align_complete"),_xlpm.e,_xlfn.MINIFS(Event_logs!$E$2:$E$1588,Event_logs!$A$2:$A$1588,_xlpm.t,Event_logs!$H$2:$H$1588,"docking sucessfull"),IF(AND(OR($I63="success",$I63="sucess"),_xlpm.s&gt;0,_xlpm.e&gt;_xlpm.s),(_xlpm.e-_xlpm.s)/1000,""))</f>
        <v/>
      </c>
      <c r="R63" s="48" cm="1">
        <f t="array" ref="R63">IF($D63="success",_xlfn.LET(_xlpm.d,_xlfn.XLOOKUP(1,(Event_logs!$A$2:$A$1588=$A63)*(Event_logs!$H$2:$H$1588="side_align_complete"),Event_logs!$I$2:$I$1588,""),IFERROR(_xlfn.NUMBERVALUE(_xlfn.TEXTBEFORE(_xlfn.TEXTAFTER(_xlpm.d,"error_x=")&amp;" "," "),".",","),"")),"")</f>
        <v>3.8E-3</v>
      </c>
      <c r="S63" s="48" cm="1">
        <f t="array" ref="S63">IF(AND($F63="success",$D63="success"),_xlfn.LET(_xlpm.d,_xlfn.XLOOKUP(1,(Event_logs!$A$2:$A$1588=$A63)*(Event_logs!$H$2:$H$1588="side_align_complete"),Event_logs!$I$2:$I$1588,""),IFERROR(_xlfn.NUMBERVALUE(_xlfn.TEXTBEFORE(_xlfn.TEXTAFTER(_xlpm.d,"error_x=")&amp;" "," "),".",","),"")),"")</f>
        <v>3.8E-3</v>
      </c>
      <c r="T63" s="47" cm="1">
        <f t="array" ref="T63">IF($D63="success",_xlfn.LET(_xlpm.d,_xlfn.XLOOKUP(1,(Event_logs!$A$2:$A$1588=$A63)*(Event_logs!$H$2:$H$1588="side_align_complete"),Event_logs!$I$2:$I$1588,""),IFERROR(_xlfn.NUMBERVALUE(_xlfn.TEXTBEFORE(_xlfn.TEXTAFTER(_xlpm.d,"yaw_error="),"deg"),".",","),"")),"")</f>
        <v>0.47</v>
      </c>
      <c r="U63" s="44" cm="1">
        <f t="array" ref="U63">IF(AND($F63="success",D63="success"),_xlfn.LET(_xlpm.d,_xlfn.XLOOKUP(1,(Event_logs!$A$2:$A$1588=$A63)*(Event_logs!$H$2:$H$1588="side_align_complete"),Event_logs!$I$2:$I$1588,""),IFERROR(_xlfn.NUMBERVALUE(_xlfn.TEXTBEFORE(_xlfn.TEXTAFTER(_xlpm.d,"yaw_error="),"deg"),".",","),"")),"")</f>
        <v>0.47</v>
      </c>
      <c r="V63" s="44"/>
      <c r="W63" s="44" cm="1">
        <f t="array" ref="W63">IF(OR($G63="success",$G63="sucess"),_xlfn.LET(_xlpm.d,_xlfn.XLOOKUP(1,(Event_logs!$A$2:$A$1588=$A63)*(Event_logs!$H$2:$H$1588="side_align_complete"),Event_logs!$I$2:$I$1588,""),IFERROR(_xlfn.NUMBERVALUE(_xlfn.TEXTBEFORE(_xlfn.TEXTAFTER(_xlpm.d,"yaw="),"deg"),".",","),"")),"")</f>
        <v>-179.53</v>
      </c>
      <c r="X63" t="str" cm="1">
        <f t="array" ref="X63">IF(OR($G63="success",$G63="sucess"),_xlfn.XLOOKUP(1,(Event_logs!$A$2:$A$1588=$A63)*(Event_logs!$H$2:$H$1588="side_align_complete"),Event_logs!$I$2:$I$1588,""),"")</f>
        <v>side_align_left_done | final camera=left ids=[17, 18, 19, 20] target_pair=[18, 19] target_x=+0.3598 target_y=+0.2732 side_target_offset_x=+0.3560 center_x=+0.3645 center_y=+0.5790 yaw=-179.53deg error_x=+0.0038 yaw_error=+0.47deg tolerance_x=0.0060 tolerance_yaw=2.00deg</v>
      </c>
      <c r="Z63" cm="1">
        <f t="array" ref="Z63">IF(OR($G63="success",$G63="sucess",$G63="unsuccessfull",$G63="partial"),_xlfn.LET(_xlpm.d,_xlfn.XLOOKUP(1,(Event_logs!$A$2:$A$1588=$A63)*(Event_logs!$H$2:$H$1588="fine_align_complete"),Event_logs!$I$2:$I$1588,""),IFERROR(_xlfn.NUMBERVALUE(_xlfn.TEXTBEFORE(_xlfn.TEXTAFTER(_xlpm.d,"error_x=")&amp;" "," "),".",","),"")),"")</f>
        <v>3.5000000000000001E-3</v>
      </c>
      <c r="AA63" cm="1">
        <f t="array" ref="AA63">IF(AND($G63="success",$I63="success"),_xlfn.LET(_xlpm.d,_xlfn.XLOOKUP(1,(Event_logs!$A$2:$A$1588=$A63)*(Event_logs!$H$2:$H$1588="fine_align_complete"),Event_logs!$I$2:$I$1588,""),IFERROR(_xlfn.NUMBERVALUE(_xlfn.TEXTBEFORE(_xlfn.TEXTAFTER(_xlpm.d,"error_x=")&amp;" "," "),".",","),"")),"")</f>
        <v>3.5000000000000001E-3</v>
      </c>
      <c r="AB63" cm="1">
        <f t="array" ref="AB63">IF($G63="success",_xlfn.LET(_xlpm.d,_xlfn.XLOOKUP(1,(Event_logs!$A$2:$A$1588=$A63)*(Event_logs!$H$2:$H$1588="fine_align_complete"),Event_logs!$I$2:$I$1588,""),IFERROR(_xlfn.NUMBERVALUE(_xlfn.TEXTBEFORE(_xlfn.TEXTAFTER(_xlpm.d,"error_y=")&amp;" "," "),".",","),"")),"")</f>
        <v>3.3999999999999998E-3</v>
      </c>
      <c r="AC63" cm="1">
        <f t="array" ref="AC63">IF(AND($G63="success",$I63="success"),_xlfn.LET(_xlpm.d,_xlfn.XLOOKUP(1,(Event_logs!$A$2:$A$1588=$A63)*(Event_logs!$H$2:$H$1588="fine_align_complete"),Event_logs!$I$2:$I$1588,""),IFERROR(_xlfn.NUMBERVALUE(_xlfn.TEXTBEFORE(_xlfn.TEXTAFTER(_xlpm.d,"error_y=")&amp;" "," "),".",","),"")),"")</f>
        <v>3.3999999999999998E-3</v>
      </c>
      <c r="AD63" cm="1">
        <f t="array" ref="AD63">IF(AND($G63="success",$I63="success"),_xlfn.LET(_xlpm.d,_xlfn.XLOOKUP(1,(Event_logs!$A$2:$A$1588=$A63)*(Event_logs!$H$2:$H$1588="fine_align_complete"),Event_logs!$I$2:$I$1588,""),IFERROR(_xlfn.NUMBERVALUE(_xlfn.TEXTBEFORE(_xlfn.TEXTAFTER(_xlpm.d,"yaw_error="),"deg"),".",","),"")),"")</f>
        <v>-1.1100000000000001</v>
      </c>
      <c r="AE63" cm="1">
        <f t="array" ref="AE63">IF($G63="success",_xlfn.LET(_xlpm.d,_xlfn.XLOOKUP(1,(Event_logs!$A$2:$A$1588=$A63)*(Event_logs!$H$2:$H$1588="fine_align_complete"),Event_logs!$I$2:$I$1588,""),IFERROR(_xlfn.NUMBERVALUE(_xlfn.TEXTBEFORE(_xlfn.TEXTAFTER(_xlpm.d,"yaw_error="),"deg"),".",","),"")),"")</f>
        <v>-1.1100000000000001</v>
      </c>
    </row>
    <row r="64" spans="1:31" x14ac:dyDescent="0.25">
      <c r="A64" s="41">
        <f>IF(Handnotes!$A$40="y",Handnotes!$B$40,"")</f>
        <v>36</v>
      </c>
      <c r="B64" s="41" t="str">
        <f>IF($A64="","",IFERROR(Handnotes!$C$40,""))</f>
        <v>Normal</v>
      </c>
      <c r="C64" t="str">
        <f>IF($A64="","",IFERROR(Handnotes!$D$40,""))</f>
        <v>Laundry Trolley</v>
      </c>
      <c r="D64" s="41" t="str">
        <f>IF($A64="","",IFERROR(Handnotes!$E$40,""))</f>
        <v>unsuccessfull</v>
      </c>
      <c r="E64" s="41" t="str">
        <f>IF($A64="","",IFERROR(Handnotes!$G$40,""))</f>
        <v>correct</v>
      </c>
      <c r="F64" s="41" t="str">
        <f>IF($A64="","",IFERROR(Handnotes!$H$40,""))</f>
        <v>unsuccessfull</v>
      </c>
      <c r="G64" s="41">
        <f>IF($A64="","",IFERROR(Handnotes!$J$40,""))</f>
        <v>0</v>
      </c>
      <c r="H64" s="41">
        <f>IF($A64="","",IFERROR(Handnotes!$K$40,""))</f>
        <v>0</v>
      </c>
      <c r="I64" s="41">
        <f>IF($A64="","",IFERROR(Handnotes!$M$40,""))</f>
        <v>0</v>
      </c>
      <c r="J64" s="41">
        <f>IF($A64="","",IFERROR(Handnotes!$O$40,""))</f>
        <v>0</v>
      </c>
      <c r="K64" s="41">
        <f>IF($A64="","",IFERROR(Handnotes!$P$40,""))</f>
        <v>0</v>
      </c>
      <c r="L64" s="41">
        <f>IF($A64="","",IFERROR(Handnotes!$Q$40,""))</f>
        <v>0</v>
      </c>
      <c r="M64" s="44" t="str" cm="1">
        <f t="array" ref="M64">IF($D64="success",_xlfn.LET(_xlpm.run,$A64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64" s="44" t="str" cm="1">
        <f t="array" ref="N64">IF($F64="success",_xlfn.LET(_xlpm.run,$A64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O64" s="44" t="str" cm="1">
        <f t="array" ref="O64">IF($G64="success",_xlfn.LET(_xlpm.run,$A64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64" s="44" t="str">
        <f t="shared" si="6"/>
        <v/>
      </c>
      <c r="Q64" s="44" t="str">
        <f>_xlfn.LET(_xlpm.t,$A64,_xlpm.s,_xlfn.MINIFS(Event_logs!$E$2:$E$1588,Event_logs!$A$2:$A$1588,_xlpm.t,Event_logs!$H$2:$H$1588,"fine_align_complete"),_xlpm.e,_xlfn.MINIFS(Event_logs!$E$2:$E$1588,Event_logs!$A$2:$A$1588,_xlpm.t,Event_logs!$H$2:$H$1588,"docking sucessfull"),IF(AND(OR($I64="success",$I64="sucess"),_xlpm.s&gt;0,_xlpm.e&gt;_xlpm.s),(_xlpm.e-_xlpm.s)/1000,""))</f>
        <v/>
      </c>
      <c r="R64" s="48" t="str" cm="1">
        <f t="array" ref="R64">IF($D64="success",_xlfn.LET(_xlpm.d,_xlfn.XLOOKUP(1,(Event_logs!$A$2:$A$1588=$A64)*(Event_logs!$H$2:$H$1588="side_align_complete"),Event_logs!$I$2:$I$1588,""),IFERROR(_xlfn.NUMBERVALUE(_xlfn.TEXTBEFORE(_xlfn.TEXTAFTER(_xlpm.d,"error_x=")&amp;" "," "),".",","),"")),"")</f>
        <v/>
      </c>
      <c r="S64" s="48" t="str" cm="1">
        <f t="array" ref="S64">IF(AND($F64="success",$D64="success"),_xlfn.LET(_xlpm.d,_xlfn.XLOOKUP(1,(Event_logs!$A$2:$A$1588=$A64)*(Event_logs!$H$2:$H$1588="side_align_complete"),Event_logs!$I$2:$I$1588,""),IFERROR(_xlfn.NUMBERVALUE(_xlfn.TEXTBEFORE(_xlfn.TEXTAFTER(_xlpm.d,"error_x=")&amp;" "," "),".",","),"")),"")</f>
        <v/>
      </c>
      <c r="T64" s="47" t="str" cm="1">
        <f t="array" ref="T64">IF($D64="success",_xlfn.LET(_xlpm.d,_xlfn.XLOOKUP(1,(Event_logs!$A$2:$A$1588=$A64)*(Event_logs!$H$2:$H$1588="side_align_complete"),Event_logs!$I$2:$I$1588,""),IFERROR(_xlfn.NUMBERVALUE(_xlfn.TEXTBEFORE(_xlfn.TEXTAFTER(_xlpm.d,"yaw_error="),"deg"),".",","),"")),"")</f>
        <v/>
      </c>
      <c r="U64" s="44" t="str" cm="1">
        <f t="array" ref="U64">IF(AND($F64="success",D64="success"),_xlfn.LET(_xlpm.d,_xlfn.XLOOKUP(1,(Event_logs!$A$2:$A$1588=$A64)*(Event_logs!$H$2:$H$1588="side_align_complete"),Event_logs!$I$2:$I$1588,""),IFERROR(_xlfn.NUMBERVALUE(_xlfn.TEXTBEFORE(_xlfn.TEXTAFTER(_xlpm.d,"yaw_error="),"deg"),".",","),"")),"")</f>
        <v/>
      </c>
      <c r="V64" s="44"/>
      <c r="W64" s="44" t="str" cm="1">
        <f t="array" ref="W64">IF(OR($G64="success",$G64="sucess"),_xlfn.LET(_xlpm.d,_xlfn.XLOOKUP(1,(Event_logs!$A$2:$A$1588=$A64)*(Event_logs!$H$2:$H$1588="side_align_complete"),Event_logs!$I$2:$I$1588,""),IFERROR(_xlfn.NUMBERVALUE(_xlfn.TEXTBEFORE(_xlfn.TEXTAFTER(_xlpm.d,"yaw="),"deg"),".",","),"")),"")</f>
        <v/>
      </c>
      <c r="X64" t="str" cm="1">
        <f t="array" ref="X64">IF(OR($G64="success",$G64="sucess"),_xlfn.XLOOKUP(1,(Event_logs!$A$2:$A$1588=$A64)*(Event_logs!$H$2:$H$1588="side_align_complete"),Event_logs!$I$2:$I$1588,""),"")</f>
        <v/>
      </c>
      <c r="Z64" t="str" cm="1">
        <f t="array" ref="Z64">IF(OR($G64="success",$G64="sucess",$G64="unsuccessfull",$G64="partial"),_xlfn.LET(_xlpm.d,_xlfn.XLOOKUP(1,(Event_logs!$A$2:$A$1588=$A64)*(Event_logs!$H$2:$H$1588="fine_align_complete"),Event_logs!$I$2:$I$1588,""),IFERROR(_xlfn.NUMBERVALUE(_xlfn.TEXTBEFORE(_xlfn.TEXTAFTER(_xlpm.d,"error_x=")&amp;" "," "),".",","),"")),"")</f>
        <v/>
      </c>
      <c r="AA64" t="str" cm="1">
        <f t="array" ref="AA64">IF(AND($G64="success",$I64="success"),_xlfn.LET(_xlpm.d,_xlfn.XLOOKUP(1,(Event_logs!$A$2:$A$1588=$A64)*(Event_logs!$H$2:$H$1588="fine_align_complete"),Event_logs!$I$2:$I$1588,""),IFERROR(_xlfn.NUMBERVALUE(_xlfn.TEXTBEFORE(_xlfn.TEXTAFTER(_xlpm.d,"error_x=")&amp;" "," "),".",","),"")),"")</f>
        <v/>
      </c>
      <c r="AB64" t="str" cm="1">
        <f t="array" ref="AB64">IF($G64="success",_xlfn.LET(_xlpm.d,_xlfn.XLOOKUP(1,(Event_logs!$A$2:$A$1588=$A64)*(Event_logs!$H$2:$H$1588="fine_align_complete"),Event_logs!$I$2:$I$1588,""),IFERROR(_xlfn.NUMBERVALUE(_xlfn.TEXTBEFORE(_xlfn.TEXTAFTER(_xlpm.d,"error_y=")&amp;" "," "),".",","),"")),"")</f>
        <v/>
      </c>
      <c r="AC64" t="str" cm="1">
        <f t="array" ref="AC64">IF(AND($G64="success",$I64="success"),_xlfn.LET(_xlpm.d,_xlfn.XLOOKUP(1,(Event_logs!$A$2:$A$1588=$A64)*(Event_logs!$H$2:$H$1588="fine_align_complete"),Event_logs!$I$2:$I$1588,""),IFERROR(_xlfn.NUMBERVALUE(_xlfn.TEXTBEFORE(_xlfn.TEXTAFTER(_xlpm.d,"error_y=")&amp;" "," "),".",","),"")),"")</f>
        <v/>
      </c>
      <c r="AD64" t="str" cm="1">
        <f t="array" ref="AD64">IF(AND($G64="success",$I64="success"),_xlfn.LET(_xlpm.d,_xlfn.XLOOKUP(1,(Event_logs!$A$2:$A$1588=$A64)*(Event_logs!$H$2:$H$1588="fine_align_complete"),Event_logs!$I$2:$I$1588,""),IFERROR(_xlfn.NUMBERVALUE(_xlfn.TEXTBEFORE(_xlfn.TEXTAFTER(_xlpm.d,"yaw_error="),"deg"),".",","),"")),"")</f>
        <v/>
      </c>
      <c r="AE64" t="str" cm="1">
        <f t="array" ref="AE64">IF($G64="success",_xlfn.LET(_xlpm.d,_xlfn.XLOOKUP(1,(Event_logs!$A$2:$A$1588=$A64)*(Event_logs!$H$2:$H$1588="fine_align_complete"),Event_logs!$I$2:$I$1588,""),IFERROR(_xlfn.NUMBERVALUE(_xlfn.TEXTBEFORE(_xlfn.TEXTAFTER(_xlpm.d,"yaw_error="),"deg"),".",","),"")),"")</f>
        <v/>
      </c>
    </row>
    <row r="65" spans="1:31" x14ac:dyDescent="0.25">
      <c r="A65" s="41">
        <f>IF(Handnotes!$A$41="y",Handnotes!$B$41,"")</f>
        <v>37</v>
      </c>
      <c r="B65" s="41" t="str">
        <f>IF($A65="","",IFERROR(Handnotes!$C$41,""))</f>
        <v>Normal</v>
      </c>
      <c r="C65" t="str">
        <f>IF($A65="","",IFERROR(Handnotes!$D$41,""))</f>
        <v>Laundry Trolley</v>
      </c>
      <c r="D65" s="41" t="str">
        <f>IF($A65="","",IFERROR(Handnotes!$E$41,""))</f>
        <v>success</v>
      </c>
      <c r="E65" s="41" t="str">
        <f>IF($A65="","",IFERROR(Handnotes!$G$41,""))</f>
        <v>correct</v>
      </c>
      <c r="F65" s="41" t="str">
        <f>IF($A65="","",IFERROR(Handnotes!$H$41,""))</f>
        <v>success</v>
      </c>
      <c r="G65" s="41" t="str">
        <f>IF($A65="","",IFERROR(Handnotes!$J$41,""))</f>
        <v>success</v>
      </c>
      <c r="H65" s="41" t="str">
        <f>IF($A65="","",IFERROR(Handnotes!$K$41,""))</f>
        <v>YES</v>
      </c>
      <c r="I65" s="41" t="str">
        <f>IF($A65="","",IFERROR(Handnotes!$M$41,""))</f>
        <v>unsuccessfull</v>
      </c>
      <c r="J65" s="41" t="str">
        <f>IF($A65="","",IFERROR(Handnotes!$O$41,""))</f>
        <v>success</v>
      </c>
      <c r="K65" s="41" t="str">
        <f>IF($A65="","",IFERROR(Handnotes!$P$41,""))</f>
        <v>unsuccessfull</v>
      </c>
      <c r="L65" s="41">
        <f>IF($A65="","",IFERROR(Handnotes!$Q$41,""))</f>
        <v>0</v>
      </c>
      <c r="M65" s="44" cm="1">
        <f t="array" ref="M65">IF($D65="success",_xlfn.LET(_xlpm.run,$A65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7.1989999999999998</v>
      </c>
      <c r="N65" s="44" cm="1">
        <f t="array" ref="N65">IF($F65="success",_xlfn.LET(_xlpm.run,$A65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9.1720000000000006</v>
      </c>
      <c r="O65" s="44" cm="1">
        <f t="array" ref="O65">IF($G65="success",_xlfn.LET(_xlpm.run,$A65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6.1040000000000001</v>
      </c>
      <c r="P65" s="44">
        <f t="shared" si="6"/>
        <v>22.475000000000001</v>
      </c>
      <c r="Q65" s="44" t="str">
        <f>_xlfn.LET(_xlpm.t,$A65,_xlpm.s,_xlfn.MINIFS(Event_logs!$E$2:$E$1588,Event_logs!$A$2:$A$1588,_xlpm.t,Event_logs!$H$2:$H$1588,"fine_align_complete"),_xlpm.e,_xlfn.MINIFS(Event_logs!$E$2:$E$1588,Event_logs!$A$2:$A$1588,_xlpm.t,Event_logs!$H$2:$H$1588,"docking sucessfull"),IF(AND(OR($I65="success",$I65="sucess"),_xlpm.s&gt;0,_xlpm.e&gt;_xlpm.s),(_xlpm.e-_xlpm.s)/1000,""))</f>
        <v/>
      </c>
      <c r="R65" s="48" cm="1">
        <f t="array" ref="R65">IF($D65="success",_xlfn.LET(_xlpm.d,_xlfn.XLOOKUP(1,(Event_logs!$A$2:$A$1588=$A65)*(Event_logs!$H$2:$H$1588="side_align_complete"),Event_logs!$I$2:$I$1588,""),IFERROR(_xlfn.NUMBERVALUE(_xlfn.TEXTBEFORE(_xlfn.TEXTAFTER(_xlpm.d,"error_x=")&amp;" "," "),".",","),"")),"")</f>
        <v>-6.9999999999999999E-4</v>
      </c>
      <c r="S65" s="48" cm="1">
        <f t="array" ref="S65">IF(AND($F65="success",$D65="success"),_xlfn.LET(_xlpm.d,_xlfn.XLOOKUP(1,(Event_logs!$A$2:$A$1588=$A65)*(Event_logs!$H$2:$H$1588="side_align_complete"),Event_logs!$I$2:$I$1588,""),IFERROR(_xlfn.NUMBERVALUE(_xlfn.TEXTBEFORE(_xlfn.TEXTAFTER(_xlpm.d,"error_x=")&amp;" "," "),".",","),"")),"")</f>
        <v>-6.9999999999999999E-4</v>
      </c>
      <c r="T65" s="47" cm="1">
        <f t="array" ref="T65">IF($D65="success",_xlfn.LET(_xlpm.d,_xlfn.XLOOKUP(1,(Event_logs!$A$2:$A$1588=$A65)*(Event_logs!$H$2:$H$1588="side_align_complete"),Event_logs!$I$2:$I$1588,""),IFERROR(_xlfn.NUMBERVALUE(_xlfn.TEXTBEFORE(_xlfn.TEXTAFTER(_xlpm.d,"yaw_error="),"deg"),".",","),"")),"")</f>
        <v>-0.5</v>
      </c>
      <c r="U65" s="44" cm="1">
        <f t="array" ref="U65">IF(AND($F65="success",D65="success"),_xlfn.LET(_xlpm.d,_xlfn.XLOOKUP(1,(Event_logs!$A$2:$A$1588=$A65)*(Event_logs!$H$2:$H$1588="side_align_complete"),Event_logs!$I$2:$I$1588,""),IFERROR(_xlfn.NUMBERVALUE(_xlfn.TEXTBEFORE(_xlfn.TEXTAFTER(_xlpm.d,"yaw_error="),"deg"),".",","),"")),"")</f>
        <v>-0.5</v>
      </c>
      <c r="V65" s="44"/>
      <c r="W65" s="44" cm="1">
        <f t="array" ref="W65">IF(OR($G65="success",$G65="sucess"),_xlfn.LET(_xlpm.d,_xlfn.XLOOKUP(1,(Event_logs!$A$2:$A$1588=$A65)*(Event_logs!$H$2:$H$1588="side_align_complete"),Event_logs!$I$2:$I$1588,""),IFERROR(_xlfn.NUMBERVALUE(_xlfn.TEXTBEFORE(_xlfn.TEXTAFTER(_xlpm.d,"yaw="),"deg"),".",","),"")),"")</f>
        <v>179.5</v>
      </c>
      <c r="X65" t="str" cm="1">
        <f t="array" ref="X65">IF(OR($G65="success",$G65="sucess"),_xlfn.XLOOKUP(1,(Event_logs!$A$2:$A$1588=$A65)*(Event_logs!$H$2:$H$1588="side_align_complete"),Event_logs!$I$2:$I$1588,""),"")</f>
        <v>side_align_complete: side_align_left_done | final camera=left ids=[17, 18, 19, 20] target_pair=[18, 19] target_x=+0.3553 target_y=+0.2694 side_target_offset_x=+0.3560 center_x=+0.3661 center_y=+0.5753 yaw=+179.50deg error_x=-0.0007 yaw_error=-0.50deg tolerance_x=0.0060 tolerance_yaw=2.00deg. Optional: check trolley type with ros2 topic pub --once /trolley_command std_msgs/msg/String "{data: 'check_trolley_type'}" or approve straight drive with ros2 topic pub --once /trolley_command std_msgs/msg/String "{data: 'drive_under'}"</v>
      </c>
      <c r="Z65" cm="1">
        <f t="array" ref="Z65">IF(OR($G65="success",$G65="sucess",$G65="unsuccessfull",$G65="partial"),_xlfn.LET(_xlpm.d,_xlfn.XLOOKUP(1,(Event_logs!$A$2:$A$1588=$A65)*(Event_logs!$H$2:$H$1588="fine_align_complete"),Event_logs!$I$2:$I$1588,""),IFERROR(_xlfn.NUMBERVALUE(_xlfn.TEXTBEFORE(_xlfn.TEXTAFTER(_xlpm.d,"error_x=")&amp;" "," "),".",","),"")),"")</f>
        <v>-3.8999999999999998E-3</v>
      </c>
      <c r="AA65" t="str" cm="1">
        <f t="array" ref="AA65">IF(AND($G65="success",$I65="success"),_xlfn.LET(_xlpm.d,_xlfn.XLOOKUP(1,(Event_logs!$A$2:$A$1588=$A65)*(Event_logs!$H$2:$H$1588="fine_align_complete"),Event_logs!$I$2:$I$1588,""),IFERROR(_xlfn.NUMBERVALUE(_xlfn.TEXTBEFORE(_xlfn.TEXTAFTER(_xlpm.d,"error_x=")&amp;" "," "),".",","),"")),"")</f>
        <v/>
      </c>
      <c r="AB65" cm="1">
        <f t="array" ref="AB65">IF($G65="success",_xlfn.LET(_xlpm.d,_xlfn.XLOOKUP(1,(Event_logs!$A$2:$A$1588=$A65)*(Event_logs!$H$2:$H$1588="fine_align_complete"),Event_logs!$I$2:$I$1588,""),IFERROR(_xlfn.NUMBERVALUE(_xlfn.TEXTBEFORE(_xlfn.TEXTAFTER(_xlpm.d,"error_y=")&amp;" "," "),".",","),"")),"")</f>
        <v>2.8999999999999998E-3</v>
      </c>
      <c r="AC65" t="str" cm="1">
        <f t="array" ref="AC65">IF(AND($G65="success",$I65="success"),_xlfn.LET(_xlpm.d,_xlfn.XLOOKUP(1,(Event_logs!$A$2:$A$1588=$A65)*(Event_logs!$H$2:$H$1588="fine_align_complete"),Event_logs!$I$2:$I$1588,""),IFERROR(_xlfn.NUMBERVALUE(_xlfn.TEXTBEFORE(_xlfn.TEXTAFTER(_xlpm.d,"error_y=")&amp;" "," "),".",","),"")),"")</f>
        <v/>
      </c>
      <c r="AD65" t="str" cm="1">
        <f t="array" ref="AD65">IF(AND($G65="success",$I65="success"),_xlfn.LET(_xlpm.d,_xlfn.XLOOKUP(1,(Event_logs!$A$2:$A$1588=$A65)*(Event_logs!$H$2:$H$1588="fine_align_complete"),Event_logs!$I$2:$I$1588,""),IFERROR(_xlfn.NUMBERVALUE(_xlfn.TEXTBEFORE(_xlfn.TEXTAFTER(_xlpm.d,"yaw_error="),"deg"),".",","),"")),"")</f>
        <v/>
      </c>
      <c r="AE65" cm="1">
        <f t="array" ref="AE65">IF($G65="success",_xlfn.LET(_xlpm.d,_xlfn.XLOOKUP(1,(Event_logs!$A$2:$A$1588=$A65)*(Event_logs!$H$2:$H$1588="fine_align_complete"),Event_logs!$I$2:$I$1588,""),IFERROR(_xlfn.NUMBERVALUE(_xlfn.TEXTBEFORE(_xlfn.TEXTAFTER(_xlpm.d,"yaw_error="),"deg"),".",","),"")),"")</f>
        <v>-1.01</v>
      </c>
    </row>
    <row r="66" spans="1:31" x14ac:dyDescent="0.25">
      <c r="A66" s="41">
        <f>IF(Handnotes!$A$42="y",Handnotes!$B$42,"")</f>
        <v>38</v>
      </c>
      <c r="B66" s="41" t="str">
        <f>IF($A66="","",IFERROR(Handnotes!$C$42,""))</f>
        <v>Normal</v>
      </c>
      <c r="C66" t="str">
        <f>IF($A66="","",IFERROR(Handnotes!$D$42,""))</f>
        <v>Laundry Trolley</v>
      </c>
      <c r="D66" s="41" t="str">
        <f>IF($A66="","",IFERROR(Handnotes!$E$42,""))</f>
        <v>success</v>
      </c>
      <c r="E66" s="41" t="str">
        <f>IF($A66="","",IFERROR(Handnotes!$G$42,""))</f>
        <v>correct</v>
      </c>
      <c r="F66" s="41" t="str">
        <f>IF($A66="","",IFERROR(Handnotes!$H$42,""))</f>
        <v>unsuccessfull</v>
      </c>
      <c r="G66" s="41">
        <f>IF($A66="","",IFERROR(Handnotes!$J$42,""))</f>
        <v>0</v>
      </c>
      <c r="H66" s="41">
        <f>IF($A66="","",IFERROR(Handnotes!$K$42,""))</f>
        <v>0</v>
      </c>
      <c r="I66" s="41">
        <f>IF($A66="","",IFERROR(Handnotes!$M$42,""))</f>
        <v>0</v>
      </c>
      <c r="J66" s="41">
        <f>IF($A66="","",IFERROR(Handnotes!$O$42,""))</f>
        <v>0</v>
      </c>
      <c r="K66" s="41">
        <f>IF($A66="","",IFERROR(Handnotes!$P$42,""))</f>
        <v>0</v>
      </c>
      <c r="L66" s="41">
        <f>IF($A66="","",IFERROR(Handnotes!$Q$42,""))</f>
        <v>0</v>
      </c>
      <c r="M66" s="44" cm="1">
        <f t="array" ref="M66">IF($D66="success",_xlfn.LET(_xlpm.run,$A66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8.5660000000000007</v>
      </c>
      <c r="N66" s="44" t="str" cm="1">
        <f t="array" ref="N66">IF($F66="success",_xlfn.LET(_xlpm.run,$A66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O66" s="44" t="str" cm="1">
        <f t="array" ref="O66">IF($G66="success",_xlfn.LET(_xlpm.run,$A66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66" s="44" t="str">
        <f t="shared" si="6"/>
        <v/>
      </c>
      <c r="Q66" s="44" t="str">
        <f>_xlfn.LET(_xlpm.t,$A66,_xlpm.s,_xlfn.MINIFS(Event_logs!$E$2:$E$1588,Event_logs!$A$2:$A$1588,_xlpm.t,Event_logs!$H$2:$H$1588,"fine_align_complete"),_xlpm.e,_xlfn.MINIFS(Event_logs!$E$2:$E$1588,Event_logs!$A$2:$A$1588,_xlpm.t,Event_logs!$H$2:$H$1588,"docking sucessfull"),IF(AND(OR($I66="success",$I66="sucess"),_xlpm.s&gt;0,_xlpm.e&gt;_xlpm.s),(_xlpm.e-_xlpm.s)/1000,""))</f>
        <v/>
      </c>
      <c r="R66" s="48" cm="1">
        <f t="array" ref="R66">IF($D66="success",_xlfn.LET(_xlpm.d,_xlfn.XLOOKUP(1,(Event_logs!$A$2:$A$1588=$A66)*(Event_logs!$H$2:$H$1588="side_align_complete"),Event_logs!$I$2:$I$1588,""),IFERROR(_xlfn.NUMBERVALUE(_xlfn.TEXTBEFORE(_xlfn.TEXTAFTER(_xlpm.d,"error_x=")&amp;" "," "),".",","),"")),"")</f>
        <v>5.9999999999999995E-4</v>
      </c>
      <c r="S66" s="48" t="str" cm="1">
        <f t="array" ref="S66">IF(AND($F66="success",$D66="success"),_xlfn.LET(_xlpm.d,_xlfn.XLOOKUP(1,(Event_logs!$A$2:$A$1588=$A66)*(Event_logs!$H$2:$H$1588="side_align_complete"),Event_logs!$I$2:$I$1588,""),IFERROR(_xlfn.NUMBERVALUE(_xlfn.TEXTBEFORE(_xlfn.TEXTAFTER(_xlpm.d,"error_x=")&amp;" "," "),".",","),"")),"")</f>
        <v/>
      </c>
      <c r="T66" s="47" cm="1">
        <f t="array" ref="T66">IF($D66="success",_xlfn.LET(_xlpm.d,_xlfn.XLOOKUP(1,(Event_logs!$A$2:$A$1588=$A66)*(Event_logs!$H$2:$H$1588="side_align_complete"),Event_logs!$I$2:$I$1588,""),IFERROR(_xlfn.NUMBERVALUE(_xlfn.TEXTBEFORE(_xlfn.TEXTAFTER(_xlpm.d,"yaw_error="),"deg"),".",","),"")),"")</f>
        <v>-0.82</v>
      </c>
      <c r="U66" s="44" t="str" cm="1">
        <f t="array" ref="U66">IF(AND($F66="success",D66="success"),_xlfn.LET(_xlpm.d,_xlfn.XLOOKUP(1,(Event_logs!$A$2:$A$1588=$A66)*(Event_logs!$H$2:$H$1588="side_align_complete"),Event_logs!$I$2:$I$1588,""),IFERROR(_xlfn.NUMBERVALUE(_xlfn.TEXTBEFORE(_xlfn.TEXTAFTER(_xlpm.d,"yaw_error="),"deg"),".",","),"")),"")</f>
        <v/>
      </c>
      <c r="V66" s="44"/>
      <c r="W66" s="44" t="str" cm="1">
        <f t="array" ref="W66">IF(OR($G66="success",$G66="sucess"),_xlfn.LET(_xlpm.d,_xlfn.XLOOKUP(1,(Event_logs!$A$2:$A$1588=$A66)*(Event_logs!$H$2:$H$1588="side_align_complete"),Event_logs!$I$2:$I$1588,""),IFERROR(_xlfn.NUMBERVALUE(_xlfn.TEXTBEFORE(_xlfn.TEXTAFTER(_xlpm.d,"yaw="),"deg"),".",","),"")),"")</f>
        <v/>
      </c>
      <c r="X66" t="str" cm="1">
        <f t="array" ref="X66">IF(OR($G66="success",$G66="sucess"),_xlfn.XLOOKUP(1,(Event_logs!$A$2:$A$1588=$A66)*(Event_logs!$H$2:$H$1588="side_align_complete"),Event_logs!$I$2:$I$1588,""),"")</f>
        <v/>
      </c>
      <c r="Z66" t="str" cm="1">
        <f t="array" ref="Z66">IF(OR($G66="success",$G66="sucess",$G66="unsuccessfull",$G66="partial"),_xlfn.LET(_xlpm.d,_xlfn.XLOOKUP(1,(Event_logs!$A$2:$A$1588=$A66)*(Event_logs!$H$2:$H$1588="fine_align_complete"),Event_logs!$I$2:$I$1588,""),IFERROR(_xlfn.NUMBERVALUE(_xlfn.TEXTBEFORE(_xlfn.TEXTAFTER(_xlpm.d,"error_x=")&amp;" "," "),".",","),"")),"")</f>
        <v/>
      </c>
      <c r="AA66" t="str" cm="1">
        <f t="array" ref="AA66">IF(AND($G66="success",$I66="success"),_xlfn.LET(_xlpm.d,_xlfn.XLOOKUP(1,(Event_logs!$A$2:$A$1588=$A66)*(Event_logs!$H$2:$H$1588="fine_align_complete"),Event_logs!$I$2:$I$1588,""),IFERROR(_xlfn.NUMBERVALUE(_xlfn.TEXTBEFORE(_xlfn.TEXTAFTER(_xlpm.d,"error_x=")&amp;" "," "),".",","),"")),"")</f>
        <v/>
      </c>
      <c r="AB66" t="str" cm="1">
        <f t="array" ref="AB66">IF($G66="success",_xlfn.LET(_xlpm.d,_xlfn.XLOOKUP(1,(Event_logs!$A$2:$A$1588=$A66)*(Event_logs!$H$2:$H$1588="fine_align_complete"),Event_logs!$I$2:$I$1588,""),IFERROR(_xlfn.NUMBERVALUE(_xlfn.TEXTBEFORE(_xlfn.TEXTAFTER(_xlpm.d,"error_y=")&amp;" "," "),".",","),"")),"")</f>
        <v/>
      </c>
      <c r="AC66" t="str" cm="1">
        <f t="array" ref="AC66">IF(AND($G66="success",$I66="success"),_xlfn.LET(_xlpm.d,_xlfn.XLOOKUP(1,(Event_logs!$A$2:$A$1588=$A66)*(Event_logs!$H$2:$H$1588="fine_align_complete"),Event_logs!$I$2:$I$1588,""),IFERROR(_xlfn.NUMBERVALUE(_xlfn.TEXTBEFORE(_xlfn.TEXTAFTER(_xlpm.d,"error_y=")&amp;" "," "),".",","),"")),"")</f>
        <v/>
      </c>
      <c r="AD66" t="str" cm="1">
        <f t="array" ref="AD66">IF(AND($G66="success",$I66="success"),_xlfn.LET(_xlpm.d,_xlfn.XLOOKUP(1,(Event_logs!$A$2:$A$1588=$A66)*(Event_logs!$H$2:$H$1588="fine_align_complete"),Event_logs!$I$2:$I$1588,""),IFERROR(_xlfn.NUMBERVALUE(_xlfn.TEXTBEFORE(_xlfn.TEXTAFTER(_xlpm.d,"yaw_error="),"deg"),".",","),"")),"")</f>
        <v/>
      </c>
      <c r="AE66" t="str" cm="1">
        <f t="array" ref="AE66">IF($G66="success",_xlfn.LET(_xlpm.d,_xlfn.XLOOKUP(1,(Event_logs!$A$2:$A$1588=$A66)*(Event_logs!$H$2:$H$1588="fine_align_complete"),Event_logs!$I$2:$I$1588,""),IFERROR(_xlfn.NUMBERVALUE(_xlfn.TEXTBEFORE(_xlfn.TEXTAFTER(_xlpm.d,"yaw_error="),"deg"),".",","),"")),"")</f>
        <v/>
      </c>
    </row>
    <row r="67" spans="1:31" x14ac:dyDescent="0.25">
      <c r="A67" s="41">
        <f>IF(Handnotes!$A$43="y",Handnotes!$B$43,"")</f>
        <v>39</v>
      </c>
      <c r="B67" s="41" t="str">
        <f>IF($A67="","",IFERROR(Handnotes!$C$43,""))</f>
        <v>Normal</v>
      </c>
      <c r="C67" t="str">
        <f>IF($A67="","",IFERROR(Handnotes!$D$43,""))</f>
        <v>Laundry Trolley</v>
      </c>
      <c r="D67" s="41" t="str">
        <f>IF($A67="","",IFERROR(Handnotes!$E$43,""))</f>
        <v>success</v>
      </c>
      <c r="E67" s="41" t="str">
        <f>IF($A67="","",IFERROR(Handnotes!$G$43,""))</f>
        <v>correct</v>
      </c>
      <c r="F67" s="41" t="str">
        <f>IF($A67="","",IFERROR(Handnotes!$H$43,""))</f>
        <v>unsuccessfull</v>
      </c>
      <c r="G67" s="41" t="str">
        <f>IF($A67="","",IFERROR(Handnotes!$J$43,""))</f>
        <v>partial</v>
      </c>
      <c r="H67" s="41" t="str">
        <f>IF($A67="","",IFERROR(Handnotes!$K$43,""))</f>
        <v>YES</v>
      </c>
      <c r="I67" s="41" t="str">
        <f>IF($A67="","",IFERROR(Handnotes!$M$43,""))</f>
        <v>unsuccessfull</v>
      </c>
      <c r="J67" s="41">
        <f>IF($A67="","",IFERROR(Handnotes!$O$43,""))</f>
        <v>0</v>
      </c>
      <c r="K67" s="41">
        <f>IF($A67="","",IFERROR(Handnotes!$P$43,""))</f>
        <v>0</v>
      </c>
      <c r="L67" s="41">
        <f>IF($A67="","",IFERROR(Handnotes!$Q$43,""))</f>
        <v>0</v>
      </c>
      <c r="M67" s="44" cm="1">
        <f t="array" ref="M67">IF($D67="success",_xlfn.LET(_xlpm.run,$A67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9.8800000000000008</v>
      </c>
      <c r="N67" s="44" t="str" cm="1">
        <f t="array" ref="N67">IF($F67="success",_xlfn.LET(_xlpm.run,$A67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O67" s="44" t="str" cm="1">
        <f t="array" ref="O67">IF($G67="success",_xlfn.LET(_xlpm.run,$A67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67" s="44" t="str">
        <f t="shared" si="6"/>
        <v/>
      </c>
      <c r="Q67" s="44" t="str">
        <f>_xlfn.LET(_xlpm.t,$A67,_xlpm.s,_xlfn.MINIFS(Event_logs!$E$2:$E$1588,Event_logs!$A$2:$A$1588,_xlpm.t,Event_logs!$H$2:$H$1588,"fine_align_complete"),_xlpm.e,_xlfn.MINIFS(Event_logs!$E$2:$E$1588,Event_logs!$A$2:$A$1588,_xlpm.t,Event_logs!$H$2:$H$1588,"docking sucessfull"),IF(AND(OR($I67="success",$I67="sucess"),_xlpm.s&gt;0,_xlpm.e&gt;_xlpm.s),(_xlpm.e-_xlpm.s)/1000,""))</f>
        <v/>
      </c>
      <c r="R67" s="48" cm="1">
        <f t="array" ref="R67">IF($D67="success",_xlfn.LET(_xlpm.d,_xlfn.XLOOKUP(1,(Event_logs!$A$2:$A$1588=$A67)*(Event_logs!$H$2:$H$1588="side_align_complete"),Event_logs!$I$2:$I$1588,""),IFERROR(_xlfn.NUMBERVALUE(_xlfn.TEXTBEFORE(_xlfn.TEXTAFTER(_xlpm.d,"error_x=")&amp;" "," "),".",","),"")),"")</f>
        <v>1.6000000000000001E-3</v>
      </c>
      <c r="S67" s="48" t="str" cm="1">
        <f t="array" ref="S67">IF(AND($F67="success",$D67="success"),_xlfn.LET(_xlpm.d,_xlfn.XLOOKUP(1,(Event_logs!$A$2:$A$1588=$A67)*(Event_logs!$H$2:$H$1588="side_align_complete"),Event_logs!$I$2:$I$1588,""),IFERROR(_xlfn.NUMBERVALUE(_xlfn.TEXTBEFORE(_xlfn.TEXTAFTER(_xlpm.d,"error_x=")&amp;" "," "),".",","),"")),"")</f>
        <v/>
      </c>
      <c r="T67" s="47" cm="1">
        <f t="array" ref="T67">IF($D67="success",_xlfn.LET(_xlpm.d,_xlfn.XLOOKUP(1,(Event_logs!$A$2:$A$1588=$A67)*(Event_logs!$H$2:$H$1588="side_align_complete"),Event_logs!$I$2:$I$1588,""),IFERROR(_xlfn.NUMBERVALUE(_xlfn.TEXTBEFORE(_xlfn.TEXTAFTER(_xlpm.d,"yaw_error="),"deg"),".",","),"")),"")</f>
        <v>0.19</v>
      </c>
      <c r="U67" s="44" t="str" cm="1">
        <f t="array" ref="U67">IF(AND($F67="success",D67="success"),_xlfn.LET(_xlpm.d,_xlfn.XLOOKUP(1,(Event_logs!$A$2:$A$1588=$A67)*(Event_logs!$H$2:$H$1588="side_align_complete"),Event_logs!$I$2:$I$1588,""),IFERROR(_xlfn.NUMBERVALUE(_xlfn.TEXTBEFORE(_xlfn.TEXTAFTER(_xlpm.d,"yaw_error="),"deg"),".",","),"")),"")</f>
        <v/>
      </c>
      <c r="V67" s="44"/>
      <c r="W67" s="44" t="str" cm="1">
        <f t="array" ref="W67">IF(OR($G67="success",$G67="sucess"),_xlfn.LET(_xlpm.d,_xlfn.XLOOKUP(1,(Event_logs!$A$2:$A$1588=$A67)*(Event_logs!$H$2:$H$1588="side_align_complete"),Event_logs!$I$2:$I$1588,""),IFERROR(_xlfn.NUMBERVALUE(_xlfn.TEXTBEFORE(_xlfn.TEXTAFTER(_xlpm.d,"yaw="),"deg"),".",","),"")),"")</f>
        <v/>
      </c>
      <c r="X67" t="str" cm="1">
        <f t="array" ref="X67">IF(OR($G67="success",$G67="sucess"),_xlfn.XLOOKUP(1,(Event_logs!$A$2:$A$1588=$A67)*(Event_logs!$H$2:$H$1588="side_align_complete"),Event_logs!$I$2:$I$1588,""),"")</f>
        <v/>
      </c>
      <c r="Z67" cm="1">
        <f t="array" ref="Z67">IF(OR($G67="success",$G67="sucess",$G67="unsuccessfull",$G67="partial"),_xlfn.LET(_xlpm.d,_xlfn.XLOOKUP(1,(Event_logs!$A$2:$A$1588=$A67)*(Event_logs!$H$2:$H$1588="fine_align_complete"),Event_logs!$I$2:$I$1588,""),IFERROR(_xlfn.NUMBERVALUE(_xlfn.TEXTBEFORE(_xlfn.TEXTAFTER(_xlpm.d,"error_x=")&amp;" "," "),".",","),"")),"")</f>
        <v>3.7000000000000002E-3</v>
      </c>
      <c r="AA67" t="str" cm="1">
        <f t="array" ref="AA67">IF(AND($G67="success",$I67="success"),_xlfn.LET(_xlpm.d,_xlfn.XLOOKUP(1,(Event_logs!$A$2:$A$1588=$A67)*(Event_logs!$H$2:$H$1588="fine_align_complete"),Event_logs!$I$2:$I$1588,""),IFERROR(_xlfn.NUMBERVALUE(_xlfn.TEXTBEFORE(_xlfn.TEXTAFTER(_xlpm.d,"error_x=")&amp;" "," "),".",","),"")),"")</f>
        <v/>
      </c>
      <c r="AB67" t="str" cm="1">
        <f t="array" ref="AB67">IF($G67="success",_xlfn.LET(_xlpm.d,_xlfn.XLOOKUP(1,(Event_logs!$A$2:$A$1588=$A67)*(Event_logs!$H$2:$H$1588="fine_align_complete"),Event_logs!$I$2:$I$1588,""),IFERROR(_xlfn.NUMBERVALUE(_xlfn.TEXTBEFORE(_xlfn.TEXTAFTER(_xlpm.d,"error_y=")&amp;" "," "),".",","),"")),"")</f>
        <v/>
      </c>
      <c r="AC67" t="str" cm="1">
        <f t="array" ref="AC67">IF(AND($G67="success",$I67="success"),_xlfn.LET(_xlpm.d,_xlfn.XLOOKUP(1,(Event_logs!$A$2:$A$1588=$A67)*(Event_logs!$H$2:$H$1588="fine_align_complete"),Event_logs!$I$2:$I$1588,""),IFERROR(_xlfn.NUMBERVALUE(_xlfn.TEXTBEFORE(_xlfn.TEXTAFTER(_xlpm.d,"error_y=")&amp;" "," "),".",","),"")),"")</f>
        <v/>
      </c>
      <c r="AD67" t="str" cm="1">
        <f t="array" ref="AD67">IF(AND($G67="success",$I67="success"),_xlfn.LET(_xlpm.d,_xlfn.XLOOKUP(1,(Event_logs!$A$2:$A$1588=$A67)*(Event_logs!$H$2:$H$1588="fine_align_complete"),Event_logs!$I$2:$I$1588,""),IFERROR(_xlfn.NUMBERVALUE(_xlfn.TEXTBEFORE(_xlfn.TEXTAFTER(_xlpm.d,"yaw_error="),"deg"),".",","),"")),"")</f>
        <v/>
      </c>
      <c r="AE67" t="str" cm="1">
        <f t="array" ref="AE67">IF($G67="success",_xlfn.LET(_xlpm.d,_xlfn.XLOOKUP(1,(Event_logs!$A$2:$A$1588=$A67)*(Event_logs!$H$2:$H$1588="fine_align_complete"),Event_logs!$I$2:$I$1588,""),IFERROR(_xlfn.NUMBERVALUE(_xlfn.TEXTBEFORE(_xlfn.TEXTAFTER(_xlpm.d,"yaw_error="),"deg"),".",","),"")),"")</f>
        <v/>
      </c>
    </row>
    <row r="68" spans="1:31" x14ac:dyDescent="0.25">
      <c r="A68" s="41">
        <f>IF(Handnotes!$A$44="y",Handnotes!$B$44,"")</f>
        <v>40</v>
      </c>
      <c r="B68" s="41" t="str">
        <f>IF($A68="","",IFERROR(Handnotes!$C$44,""))</f>
        <v>Flipped 180 deg</v>
      </c>
      <c r="C68" t="str">
        <f>IF($A68="","",IFERROR(Handnotes!$D$44,""))</f>
        <v>Trash Trolley</v>
      </c>
      <c r="D68" s="41" t="str">
        <f>IF($A68="","",IFERROR(Handnotes!$E$44,""))</f>
        <v>success</v>
      </c>
      <c r="E68" s="41" t="str">
        <f>IF($A68="","",IFERROR(Handnotes!$G$44,""))</f>
        <v>correct</v>
      </c>
      <c r="F68" s="41" t="str">
        <f>IF($A68="","",IFERROR(Handnotes!$H$44,""))</f>
        <v>success</v>
      </c>
      <c r="G68" s="41" t="str">
        <f>IF($A68="","",IFERROR(Handnotes!$J$44,""))</f>
        <v>unsuccessfull</v>
      </c>
      <c r="H68" s="41" t="str">
        <f>IF($A68="","",IFERROR(Handnotes!$K$44,""))</f>
        <v>YES</v>
      </c>
      <c r="I68" s="41" t="str">
        <f>IF($A68="","",IFERROR(Handnotes!$M$44,""))</f>
        <v>unsuccessfull</v>
      </c>
      <c r="J68" s="41">
        <f>IF($A68="","",IFERROR(Handnotes!$O$44,""))</f>
        <v>0</v>
      </c>
      <c r="K68" s="41">
        <f>IF($A68="","",IFERROR(Handnotes!$P$44,""))</f>
        <v>0</v>
      </c>
      <c r="L68" s="41">
        <f>IF($A68="","",IFERROR(Handnotes!$Q$44,""))</f>
        <v>0</v>
      </c>
      <c r="M68" s="44" cm="1">
        <f t="array" ref="M68">IF($D68="success",_xlfn.LET(_xlpm.run,$A68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12.191000000000001</v>
      </c>
      <c r="N68" s="44" cm="1">
        <f t="array" ref="N68">IF($F68="success",_xlfn.LET(_xlpm.run,$A68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9.0190000000000001</v>
      </c>
      <c r="O68" s="44" t="str" cm="1">
        <f t="array" ref="O68">IF($G68="success",_xlfn.LET(_xlpm.run,$A68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68" s="44" t="str">
        <f t="shared" si="6"/>
        <v/>
      </c>
      <c r="Q68" s="44" t="str">
        <f>_xlfn.LET(_xlpm.t,$A68,_xlpm.s,_xlfn.MINIFS(Event_logs!$E$2:$E$1588,Event_logs!$A$2:$A$1588,_xlpm.t,Event_logs!$H$2:$H$1588,"fine_align_complete"),_xlpm.e,_xlfn.MINIFS(Event_logs!$E$2:$E$1588,Event_logs!$A$2:$A$1588,_xlpm.t,Event_logs!$H$2:$H$1588,"docking sucessfull"),IF(AND(OR($I68="success",$I68="sucess"),_xlpm.s&gt;0,_xlpm.e&gt;_xlpm.s),(_xlpm.e-_xlpm.s)/1000,""))</f>
        <v/>
      </c>
      <c r="R68" s="48" cm="1">
        <f t="array" ref="R68">IF($D68="success",_xlfn.LET(_xlpm.d,_xlfn.XLOOKUP(1,(Event_logs!$A$2:$A$1588=$A68)*(Event_logs!$H$2:$H$1588="side_align_complete"),Event_logs!$I$2:$I$1588,""),IFERROR(_xlfn.NUMBERVALUE(_xlfn.TEXTBEFORE(_xlfn.TEXTAFTER(_xlpm.d,"error_x=")&amp;" "," "),".",","),"")),"")</f>
        <v>-2.3E-3</v>
      </c>
      <c r="S68" s="48" cm="1">
        <f t="array" ref="S68">IF(AND($F68="success",$D68="success"),_xlfn.LET(_xlpm.d,_xlfn.XLOOKUP(1,(Event_logs!$A$2:$A$1588=$A68)*(Event_logs!$H$2:$H$1588="side_align_complete"),Event_logs!$I$2:$I$1588,""),IFERROR(_xlfn.NUMBERVALUE(_xlfn.TEXTBEFORE(_xlfn.TEXTAFTER(_xlpm.d,"error_x=")&amp;" "," "),".",","),"")),"")</f>
        <v>-2.3E-3</v>
      </c>
      <c r="T68" s="47" cm="1">
        <f t="array" ref="T68">IF($D68="success",_xlfn.LET(_xlpm.d,_xlfn.XLOOKUP(1,(Event_logs!$A$2:$A$1588=$A68)*(Event_logs!$H$2:$H$1588="side_align_complete"),Event_logs!$I$2:$I$1588,""),IFERROR(_xlfn.NUMBERVALUE(_xlfn.TEXTBEFORE(_xlfn.TEXTAFTER(_xlpm.d,"yaw_error="),"deg"),".",","),"")),"")</f>
        <v>0.39</v>
      </c>
      <c r="U68" s="44" cm="1">
        <f t="array" ref="U68">IF(AND($F68="success",D68="success"),_xlfn.LET(_xlpm.d,_xlfn.XLOOKUP(1,(Event_logs!$A$2:$A$1588=$A68)*(Event_logs!$H$2:$H$1588="side_align_complete"),Event_logs!$I$2:$I$1588,""),IFERROR(_xlfn.NUMBERVALUE(_xlfn.TEXTBEFORE(_xlfn.TEXTAFTER(_xlpm.d,"yaw_error="),"deg"),".",","),"")),"")</f>
        <v>0.39</v>
      </c>
      <c r="V68" s="44"/>
      <c r="W68" s="44" t="str" cm="1">
        <f t="array" ref="W68">IF(OR($G68="success",$G68="sucess"),_xlfn.LET(_xlpm.d,_xlfn.XLOOKUP(1,(Event_logs!$A$2:$A$1588=$A68)*(Event_logs!$H$2:$H$1588="side_align_complete"),Event_logs!$I$2:$I$1588,""),IFERROR(_xlfn.NUMBERVALUE(_xlfn.TEXTBEFORE(_xlfn.TEXTAFTER(_xlpm.d,"yaw="),"deg"),".",","),"")),"")</f>
        <v/>
      </c>
      <c r="X68" t="str" cm="1">
        <f t="array" ref="X68">IF(OR($G68="success",$G68="sucess"),_xlfn.XLOOKUP(1,(Event_logs!$A$2:$A$1588=$A68)*(Event_logs!$H$2:$H$1588="side_align_complete"),Event_logs!$I$2:$I$1588,""),"")</f>
        <v/>
      </c>
      <c r="Z68" cm="1">
        <f t="array" ref="Z68">IF(OR($G68="success",$G68="sucess",$G68="unsuccessfull",$G68="partial"),_xlfn.LET(_xlpm.d,_xlfn.XLOOKUP(1,(Event_logs!$A$2:$A$1588=$A68)*(Event_logs!$H$2:$H$1588="fine_align_complete"),Event_logs!$I$2:$I$1588,""),IFERROR(_xlfn.NUMBERVALUE(_xlfn.TEXTBEFORE(_xlfn.TEXTAFTER(_xlpm.d,"error_x=")&amp;" "," "),".",","),"")),"")</f>
        <v>-4.0000000000000001E-3</v>
      </c>
      <c r="AA68" t="str" cm="1">
        <f t="array" ref="AA68">IF(AND($G68="success",$I68="success"),_xlfn.LET(_xlpm.d,_xlfn.XLOOKUP(1,(Event_logs!$A$2:$A$1588=$A68)*(Event_logs!$H$2:$H$1588="fine_align_complete"),Event_logs!$I$2:$I$1588,""),IFERROR(_xlfn.NUMBERVALUE(_xlfn.TEXTBEFORE(_xlfn.TEXTAFTER(_xlpm.d,"error_x=")&amp;" "," "),".",","),"")),"")</f>
        <v/>
      </c>
      <c r="AB68" t="str" cm="1">
        <f t="array" ref="AB68">IF($G68="success",_xlfn.LET(_xlpm.d,_xlfn.XLOOKUP(1,(Event_logs!$A$2:$A$1588=$A68)*(Event_logs!$H$2:$H$1588="fine_align_complete"),Event_logs!$I$2:$I$1588,""),IFERROR(_xlfn.NUMBERVALUE(_xlfn.TEXTBEFORE(_xlfn.TEXTAFTER(_xlpm.d,"error_y=")&amp;" "," "),".",","),"")),"")</f>
        <v/>
      </c>
      <c r="AC68" t="str" cm="1">
        <f t="array" ref="AC68">IF(AND($G68="success",$I68="success"),_xlfn.LET(_xlpm.d,_xlfn.XLOOKUP(1,(Event_logs!$A$2:$A$1588=$A68)*(Event_logs!$H$2:$H$1588="fine_align_complete"),Event_logs!$I$2:$I$1588,""),IFERROR(_xlfn.NUMBERVALUE(_xlfn.TEXTBEFORE(_xlfn.TEXTAFTER(_xlpm.d,"error_y=")&amp;" "," "),".",","),"")),"")</f>
        <v/>
      </c>
      <c r="AD68" t="str" cm="1">
        <f t="array" ref="AD68">IF(AND($G68="success",$I68="success"),_xlfn.LET(_xlpm.d,_xlfn.XLOOKUP(1,(Event_logs!$A$2:$A$1588=$A68)*(Event_logs!$H$2:$H$1588="fine_align_complete"),Event_logs!$I$2:$I$1588,""),IFERROR(_xlfn.NUMBERVALUE(_xlfn.TEXTBEFORE(_xlfn.TEXTAFTER(_xlpm.d,"yaw_error="),"deg"),".",","),"")),"")</f>
        <v/>
      </c>
      <c r="AE68" t="str" cm="1">
        <f t="array" ref="AE68">IF($G68="success",_xlfn.LET(_xlpm.d,_xlfn.XLOOKUP(1,(Event_logs!$A$2:$A$1588=$A68)*(Event_logs!$H$2:$H$1588="fine_align_complete"),Event_logs!$I$2:$I$1588,""),IFERROR(_xlfn.NUMBERVALUE(_xlfn.TEXTBEFORE(_xlfn.TEXTAFTER(_xlpm.d,"yaw_error="),"deg"),".",","),"")),"")</f>
        <v/>
      </c>
    </row>
    <row r="69" spans="1:31" x14ac:dyDescent="0.25">
      <c r="A69" s="41" t="str">
        <f>IF(Handnotes!$A$45="y",Handnotes!$B$45,"")</f>
        <v/>
      </c>
      <c r="B69" s="41" t="str">
        <f>IF($A69="","",IFERROR(Handnotes!$C$45,""))</f>
        <v/>
      </c>
      <c r="C69" t="str">
        <f>IF($A69="","",IFERROR(Handnotes!$D$45,""))</f>
        <v/>
      </c>
      <c r="D69" s="41" t="str">
        <f>IF($A69="","",IFERROR(Handnotes!$E$45,""))</f>
        <v/>
      </c>
      <c r="E69" s="41" t="str">
        <f>IF($A69="","",IFERROR(Handnotes!$G$45,""))</f>
        <v/>
      </c>
      <c r="F69" s="41" t="str">
        <f>IF($A69="","",IFERROR(Handnotes!$H$45,""))</f>
        <v/>
      </c>
      <c r="G69" s="41" t="str">
        <f>IF($A69="","",IFERROR(Handnotes!$J$45,""))</f>
        <v/>
      </c>
      <c r="H69" s="41" t="str">
        <f>IF($A69="","",IFERROR(Handnotes!$K$45,""))</f>
        <v/>
      </c>
      <c r="I69" s="41" t="str">
        <f>IF($A69="","",IFERROR(Handnotes!$M$45,""))</f>
        <v/>
      </c>
      <c r="J69" s="41" t="str">
        <f>IF($A69="","",IFERROR(Handnotes!$O$45,""))</f>
        <v/>
      </c>
      <c r="K69" s="41" t="str">
        <f>IF($A69="","",IFERROR(Handnotes!$P$45,""))</f>
        <v/>
      </c>
      <c r="L69" s="41" t="str">
        <f>IF($A69="","",IFERROR(Handnotes!$Q$45,""))</f>
        <v/>
      </c>
      <c r="M69" s="44" t="str" cm="1">
        <f t="array" ref="M69">IF($D69="success",_xlfn.LET(_xlpm.run,$A69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69" s="44" t="str" cm="1">
        <f t="array" ref="N69">IF($F69="success",_xlfn.LET(_xlpm.run,$A69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O69" s="44" t="str" cm="1">
        <f t="array" ref="O69">IF($G69="success",_xlfn.LET(_xlpm.run,$A69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69" s="44" t="str">
        <f t="shared" si="6"/>
        <v/>
      </c>
      <c r="Q69" s="44" t="str">
        <f>_xlfn.LET(_xlpm.t,$A69,_xlpm.s,_xlfn.MINIFS(Event_logs!$E$2:$E$1588,Event_logs!$A$2:$A$1588,_xlpm.t,Event_logs!$H$2:$H$1588,"fine_align_complete"),_xlpm.e,_xlfn.MINIFS(Event_logs!$E$2:$E$1588,Event_logs!$A$2:$A$1588,_xlpm.t,Event_logs!$H$2:$H$1588,"docking sucessfull"),IF(AND(OR($I69="success",$I69="sucess"),_xlpm.s&gt;0,_xlpm.e&gt;_xlpm.s),(_xlpm.e-_xlpm.s)/1000,""))</f>
        <v/>
      </c>
      <c r="R69" s="48" t="str" cm="1">
        <f t="array" ref="R69">IF($D69="success",_xlfn.LET(_xlpm.d,_xlfn.XLOOKUP(1,(Event_logs!$A$2:$A$1588=$A69)*(Event_logs!$H$2:$H$1588="side_align_complete"),Event_logs!$I$2:$I$1588,""),IFERROR(_xlfn.NUMBERVALUE(_xlfn.TEXTBEFORE(_xlfn.TEXTAFTER(_xlpm.d,"error_x=")&amp;" "," "),".",","),"")),"")</f>
        <v/>
      </c>
      <c r="S69" s="48" t="str" cm="1">
        <f t="array" ref="S69">IF(AND($F69="success",$D69="success"),_xlfn.LET(_xlpm.d,_xlfn.XLOOKUP(1,(Event_logs!$A$2:$A$1588=$A69)*(Event_logs!$H$2:$H$1588="side_align_complete"),Event_logs!$I$2:$I$1588,""),IFERROR(_xlfn.NUMBERVALUE(_xlfn.TEXTBEFORE(_xlfn.TEXTAFTER(_xlpm.d,"error_x=")&amp;" "," "),".",","),"")),"")</f>
        <v/>
      </c>
      <c r="T69" s="47" t="str" cm="1">
        <f t="array" ref="T69">IF($D69="success",_xlfn.LET(_xlpm.d,_xlfn.XLOOKUP(1,(Event_logs!$A$2:$A$1588=$A69)*(Event_logs!$H$2:$H$1588="side_align_complete"),Event_logs!$I$2:$I$1588,""),IFERROR(_xlfn.NUMBERVALUE(_xlfn.TEXTBEFORE(_xlfn.TEXTAFTER(_xlpm.d,"yaw_error="),"deg"),".",","),"")),"")</f>
        <v/>
      </c>
      <c r="U69" s="44" t="str" cm="1">
        <f t="array" ref="U69">IF(AND($F69="success",D69="success"),_xlfn.LET(_xlpm.d,_xlfn.XLOOKUP(1,(Event_logs!$A$2:$A$1588=$A69)*(Event_logs!$H$2:$H$1588="side_align_complete"),Event_logs!$I$2:$I$1588,""),IFERROR(_xlfn.NUMBERVALUE(_xlfn.TEXTBEFORE(_xlfn.TEXTAFTER(_xlpm.d,"yaw_error="),"deg"),".",","),"")),"")</f>
        <v/>
      </c>
      <c r="V69" s="44"/>
      <c r="W69" s="44" t="str" cm="1">
        <f t="array" ref="W69">IF(OR($G69="success",$G69="sucess"),_xlfn.LET(_xlpm.d,_xlfn.XLOOKUP(1,(Event_logs!$A$2:$A$1588=$A69)*(Event_logs!$H$2:$H$1588="side_align_complete"),Event_logs!$I$2:$I$1588,""),IFERROR(_xlfn.NUMBERVALUE(_xlfn.TEXTBEFORE(_xlfn.TEXTAFTER(_xlpm.d,"yaw="),"deg"),".",","),"")),"")</f>
        <v/>
      </c>
      <c r="X69" t="str" cm="1">
        <f t="array" ref="X69">IF(OR($G69="success",$G69="sucess"),_xlfn.XLOOKUP(1,(Event_logs!$A$2:$A$1588=$A69)*(Event_logs!$H$2:$H$1588="side_align_complete"),Event_logs!$I$2:$I$1588,""),"")</f>
        <v/>
      </c>
      <c r="Z69" s="49"/>
      <c r="AA69" s="49"/>
      <c r="AB69" s="49"/>
      <c r="AC69" s="50"/>
    </row>
    <row r="70" spans="1:31" x14ac:dyDescent="0.25">
      <c r="A70" s="41" t="str">
        <f>IF(Handnotes!$A$46="y",Handnotes!$B$46,"")</f>
        <v/>
      </c>
      <c r="B70" s="41" t="str">
        <f>IF($A70="","",IFERROR(Handnotes!$C$46,""))</f>
        <v/>
      </c>
      <c r="C70" t="str">
        <f>IF($A70="","",IFERROR(Handnotes!$D$46,""))</f>
        <v/>
      </c>
      <c r="D70" s="41" t="str">
        <f>IF($A70="","",IFERROR(Handnotes!$E$46,""))</f>
        <v/>
      </c>
      <c r="E70" s="41" t="str">
        <f>IF($A70="","",IFERROR(Handnotes!$G$46,""))</f>
        <v/>
      </c>
      <c r="F70" s="41" t="str">
        <f>IF($A70="","",IFERROR(Handnotes!$H$46,""))</f>
        <v/>
      </c>
      <c r="G70" s="41" t="str">
        <f>IF($A70="","",IFERROR(Handnotes!$J$46,""))</f>
        <v/>
      </c>
      <c r="H70" s="41" t="str">
        <f>IF($A70="","",IFERROR(Handnotes!$K$46,""))</f>
        <v/>
      </c>
      <c r="I70" s="41" t="str">
        <f>IF($A70="","",IFERROR(Handnotes!$M$46,""))</f>
        <v/>
      </c>
      <c r="J70" s="41" t="str">
        <f>IF($A70="","",IFERROR(Handnotes!$O$46,""))</f>
        <v/>
      </c>
      <c r="K70" s="41" t="str">
        <f>IF($A70="","",IFERROR(Handnotes!$P$46,""))</f>
        <v/>
      </c>
      <c r="L70" s="41" t="str">
        <f>IF($A70="","",IFERROR(Handnotes!$Q$46,""))</f>
        <v/>
      </c>
      <c r="M70" s="44" t="str" cm="1">
        <f t="array" ref="M70">IF($D70="success",_xlfn.LET(_xlpm.run,$A70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70" s="44" t="str" cm="1">
        <f t="array" ref="N70">IF($F70="success",_xlfn.LET(_xlpm.run,$A70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O70" s="44" t="str" cm="1">
        <f t="array" ref="O70">IF($G70="success",_xlfn.LET(_xlpm.run,$A70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70" s="44" t="str">
        <f t="shared" si="6"/>
        <v/>
      </c>
      <c r="Q70" s="44" t="str">
        <f>_xlfn.LET(_xlpm.t,$A70,_xlpm.s,_xlfn.MINIFS(Event_logs!$E$2:$E$1588,Event_logs!$A$2:$A$1588,_xlpm.t,Event_logs!$H$2:$H$1588,"fine_align_complete"),_xlpm.e,_xlfn.MINIFS(Event_logs!$E$2:$E$1588,Event_logs!$A$2:$A$1588,_xlpm.t,Event_logs!$H$2:$H$1588,"docking sucessfull"),IF(AND(OR($I70="success",$I70="sucess"),_xlpm.s&gt;0,_xlpm.e&gt;_xlpm.s),(_xlpm.e-_xlpm.s)/1000,""))</f>
        <v/>
      </c>
      <c r="R70" s="48" t="str" cm="1">
        <f t="array" ref="R70">IF($D70="success",_xlfn.LET(_xlpm.d,_xlfn.XLOOKUP(1,(Event_logs!$A$2:$A$1588=$A70)*(Event_logs!$H$2:$H$1588="side_align_complete"),Event_logs!$I$2:$I$1588,""),IFERROR(_xlfn.NUMBERVALUE(_xlfn.TEXTBEFORE(_xlfn.TEXTAFTER(_xlpm.d,"error_x=")&amp;" "," "),".",","),"")),"")</f>
        <v/>
      </c>
      <c r="S70" s="48" t="str" cm="1">
        <f t="array" ref="S70">IF(AND($F70="success",$D70="success"),_xlfn.LET(_xlpm.d,_xlfn.XLOOKUP(1,(Event_logs!$A$2:$A$1588=$A70)*(Event_logs!$H$2:$H$1588="side_align_complete"),Event_logs!$I$2:$I$1588,""),IFERROR(_xlfn.NUMBERVALUE(_xlfn.TEXTBEFORE(_xlfn.TEXTAFTER(_xlpm.d,"error_x=")&amp;" "," "),".",","),"")),"")</f>
        <v/>
      </c>
      <c r="T70" s="47" t="str" cm="1">
        <f t="array" ref="T70">IF($D70="success",_xlfn.LET(_xlpm.d,_xlfn.XLOOKUP(1,(Event_logs!$A$2:$A$1588=$A70)*(Event_logs!$H$2:$H$1588="side_align_complete"),Event_logs!$I$2:$I$1588,""),IFERROR(_xlfn.NUMBERVALUE(_xlfn.TEXTBEFORE(_xlfn.TEXTAFTER(_xlpm.d,"yaw_error="),"deg"),".",","),"")),"")</f>
        <v/>
      </c>
      <c r="U70" s="44" t="str" cm="1">
        <f t="array" ref="U70">IF(AND($F70="success",D70="success"),_xlfn.LET(_xlpm.d,_xlfn.XLOOKUP(1,(Event_logs!$A$2:$A$1588=$A70)*(Event_logs!$H$2:$H$1588="side_align_complete"),Event_logs!$I$2:$I$1588,""),IFERROR(_xlfn.NUMBERVALUE(_xlfn.TEXTBEFORE(_xlfn.TEXTAFTER(_xlpm.d,"yaw_error="),"deg"),".",","),"")),"")</f>
        <v/>
      </c>
      <c r="V70" s="44"/>
      <c r="W70" s="44" t="str" cm="1">
        <f t="array" ref="W70">IF(OR($G70="success",$G70="sucess"),_xlfn.LET(_xlpm.d,_xlfn.XLOOKUP(1,(Event_logs!$A$2:$A$1588=$A70)*(Event_logs!$H$2:$H$1588="side_align_complete"),Event_logs!$I$2:$I$1588,""),IFERROR(_xlfn.NUMBERVALUE(_xlfn.TEXTBEFORE(_xlfn.TEXTAFTER(_xlpm.d,"yaw="),"deg"),".",","),"")),"")</f>
        <v/>
      </c>
      <c r="X70" t="str" cm="1">
        <f t="array" ref="X70">IF(OR($G70="success",$G70="sucess"),_xlfn.XLOOKUP(1,(Event_logs!$A$2:$A$1588=$A70)*(Event_logs!$H$2:$H$1588="side_align_complete"),Event_logs!$I$2:$I$1588,""),"")</f>
        <v/>
      </c>
      <c r="Y70" s="51" t="s">
        <v>2111</v>
      </c>
      <c r="Z70" s="50" cm="1">
        <f t="array" ref="Z70">SUMPRODUCT(IFERROR(ABS(VALUE(Z26:Z68)),0))/SUMPRODUCT(--ISNUMBER(IFERROR(VALUE(Z26:Z68),"")))</f>
        <v>2.9741935483870974E-3</v>
      </c>
      <c r="AA70" s="50" cm="1">
        <f t="array" ref="AA70">SUMPRODUCT(IFERROR(ABS(VALUE(AA26:AA68)),0))/SUMPRODUCT(--ISNUMBER(IFERROR(VALUE(AA26:AA68),"")))</f>
        <v>2.8000000000000004E-3</v>
      </c>
      <c r="AB70" s="50" cm="1">
        <f t="array" ref="AB70">SUMPRODUCT(IFERROR(ABS(VALUE(AB26:AB68)),0))/SUMPRODUCT(--ISNUMBER(IFERROR(VALUE(AB26:AB68),"")))</f>
        <v>5.3319999999999991E-3</v>
      </c>
      <c r="AC70" s="50" cm="1">
        <f t="array" ref="AC70">SUMPRODUCT(IFERROR(ABS(VALUE(AC26:AC68)),0))/SUMPRODUCT(--ISNUMBER(IFERROR(VALUE(AC26:AC68),"")))</f>
        <v>5.478947368421052E-3</v>
      </c>
      <c r="AD70" s="50" cm="1">
        <f t="array" ref="AD70">SUMPRODUCT(IFERROR(ABS(VALUE(AD26:AD68)),0))/SUMPRODUCT(--ISNUMBER(IFERROR(VALUE(AD26:AD68),"")))</f>
        <v>1.6357894736842105</v>
      </c>
      <c r="AE70" s="50" cm="1">
        <f t="array" ref="AE70">SUMPRODUCT(IFERROR(ABS(VALUE(AE26:AE68)),0))/SUMPRODUCT(--ISNUMBER(IFERROR(VALUE(AE26:AE68),"")))</f>
        <v>1.4875999999999996</v>
      </c>
    </row>
    <row r="71" spans="1:31" x14ac:dyDescent="0.25">
      <c r="A71" s="41">
        <f>IF(Handnotes!$A$47="y",Handnotes!$B$47,"")</f>
        <v>42</v>
      </c>
      <c r="B71" s="41" t="str">
        <f>IF($A71="","",IFERROR(Handnotes!$C$47,""))</f>
        <v>Flipped 180 deg</v>
      </c>
      <c r="C71" t="str">
        <f>IF($A71="","",IFERROR(Handnotes!$D$47,""))</f>
        <v>Trash Trolley</v>
      </c>
      <c r="D71" s="41" t="str">
        <f>IF($A71="","",IFERROR(Handnotes!$E$47,""))</f>
        <v>unsuccessfull</v>
      </c>
      <c r="E71" s="41" t="str">
        <f>IF($A71="","",IFERROR(Handnotes!$G$47,""))</f>
        <v>correct</v>
      </c>
      <c r="F71" s="41" t="str">
        <f>IF($A71="","",IFERROR(Handnotes!$H$47,""))</f>
        <v>unsuccessfull</v>
      </c>
      <c r="G71" s="41">
        <f>IF($A71="","",IFERROR(Handnotes!$J$47,""))</f>
        <v>0</v>
      </c>
      <c r="H71" s="41">
        <f>IF($A71="","",IFERROR(Handnotes!$K$47,""))</f>
        <v>0</v>
      </c>
      <c r="I71" s="41">
        <f>IF($A71="","",IFERROR(Handnotes!$M$47,""))</f>
        <v>0</v>
      </c>
      <c r="J71" s="41">
        <f>IF($A71="","",IFERROR(Handnotes!$O$47,""))</f>
        <v>0</v>
      </c>
      <c r="K71" s="41">
        <f>IF($A71="","",IFERROR(Handnotes!$P$47,""))</f>
        <v>0</v>
      </c>
      <c r="L71" s="41">
        <f>IF($A71="","",IFERROR(Handnotes!$Q$47,""))</f>
        <v>0</v>
      </c>
      <c r="M71" s="44" t="str" cm="1">
        <f t="array" ref="M71">IF($D71="success",_xlfn.LET(_xlpm.run,$A71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71" s="44" t="str" cm="1">
        <f t="array" ref="N71">IF($F71="success",_xlfn.LET(_xlpm.run,$A71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O71" s="44" t="str" cm="1">
        <f t="array" ref="O71">IF($G71="success",_xlfn.LET(_xlpm.run,$A71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71" s="44" t="str">
        <f t="shared" si="6"/>
        <v/>
      </c>
      <c r="Q71" s="44" t="str">
        <f>_xlfn.LET(_xlpm.t,$A71,_xlpm.s,_xlfn.MINIFS(Event_logs!$E$2:$E$1588,Event_logs!$A$2:$A$1588,_xlpm.t,Event_logs!$H$2:$H$1588,"fine_align_complete"),_xlpm.e,_xlfn.MINIFS(Event_logs!$E$2:$E$1588,Event_logs!$A$2:$A$1588,_xlpm.t,Event_logs!$H$2:$H$1588,"docking sucessfull"),IF(AND(OR($I71="success",$I71="sucess"),_xlpm.s&gt;0,_xlpm.e&gt;_xlpm.s),(_xlpm.e-_xlpm.s)/1000,""))</f>
        <v/>
      </c>
      <c r="R71" s="48" t="str" cm="1">
        <f t="array" ref="R71">IF($D71="success",_xlfn.LET(_xlpm.d,_xlfn.XLOOKUP(1,(Event_logs!$A$2:$A$1588=$A71)*(Event_logs!$H$2:$H$1588="side_align_complete"),Event_logs!$I$2:$I$1588,""),IFERROR(_xlfn.NUMBERVALUE(_xlfn.TEXTBEFORE(_xlfn.TEXTAFTER(_xlpm.d,"error_x=")&amp;" "," "),".",","),"")),"")</f>
        <v/>
      </c>
      <c r="S71" s="48" t="str" cm="1">
        <f t="array" ref="S71">IF(AND($F71="success",$D71="success"),_xlfn.LET(_xlpm.d,_xlfn.XLOOKUP(1,(Event_logs!$A$2:$A$1588=$A71)*(Event_logs!$H$2:$H$1588="side_align_complete"),Event_logs!$I$2:$I$1588,""),IFERROR(_xlfn.NUMBERVALUE(_xlfn.TEXTBEFORE(_xlfn.TEXTAFTER(_xlpm.d,"error_x=")&amp;" "," "),".",","),"")),"")</f>
        <v/>
      </c>
      <c r="T71" s="47" t="str" cm="1">
        <f t="array" ref="T71">IF($D71="success",_xlfn.LET(_xlpm.d,_xlfn.XLOOKUP(1,(Event_logs!$A$2:$A$1588=$A71)*(Event_logs!$H$2:$H$1588="side_align_complete"),Event_logs!$I$2:$I$1588,""),IFERROR(_xlfn.NUMBERVALUE(_xlfn.TEXTBEFORE(_xlfn.TEXTAFTER(_xlpm.d,"yaw_error="),"deg"),".",","),"")),"")</f>
        <v/>
      </c>
      <c r="U71" s="44" t="str" cm="1">
        <f t="array" ref="U71">IF(AND($F71="success",D71="success"),_xlfn.LET(_xlpm.d,_xlfn.XLOOKUP(1,(Event_logs!$A$2:$A$1588=$A71)*(Event_logs!$H$2:$H$1588="side_align_complete"),Event_logs!$I$2:$I$1588,""),IFERROR(_xlfn.NUMBERVALUE(_xlfn.TEXTBEFORE(_xlfn.TEXTAFTER(_xlpm.d,"yaw_error="),"deg"),".",","),"")),"")</f>
        <v/>
      </c>
      <c r="V71" s="44"/>
      <c r="W71" s="44" t="str" cm="1">
        <f t="array" ref="W71">IF(OR($G71="success",$G71="sucess"),_xlfn.LET(_xlpm.d,_xlfn.XLOOKUP(1,(Event_logs!$A$2:$A$1588=$A71)*(Event_logs!$H$2:$H$1588="side_align_complete"),Event_logs!$I$2:$I$1588,""),IFERROR(_xlfn.NUMBERVALUE(_xlfn.TEXTBEFORE(_xlfn.TEXTAFTER(_xlpm.d,"yaw="),"deg"),".",","),"")),"")</f>
        <v/>
      </c>
      <c r="X71" t="str" cm="1">
        <f t="array" ref="X71">IF(OR($G71="success",$G71="sucess"),_xlfn.XLOOKUP(1,(Event_logs!$A$2:$A$1588=$A71)*(Event_logs!$H$2:$H$1588="side_align_complete"),Event_logs!$I$2:$I$1588,""),"")</f>
        <v/>
      </c>
    </row>
    <row r="72" spans="1:31" x14ac:dyDescent="0.25">
      <c r="A72" s="41">
        <f>IF(Handnotes!$A$48="y",Handnotes!$B$48,"")</f>
        <v>43</v>
      </c>
      <c r="B72" s="41" t="str">
        <f>IF($A72="","",IFERROR(Handnotes!$C$48,""))</f>
        <v>Flipped 180 deg</v>
      </c>
      <c r="C72" t="str">
        <f>IF($A72="","",IFERROR(Handnotes!$D$48,""))</f>
        <v>Trash Trolley</v>
      </c>
      <c r="D72" s="41" t="str">
        <f>IF($A72="","",IFERROR(Handnotes!$E$48,""))</f>
        <v>success</v>
      </c>
      <c r="E72" s="41" t="str">
        <f>IF($A72="","",IFERROR(Handnotes!$G$48,""))</f>
        <v>correct</v>
      </c>
      <c r="F72" s="41" t="str">
        <f>IF($A72="","",IFERROR(Handnotes!$H$48,""))</f>
        <v>success</v>
      </c>
      <c r="G72" s="41" t="str">
        <f>IF($A72="","",IFERROR(Handnotes!$J$48,""))</f>
        <v>success</v>
      </c>
      <c r="H72" s="41" t="str">
        <f>IF($A72="","",IFERROR(Handnotes!$K$48,""))</f>
        <v>YES</v>
      </c>
      <c r="I72" s="41" t="str">
        <f>IF($A72="","",IFERROR(Handnotes!$M$48,""))</f>
        <v>success</v>
      </c>
      <c r="J72" s="41" t="str">
        <f>IF($A72="","",IFERROR(Handnotes!$O$48,""))</f>
        <v>success</v>
      </c>
      <c r="K72" s="41" t="str">
        <f>IF($A72="","",IFERROR(Handnotes!$P$48,""))</f>
        <v>success</v>
      </c>
      <c r="L72" s="41" t="str">
        <f>IF($A72="","",IFERROR(Handnotes!$Q$48,""))</f>
        <v>success</v>
      </c>
      <c r="M72" s="44" cm="1">
        <f t="array" ref="M72">IF($D72="success",_xlfn.LET(_xlpm.run,$A72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7.4390000000000001</v>
      </c>
      <c r="N72" s="44" cm="1">
        <f t="array" ref="N72">IF($F72="success",_xlfn.LET(_xlpm.run,$A72,_xlpm.start_cmd,IFERROR(_xlfn.XLOOKUP(1,(Event_logs!$A$2:$A$1588=_xlpm.run)*(Event_logs!$F$2:$F$1588="command")*(Event_logs!$G$2:$G$1588="trolley_command")*(Event_logs!$H$2:$H$1588="drive_under"),Event_logs!$E$2:$E$1588),""),_xlpm.start_fb,IFERROR(_xlfn.XLOOKUP(1,(Event_logs!$A$2:$A$1588=_xlpm.run)*(Event_logs!$F$2:$F$1588="dropzone_status")*ISNUMBER(SEARCH("drive_under_active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under_trolley")*ISNUMBER(SEARCH("drive_straight_under_done",Event_logs!$I$2:$I$1588)),Event_logs!$E$2:$E$1588),""),_xlpm.diff,_xlpm.ende-_xlpm.start,_xlpm.sek,IF(_xlpm.diff&gt;1000,_xlpm.diff/1000,_xlpm.diff),IFERROR(IF(AND(_xlpm.start&lt;&gt;"",_xlpm.ende&lt;&gt;"",_xlpm.sek&gt;=0),_xlpm.sek,""),"")),"")</f>
        <v>9.4550000000000001</v>
      </c>
      <c r="O72" s="44" cm="1">
        <f t="array" ref="O72">IF($G72="success",_xlfn.LET(_xlpm.run,$A72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>28.757000000000001</v>
      </c>
      <c r="P72" s="44">
        <f t="shared" si="6"/>
        <v>45.650999999999996</v>
      </c>
      <c r="Q72" s="44">
        <f>_xlfn.LET(_xlpm.t,$A72,_xlpm.s,_xlfn.MINIFS(Event_logs!$E$2:$E$1588,Event_logs!$A$2:$A$1588,_xlpm.t,Event_logs!$H$2:$H$1588,"fine_align_complete"),_xlpm.e,_xlfn.MINIFS(Event_logs!$E$2:$E$1588,Event_logs!$A$2:$A$1588,_xlpm.t,Event_logs!$H$2:$H$1588,"docking sucessfull"),IF(AND(OR($I72="success",$I72="sucess"),_xlpm.s&gt;0,_xlpm.e&gt;_xlpm.s),(_xlpm.e-_xlpm.s)/1000,""))</f>
        <v>22.835999999999999</v>
      </c>
      <c r="R72" s="48" cm="1">
        <f t="array" ref="R72">IF($D72="success",_xlfn.LET(_xlpm.d,_xlfn.XLOOKUP(1,(Event_logs!$A$2:$A$1588=$A72)*(Event_logs!$H$2:$H$1588="side_align_complete"),Event_logs!$I$2:$I$1588,""),IFERROR(_xlfn.NUMBERVALUE(_xlfn.TEXTBEFORE(_xlfn.TEXTAFTER(_xlpm.d,"error_x=")&amp;" "," "),".",","),"")),"")</f>
        <v>5.7000000000000002E-3</v>
      </c>
      <c r="S72" s="48" cm="1">
        <f t="array" ref="S72">IF(AND($F72="success",$D72="success"),_xlfn.LET(_xlpm.d,_xlfn.XLOOKUP(1,(Event_logs!$A$2:$A$1588=$A72)*(Event_logs!$H$2:$H$1588="side_align_complete"),Event_logs!$I$2:$I$1588,""),IFERROR(_xlfn.NUMBERVALUE(_xlfn.TEXTBEFORE(_xlfn.TEXTAFTER(_xlpm.d,"error_x=")&amp;" "," "),".",","),"")),"")</f>
        <v>5.7000000000000002E-3</v>
      </c>
      <c r="T72" s="47" cm="1">
        <f t="array" ref="T72">IF($D72="success",_xlfn.LET(_xlpm.d,_xlfn.XLOOKUP(1,(Event_logs!$A$2:$A$1588=$A72)*(Event_logs!$H$2:$H$1588="side_align_complete"),Event_logs!$I$2:$I$1588,""),IFERROR(_xlfn.NUMBERVALUE(_xlfn.TEXTBEFORE(_xlfn.TEXTAFTER(_xlpm.d,"yaw_error="),"deg"),".",","),"")),"")</f>
        <v>-1.98</v>
      </c>
      <c r="U72" s="44" cm="1">
        <f t="array" ref="U72">IF(AND($F72="success",D72="success"),_xlfn.LET(_xlpm.d,_xlfn.XLOOKUP(1,(Event_logs!$A$2:$A$1588=$A72)*(Event_logs!$H$2:$H$1588="side_align_complete"),Event_logs!$I$2:$I$1588,""),IFERROR(_xlfn.NUMBERVALUE(_xlfn.TEXTBEFORE(_xlfn.TEXTAFTER(_xlpm.d,"yaw_error="),"deg"),".",","),"")),"")</f>
        <v>-1.98</v>
      </c>
      <c r="V72" s="44"/>
      <c r="W72" s="44" cm="1">
        <f t="array" ref="W72">IF(OR($G72="success",$G72="sucess"),_xlfn.LET(_xlpm.d,_xlfn.XLOOKUP(1,(Event_logs!$A$2:$A$1588=$A72)*(Event_logs!$H$2:$H$1588="side_align_complete"),Event_logs!$I$2:$I$1588,""),IFERROR(_xlfn.NUMBERVALUE(_xlfn.TEXTBEFORE(_xlfn.TEXTAFTER(_xlpm.d,"yaw="),"deg"),".",","),"")),"")</f>
        <v>178.02</v>
      </c>
      <c r="X72" t="str" cm="1">
        <f t="array" ref="X72">IF(OR($G72="success",$G72="sucess"),_xlfn.XLOOKUP(1,(Event_logs!$A$2:$A$1588=$A72)*(Event_logs!$H$2:$H$1588="side_align_complete"),Event_logs!$I$2:$I$1588,""),"")</f>
        <v>side_align_left_done | final camera=left ids=[16, 17, 18, 19, 20] target_pair=[18, 19] target_x=+0.3617 target_y=+0.2533 side_target_offset_x=+0.3560 center_x=+0.3362 center_y=+0.5606 yaw=+178.02deg error_x=+0.0057 yaw_error=-1.98deg tolerance_x=0.0060 tolerance_yaw=2.00deg</v>
      </c>
    </row>
    <row r="73" spans="1:31" x14ac:dyDescent="0.25">
      <c r="A73" s="41" t="str">
        <f>IF(Handnotes!$A$49="y",Handnotes!$B$49,"")</f>
        <v/>
      </c>
      <c r="B73" s="41" t="str">
        <f>IF($A73="","",IFERROR(Handnotes!$C$49,""))</f>
        <v/>
      </c>
      <c r="C73" t="str">
        <f>IF($A73="","",IFERROR(Handnotes!$D$49,""))</f>
        <v/>
      </c>
      <c r="D73" s="41" t="str">
        <f>IF($A73="","",IFERROR(Handnotes!$E$49,""))</f>
        <v/>
      </c>
      <c r="E73" s="41" t="str">
        <f>IF($A73="","",IFERROR(Handnotes!$G$49,""))</f>
        <v/>
      </c>
      <c r="F73" s="41" t="str">
        <f>IF($A73="","",IFERROR(Handnotes!$H$49,""))</f>
        <v/>
      </c>
      <c r="G73" s="41" t="str">
        <f>IF($A73="","",IFERROR(Handnotes!$J$49,""))</f>
        <v/>
      </c>
      <c r="H73" s="41" t="str">
        <f>IF($A73="","",IFERROR(Handnotes!$K$49,""))</f>
        <v/>
      </c>
      <c r="I73" s="41" t="str">
        <f>IF($A73="","",IFERROR(Handnotes!$M$49,""))</f>
        <v/>
      </c>
      <c r="J73" s="41" t="str">
        <f>IF($A73="","",IFERROR(Handnotes!$O$49,""))</f>
        <v/>
      </c>
      <c r="K73" s="41" t="str">
        <f>IF($A73="","",IFERROR(Handnotes!$P$49,""))</f>
        <v/>
      </c>
      <c r="L73" s="41" t="str">
        <f>IF($A73="","",IFERROR(Handnotes!$Q$49,""))</f>
        <v/>
      </c>
      <c r="M73" s="44" t="str" cm="1">
        <f t="array" ref="M73">IF($D73="success",_xlfn.LET(_xlpm.run,$A73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73" s="44"/>
      <c r="O73" s="44" t="str" cm="1">
        <f t="array" ref="O73">IF($G73="success",_xlfn.LET(_xlpm.run,$A73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73" s="44"/>
      <c r="Q73" s="44" t="str">
        <f>_xlfn.LET(_xlpm.t,$A73,_xlpm.s,_xlfn.MINIFS(Event_logs!$E$2:$E$1588,Event_logs!$A$2:$A$1588,_xlpm.t,Event_logs!$H$2:$H$1588,"fine_align_complete"),_xlpm.e,_xlfn.MINIFS(Event_logs!$E$2:$E$1588,Event_logs!$A$2:$A$1588,_xlpm.t,Event_logs!$H$2:$H$1588,"docking sucessfull"),IF(AND(OR($I73="success",$I73="sucess"),_xlpm.s&gt;0,_xlpm.e&gt;_xlpm.s),(_xlpm.e-_xlpm.s)/1000,""))</f>
        <v/>
      </c>
      <c r="R73" s="48" t="str" cm="1">
        <f t="array" ref="R73">IF($D73="success",_xlfn.LET(_xlpm.d,_xlfn.XLOOKUP(1,(Event_logs!$A$2:$A$1588=$A73)*(Event_logs!$H$2:$H$1588="side_align_complete"),Event_logs!$I$2:$I$1588,""),IFERROR(_xlfn.NUMBERVALUE(_xlfn.TEXTBEFORE(_xlfn.TEXTAFTER(_xlpm.d,"error_x=")&amp;" "," "),".",","),"")),"")</f>
        <v/>
      </c>
      <c r="S73" s="48" t="str" cm="1">
        <f t="array" ref="S73">IF(AND($F73="success",$D73="success"),_xlfn.LET(_xlpm.d,_xlfn.XLOOKUP(1,(Event_logs!$A$2:$A$1588=$A73)*(Event_logs!$H$2:$H$1588="side_align_complete"),Event_logs!$I$2:$I$1588,""),IFERROR(_xlfn.NUMBERVALUE(_xlfn.TEXTBEFORE(_xlfn.TEXTAFTER(_xlpm.d,"error_x=")&amp;" "," "),".",","),"")),"")</f>
        <v/>
      </c>
      <c r="T73" s="47" t="str" cm="1">
        <f t="array" ref="T73">IF($D73="success",_xlfn.LET(_xlpm.d,_xlfn.XLOOKUP(1,(Event_logs!$A$2:$A$1588=$A73)*(Event_logs!$H$2:$H$1588="side_align_complete"),Event_logs!$I$2:$I$1588,""),IFERROR(_xlfn.NUMBERVALUE(_xlfn.TEXTBEFORE(_xlfn.TEXTAFTER(_xlpm.d,"yaw_error="),"deg"),".",","),"")),"")</f>
        <v/>
      </c>
      <c r="U73" s="44" t="str" cm="1">
        <f t="array" ref="U73">IF(AND($F73="success",D73="success"),_xlfn.LET(_xlpm.d,_xlfn.XLOOKUP(1,(Event_logs!$A$2:$A$1588=$A73)*(Event_logs!$H$2:$H$1588="side_align_complete"),Event_logs!$I$2:$I$1588,""),IFERROR(_xlfn.NUMBERVALUE(_xlfn.TEXTBEFORE(_xlfn.TEXTAFTER(_xlpm.d,"yaw_error="),"deg"),".",","),"")),"")</f>
        <v/>
      </c>
      <c r="V73" s="44"/>
      <c r="W73" s="44" t="str" cm="1">
        <f t="array" ref="W73">IF(OR($G73="success",$G73="sucess"),_xlfn.LET(_xlpm.d,_xlfn.XLOOKUP(1,(Event_logs!$A$2:$A$1588=$A73)*(Event_logs!$H$2:$H$1588="side_align_complete"),Event_logs!$I$2:$I$1588,""),IFERROR(_xlfn.NUMBERVALUE(_xlfn.TEXTBEFORE(_xlfn.TEXTAFTER(_xlpm.d,"yaw="),"deg"),".",","),"")),"")</f>
        <v/>
      </c>
      <c r="X73" t="str" cm="1">
        <f t="array" ref="X73">IF(OR($G73="success",$G73="sucess"),_xlfn.XLOOKUP(1,(Event_logs!$A$2:$A$1588=$A73)*(Event_logs!$H$2:$H$1588="side_align_complete"),Event_logs!$I$2:$I$1588,""),"")</f>
        <v/>
      </c>
    </row>
    <row r="74" spans="1:31" x14ac:dyDescent="0.25">
      <c r="A74" s="41" t="str">
        <f>IF(Handnotes!$A$50="y",Handnotes!$B$50,"")</f>
        <v/>
      </c>
      <c r="B74" s="41" t="str">
        <f>IF($A74="","",IFERROR(Handnotes!$C$50,""))</f>
        <v/>
      </c>
      <c r="C74" t="str">
        <f>IF($A74="","",IFERROR(Handnotes!$D$50,""))</f>
        <v/>
      </c>
      <c r="D74" s="41" t="str">
        <f>IF($A74="","",IFERROR(Handnotes!$E$50,""))</f>
        <v/>
      </c>
      <c r="E74" s="41" t="str">
        <f>IF($A74="","",IFERROR(Handnotes!$G$50,""))</f>
        <v/>
      </c>
      <c r="F74" s="41" t="str">
        <f>IF($A74="","",IFERROR(Handnotes!$H$50,""))</f>
        <v/>
      </c>
      <c r="G74" s="41" t="str">
        <f>IF($A74="","",IFERROR(Handnotes!$J$50,""))</f>
        <v/>
      </c>
      <c r="H74" s="41" t="str">
        <f>IF($A74="","",IFERROR(Handnotes!$K$50,""))</f>
        <v/>
      </c>
      <c r="I74" s="41" t="str">
        <f>IF($A74="","",IFERROR(Handnotes!$M$50,""))</f>
        <v/>
      </c>
      <c r="J74" s="41" t="str">
        <f>IF($A74="","",IFERROR(Handnotes!$O$50,""))</f>
        <v/>
      </c>
      <c r="K74" s="41" t="str">
        <f>IF($A74="","",IFERROR(Handnotes!$P$50,""))</f>
        <v/>
      </c>
      <c r="L74" s="41" t="str">
        <f>IF($A74="","",IFERROR(Handnotes!$Q$50,""))</f>
        <v/>
      </c>
      <c r="M74" s="44" t="str" cm="1">
        <f t="array" ref="M74">IF($D74="success",_xlfn.LET(_xlpm.run,$A74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74" s="44"/>
      <c r="O74" s="44" t="str" cm="1">
        <f t="array" ref="O74">IF($G74="success",_xlfn.LET(_xlpm.run,$A74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74" s="44"/>
      <c r="Q74" s="44" t="str">
        <f>_xlfn.LET(_xlpm.t,$A74,_xlpm.s,_xlfn.MINIFS(Event_logs!$E$2:$E$1588,Event_logs!$A$2:$A$1588,_xlpm.t,Event_logs!$H$2:$H$1588,"fine_align_complete"),_xlpm.e,_xlfn.MINIFS(Event_logs!$E$2:$E$1588,Event_logs!$A$2:$A$1588,_xlpm.t,Event_logs!$H$2:$H$1588,"docking sucessfull"),IF(AND(OR($I74="success",$I74="sucess"),_xlpm.s&gt;0,_xlpm.e&gt;_xlpm.s),(_xlpm.e-_xlpm.s)/1000,""))</f>
        <v/>
      </c>
      <c r="R74" s="48" t="str" cm="1">
        <f t="array" ref="R74">IF($D74="success",_xlfn.LET(_xlpm.d,_xlfn.XLOOKUP(1,(Event_logs!$A$2:$A$1588=$A74)*(Event_logs!$H$2:$H$1588="side_align_complete"),Event_logs!$I$2:$I$1588,""),IFERROR(_xlfn.NUMBERVALUE(_xlfn.TEXTBEFORE(_xlfn.TEXTAFTER(_xlpm.d,"error_x=")&amp;" "," "),".",","),"")),"")</f>
        <v/>
      </c>
      <c r="S74" s="48" t="str" cm="1">
        <f t="array" ref="S74">IF(AND($F74="success",$D74="success"),_xlfn.LET(_xlpm.d,_xlfn.XLOOKUP(1,(Event_logs!$A$2:$A$1588=$A74)*(Event_logs!$H$2:$H$1588="side_align_complete"),Event_logs!$I$2:$I$1588,""),IFERROR(_xlfn.NUMBERVALUE(_xlfn.TEXTBEFORE(_xlfn.TEXTAFTER(_xlpm.d,"error_x=")&amp;" "," "),".",","),"")),"")</f>
        <v/>
      </c>
      <c r="T74" s="47" t="str" cm="1">
        <f t="array" ref="T74">IF($D74="success",_xlfn.LET(_xlpm.d,_xlfn.XLOOKUP(1,(Event_logs!$A$2:$A$1588=$A74)*(Event_logs!$H$2:$H$1588="side_align_complete"),Event_logs!$I$2:$I$1588,""),IFERROR(_xlfn.NUMBERVALUE(_xlfn.TEXTBEFORE(_xlfn.TEXTAFTER(_xlpm.d,"yaw_error="),"deg"),".",","),"")),"")</f>
        <v/>
      </c>
      <c r="U74" s="44" t="str" cm="1">
        <f t="array" ref="U74">IF(AND($F74="success",D74="success"),_xlfn.LET(_xlpm.d,_xlfn.XLOOKUP(1,(Event_logs!$A$2:$A$1588=$A74)*(Event_logs!$H$2:$H$1588="side_align_complete"),Event_logs!$I$2:$I$1588,""),IFERROR(_xlfn.NUMBERVALUE(_xlfn.TEXTBEFORE(_xlfn.TEXTAFTER(_xlpm.d,"yaw_error="),"deg"),".",","),"")),"")</f>
        <v/>
      </c>
      <c r="V74" s="44"/>
      <c r="W74" s="44" t="str" cm="1">
        <f t="array" ref="W74">IF(OR($G74="success",$G74="sucess"),_xlfn.LET(_xlpm.d,_xlfn.XLOOKUP(1,(Event_logs!$A$2:$A$1588=$A74)*(Event_logs!$H$2:$H$1588="side_align_complete"),Event_logs!$I$2:$I$1588,""),IFERROR(_xlfn.NUMBERVALUE(_xlfn.TEXTBEFORE(_xlfn.TEXTAFTER(_xlpm.d,"yaw="),"deg"),".",","),"")),"")</f>
        <v/>
      </c>
      <c r="X74" t="str" cm="1">
        <f t="array" ref="X74">IF(OR($G74="success",$G74="sucess"),_xlfn.XLOOKUP(1,(Event_logs!$A$2:$A$1588=$A74)*(Event_logs!$H$2:$H$1588="side_align_complete"),Event_logs!$I$2:$I$1588,""),"")</f>
        <v/>
      </c>
    </row>
    <row r="75" spans="1:31" x14ac:dyDescent="0.25">
      <c r="A75" s="41" t="str">
        <f>IF(Handnotes!$A$51="y",Handnotes!$B$51,"")</f>
        <v/>
      </c>
      <c r="B75" s="41" t="str">
        <f>IF($A75="","",IFERROR(Handnotes!$C$51,""))</f>
        <v/>
      </c>
      <c r="C75" t="str">
        <f>IF($A75="","",IFERROR(Handnotes!$D$51,""))</f>
        <v/>
      </c>
      <c r="D75" s="41" t="str">
        <f>IF($A75="","",IFERROR(Handnotes!$E$51,""))</f>
        <v/>
      </c>
      <c r="E75" s="41" t="str">
        <f>IF($A75="","",IFERROR(Handnotes!$G$51,""))</f>
        <v/>
      </c>
      <c r="F75" s="41" t="str">
        <f>IF($A75="","",IFERROR(Handnotes!$H$51,""))</f>
        <v/>
      </c>
      <c r="G75" s="41" t="str">
        <f>IF($A75="","",IFERROR(Handnotes!$J$51,""))</f>
        <v/>
      </c>
      <c r="H75" s="41" t="str">
        <f>IF($A75="","",IFERROR(Handnotes!$K$51,""))</f>
        <v/>
      </c>
      <c r="I75" s="41" t="str">
        <f>IF($A75="","",IFERROR(Handnotes!$M$51,""))</f>
        <v/>
      </c>
      <c r="J75" s="41" t="str">
        <f>IF($A75="","",IFERROR(Handnotes!$O$51,""))</f>
        <v/>
      </c>
      <c r="K75" s="41" t="str">
        <f>IF($A75="","",IFERROR(Handnotes!$P$51,""))</f>
        <v/>
      </c>
      <c r="L75" s="41" t="str">
        <f>IF($A75="","",IFERROR(Handnotes!$Q$51,""))</f>
        <v/>
      </c>
      <c r="M75" s="44" t="str" cm="1">
        <f t="array" ref="M75">IF($D75="success",_xlfn.LET(_xlpm.run,$A75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75" s="44"/>
      <c r="O75" s="44" t="str" cm="1">
        <f t="array" ref="O75">IF($G75="success",_xlfn.LET(_xlpm.run,$A75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75" s="44"/>
      <c r="Q75" s="44" t="str">
        <f>_xlfn.LET(_xlpm.t,$A75,_xlpm.s,_xlfn.MINIFS(Event_logs!$E$2:$E$1588,Event_logs!$A$2:$A$1588,_xlpm.t,Event_logs!$H$2:$H$1588,"fine_align_complete"),_xlpm.e,_xlfn.MINIFS(Event_logs!$E$2:$E$1588,Event_logs!$A$2:$A$1588,_xlpm.t,Event_logs!$H$2:$H$1588,"docking sucessfull"),IF(AND(OR($I75="success",$I75="sucess"),_xlpm.s&gt;0,_xlpm.e&gt;_xlpm.s),(_xlpm.e-_xlpm.s)/1000,""))</f>
        <v/>
      </c>
      <c r="R75" s="48" t="str" cm="1">
        <f t="array" ref="R75">IF($D75="success",_xlfn.LET(_xlpm.d,_xlfn.XLOOKUP(1,(Event_logs!$A$2:$A$1588=$A75)*(Event_logs!$H$2:$H$1588="side_align_complete"),Event_logs!$I$2:$I$1588,""),IFERROR(_xlfn.NUMBERVALUE(_xlfn.TEXTBEFORE(_xlfn.TEXTAFTER(_xlpm.d,"error_x=")&amp;" "," "),".",","),"")),"")</f>
        <v/>
      </c>
      <c r="S75" s="48" t="str" cm="1">
        <f t="array" ref="S75">IF(AND($F75="success",$D75="success"),_xlfn.LET(_xlpm.d,_xlfn.XLOOKUP(1,(Event_logs!$A$2:$A$1588=$A75)*(Event_logs!$H$2:$H$1588="side_align_complete"),Event_logs!$I$2:$I$1588,""),IFERROR(_xlfn.NUMBERVALUE(_xlfn.TEXTBEFORE(_xlfn.TEXTAFTER(_xlpm.d,"error_x=")&amp;" "," "),".",","),"")),"")</f>
        <v/>
      </c>
      <c r="T75" s="47" t="str" cm="1">
        <f t="array" ref="T75">IF($D75="success",_xlfn.LET(_xlpm.d,_xlfn.XLOOKUP(1,(Event_logs!$A$2:$A$1588=$A75)*(Event_logs!$H$2:$H$1588="side_align_complete"),Event_logs!$I$2:$I$1588,""),IFERROR(_xlfn.NUMBERVALUE(_xlfn.TEXTBEFORE(_xlfn.TEXTAFTER(_xlpm.d,"yaw_error="),"deg"),".",","),"")),"")</f>
        <v/>
      </c>
      <c r="U75" s="44" t="str" cm="1">
        <f t="array" ref="U75">IF(AND($F75="success",D75="success"),_xlfn.LET(_xlpm.d,_xlfn.XLOOKUP(1,(Event_logs!$A$2:$A$1588=$A75)*(Event_logs!$H$2:$H$1588="side_align_complete"),Event_logs!$I$2:$I$1588,""),IFERROR(_xlfn.NUMBERVALUE(_xlfn.TEXTBEFORE(_xlfn.TEXTAFTER(_xlpm.d,"yaw_error="),"deg"),".",","),"")),"")</f>
        <v/>
      </c>
      <c r="V75" s="44"/>
      <c r="W75" s="44" t="str" cm="1">
        <f t="array" ref="W75">IF(OR($G75="success",$G75="sucess"),_xlfn.LET(_xlpm.d,_xlfn.XLOOKUP(1,(Event_logs!$A$2:$A$1588=$A75)*(Event_logs!$H$2:$H$1588="side_align_complete"),Event_logs!$I$2:$I$1588,""),IFERROR(_xlfn.NUMBERVALUE(_xlfn.TEXTBEFORE(_xlfn.TEXTAFTER(_xlpm.d,"yaw="),"deg"),".",","),"")),"")</f>
        <v/>
      </c>
      <c r="X75" t="str" cm="1">
        <f t="array" ref="X75">IF(OR($G75="success",$G75="sucess"),_xlfn.XLOOKUP(1,(Event_logs!$A$2:$A$1588=$A75)*(Event_logs!$H$2:$H$1588="side_align_complete"),Event_logs!$I$2:$I$1588,""),"")</f>
        <v/>
      </c>
    </row>
    <row r="76" spans="1:31" x14ac:dyDescent="0.25">
      <c r="A76" s="41">
        <f>IF(Handnotes!$A$52="y",Handnotes!$B$52,"")</f>
        <v>45</v>
      </c>
      <c r="B76" s="41" t="str">
        <f>IF($A76="","",IFERROR(Handnotes!$C$52,""))</f>
        <v>Normal</v>
      </c>
      <c r="C76" t="str">
        <f>IF($A76="","",IFERROR(Handnotes!$D$52,""))</f>
        <v>empty</v>
      </c>
      <c r="D76" s="41" t="str">
        <f>IF($A76="","",IFERROR(Handnotes!$E$52,""))</f>
        <v>success</v>
      </c>
      <c r="E76" s="41" t="str">
        <f>IF($A76="","",IFERROR(Handnotes!$G$52,""))</f>
        <v>correct</v>
      </c>
      <c r="F76" s="41" t="str">
        <f>IF($A76="","",IFERROR(Handnotes!$H$52,""))</f>
        <v>drove</v>
      </c>
      <c r="G76" s="41">
        <f>IF($A76="","",IFERROR(Handnotes!$J$52,""))</f>
        <v>0</v>
      </c>
      <c r="H76" s="41">
        <f>IF($A76="","",IFERROR(Handnotes!$K$52,""))</f>
        <v>0</v>
      </c>
      <c r="I76" s="41">
        <f>IF($A76="","",IFERROR(Handnotes!$M$52,""))</f>
        <v>0</v>
      </c>
      <c r="J76" s="41">
        <f>IF($A76="","",IFERROR(Handnotes!$O$52,""))</f>
        <v>0</v>
      </c>
      <c r="K76" s="41">
        <f>IF($A76="","",IFERROR(Handnotes!$P$52,""))</f>
        <v>0</v>
      </c>
      <c r="L76" s="41">
        <f>IF($A76="","",IFERROR(Handnotes!$Q$52,""))</f>
        <v>0</v>
      </c>
      <c r="M76" s="44" cm="1">
        <f t="array" ref="M76">IF($D76="success",_xlfn.LET(_xlpm.run,$A76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11.647</v>
      </c>
      <c r="N76" s="44"/>
      <c r="O76" s="44" t="str" cm="1">
        <f t="array" ref="O76">IF($G76="success",_xlfn.LET(_xlpm.run,$A76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76" s="44"/>
      <c r="Q76" s="44" t="str">
        <f>_xlfn.LET(_xlpm.t,$A76,_xlpm.s,_xlfn.MINIFS(Event_logs!$E$2:$E$1588,Event_logs!$A$2:$A$1588,_xlpm.t,Event_logs!$H$2:$H$1588,"fine_align_complete"),_xlpm.e,_xlfn.MINIFS(Event_logs!$E$2:$E$1588,Event_logs!$A$2:$A$1588,_xlpm.t,Event_logs!$H$2:$H$1588,"docking sucessfull"),IF(AND(OR($I76="success",$I76="sucess"),_xlpm.s&gt;0,_xlpm.e&gt;_xlpm.s),(_xlpm.e-_xlpm.s)/1000,""))</f>
        <v/>
      </c>
      <c r="R76" s="48" cm="1">
        <f t="array" ref="R76">IF($D76="success",_xlfn.LET(_xlpm.d,_xlfn.XLOOKUP(1,(Event_logs!$A$2:$A$1588=$A76)*(Event_logs!$H$2:$H$1588="side_align_complete"),Event_logs!$I$2:$I$1588,""),IFERROR(_xlfn.NUMBERVALUE(_xlfn.TEXTBEFORE(_xlfn.TEXTAFTER(_xlpm.d,"error_x=")&amp;" "," "),".",","),"")),"")</f>
        <v>-1.2999999999999999E-3</v>
      </c>
      <c r="S76" s="48" t="str" cm="1">
        <f t="array" ref="S76">IF(AND($F76="success",$D76="success"),_xlfn.LET(_xlpm.d,_xlfn.XLOOKUP(1,(Event_logs!$A$2:$A$1588=$A76)*(Event_logs!$H$2:$H$1588="side_align_complete"),Event_logs!$I$2:$I$1588,""),IFERROR(_xlfn.NUMBERVALUE(_xlfn.TEXTBEFORE(_xlfn.TEXTAFTER(_xlpm.d,"error_x=")&amp;" "," "),".",","),"")),"")</f>
        <v/>
      </c>
      <c r="T76" s="47" cm="1">
        <f t="array" ref="T76">IF($D76="success",_xlfn.LET(_xlpm.d,_xlfn.XLOOKUP(1,(Event_logs!$A$2:$A$1588=$A76)*(Event_logs!$H$2:$H$1588="side_align_complete"),Event_logs!$I$2:$I$1588,""),IFERROR(_xlfn.NUMBERVALUE(_xlfn.TEXTBEFORE(_xlfn.TEXTAFTER(_xlpm.d,"yaw_error="),"deg"),".",","),"")),"")</f>
        <v>1.1399999999999999</v>
      </c>
      <c r="U76" s="44" t="str" cm="1">
        <f t="array" ref="U76">IF(AND($F76="success",D76="success"),_xlfn.LET(_xlpm.d,_xlfn.XLOOKUP(1,(Event_logs!$A$2:$A$1588=$A76)*(Event_logs!$H$2:$H$1588="side_align_complete"),Event_logs!$I$2:$I$1588,""),IFERROR(_xlfn.NUMBERVALUE(_xlfn.TEXTBEFORE(_xlfn.TEXTAFTER(_xlpm.d,"yaw_error="),"deg"),".",","),"")),"")</f>
        <v/>
      </c>
      <c r="V76" s="44"/>
      <c r="W76" s="44" t="str" cm="1">
        <f t="array" ref="W76">IF(OR($G76="success",$G76="sucess"),_xlfn.LET(_xlpm.d,_xlfn.XLOOKUP(1,(Event_logs!$A$2:$A$1588=$A76)*(Event_logs!$H$2:$H$1588="side_align_complete"),Event_logs!$I$2:$I$1588,""),IFERROR(_xlfn.NUMBERVALUE(_xlfn.TEXTBEFORE(_xlfn.TEXTAFTER(_xlpm.d,"yaw="),"deg"),".",","),"")),"")</f>
        <v/>
      </c>
      <c r="X76" t="str" cm="1">
        <f t="array" ref="X76">IF(OR($G76="success",$G76="sucess"),_xlfn.XLOOKUP(1,(Event_logs!$A$2:$A$1588=$A76)*(Event_logs!$H$2:$H$1588="side_align_complete"),Event_logs!$I$2:$I$1588,""),"")</f>
        <v/>
      </c>
    </row>
    <row r="77" spans="1:31" ht="30" x14ac:dyDescent="0.25">
      <c r="A77" s="41">
        <f>IF(Handnotes!$A$53="y",Handnotes!$B$53,"")</f>
        <v>46</v>
      </c>
      <c r="B77" s="41" t="str">
        <f>IF($A77="","",IFERROR(Handnotes!$C$53,""))</f>
        <v>Normal</v>
      </c>
      <c r="C77" t="str">
        <f>IF($A77="","",IFERROR(Handnotes!$D$53,""))</f>
        <v>empty</v>
      </c>
      <c r="D77" s="41" t="str">
        <f>IF($A77="","",IFERROR(Handnotes!$E$53,""))</f>
        <v>success</v>
      </c>
      <c r="E77" s="41" t="str">
        <f>IF($A77="","",IFERROR(Handnotes!$G$53,""))</f>
        <v>correct</v>
      </c>
      <c r="F77" s="41" t="str">
        <f>IF($A77="","",IFERROR(Handnotes!$H$53,""))</f>
        <v>goal failed</v>
      </c>
      <c r="G77" s="41" t="str">
        <f>IF($A77="","",IFERROR(Handnotes!$J$53,""))</f>
        <v>too close too trolley</v>
      </c>
      <c r="H77" s="41">
        <f>IF($A77="","",IFERROR(Handnotes!$K$53,""))</f>
        <v>0</v>
      </c>
      <c r="I77" s="41">
        <f>IF($A77="","",IFERROR(Handnotes!$M$53,""))</f>
        <v>0</v>
      </c>
      <c r="J77" s="41">
        <f>IF($A77="","",IFERROR(Handnotes!$O$53,""))</f>
        <v>0</v>
      </c>
      <c r="K77" s="41">
        <f>IF($A77="","",IFERROR(Handnotes!$P$53,""))</f>
        <v>0</v>
      </c>
      <c r="L77" s="41">
        <f>IF($A77="","",IFERROR(Handnotes!$Q$53,""))</f>
        <v>0</v>
      </c>
      <c r="M77" s="44" cm="1">
        <f t="array" ref="M77">IF($D77="success",_xlfn.LET(_xlpm.run,$A77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8.1370000000000005</v>
      </c>
      <c r="N77" s="44"/>
      <c r="O77" s="44" t="str" cm="1">
        <f t="array" ref="O77">IF($G77="success",_xlfn.LET(_xlpm.run,$A77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77" s="44"/>
      <c r="Q77" s="44" t="str">
        <f>_xlfn.LET(_xlpm.t,$A77,_xlpm.s,_xlfn.MINIFS(Event_logs!$E$2:$E$1588,Event_logs!$A$2:$A$1588,_xlpm.t,Event_logs!$H$2:$H$1588,"fine_align_complete"),_xlpm.e,_xlfn.MINIFS(Event_logs!$E$2:$E$1588,Event_logs!$A$2:$A$1588,_xlpm.t,Event_logs!$H$2:$H$1588,"docking sucessfull"),IF(AND(OR($I77="success",$I77="sucess"),_xlpm.s&gt;0,_xlpm.e&gt;_xlpm.s),(_xlpm.e-_xlpm.s)/1000,""))</f>
        <v/>
      </c>
      <c r="R77" s="48" cm="1">
        <f t="array" ref="R77">IF($D77="success",_xlfn.LET(_xlpm.d,_xlfn.XLOOKUP(1,(Event_logs!$A$2:$A$1588=$A77)*(Event_logs!$H$2:$H$1588="side_align_complete"),Event_logs!$I$2:$I$1588,""),IFERROR(_xlfn.NUMBERVALUE(_xlfn.TEXTBEFORE(_xlfn.TEXTAFTER(_xlpm.d,"error_x=")&amp;" "," "),".",","),"")),"")</f>
        <v>-5.0000000000000001E-4</v>
      </c>
      <c r="S77" s="48" t="str" cm="1">
        <f t="array" ref="S77">IF(AND($F77="success",$D77="success"),_xlfn.LET(_xlpm.d,_xlfn.XLOOKUP(1,(Event_logs!$A$2:$A$1588=$A77)*(Event_logs!$H$2:$H$1588="side_align_complete"),Event_logs!$I$2:$I$1588,""),IFERROR(_xlfn.NUMBERVALUE(_xlfn.TEXTBEFORE(_xlfn.TEXTAFTER(_xlpm.d,"error_x=")&amp;" "," "),".",","),"")),"")</f>
        <v/>
      </c>
      <c r="T77" s="47" cm="1">
        <f t="array" ref="T77">IF($D77="success",_xlfn.LET(_xlpm.d,_xlfn.XLOOKUP(1,(Event_logs!$A$2:$A$1588=$A77)*(Event_logs!$H$2:$H$1588="side_align_complete"),Event_logs!$I$2:$I$1588,""),IFERROR(_xlfn.NUMBERVALUE(_xlfn.TEXTBEFORE(_xlfn.TEXTAFTER(_xlpm.d,"yaw_error="),"deg"),".",","),"")),"")</f>
        <v>0.06</v>
      </c>
      <c r="U77" s="44" t="str" cm="1">
        <f t="array" ref="U77">IF(AND($F77="success",D77="success"),_xlfn.LET(_xlpm.d,_xlfn.XLOOKUP(1,(Event_logs!$A$2:$A$1588=$A77)*(Event_logs!$H$2:$H$1588="side_align_complete"),Event_logs!$I$2:$I$1588,""),IFERROR(_xlfn.NUMBERVALUE(_xlfn.TEXTBEFORE(_xlfn.TEXTAFTER(_xlpm.d,"yaw_error="),"deg"),".",","),"")),"")</f>
        <v/>
      </c>
      <c r="V77" s="44"/>
      <c r="W77" s="44" t="str" cm="1">
        <f t="array" ref="W77">IF(OR($G77="success",$G77="sucess"),_xlfn.LET(_xlpm.d,_xlfn.XLOOKUP(1,(Event_logs!$A$2:$A$1588=$A77)*(Event_logs!$H$2:$H$1588="side_align_complete"),Event_logs!$I$2:$I$1588,""),IFERROR(_xlfn.NUMBERVALUE(_xlfn.TEXTBEFORE(_xlfn.TEXTAFTER(_xlpm.d,"yaw="),"deg"),".",","),"")),"")</f>
        <v/>
      </c>
      <c r="X77" t="str">
        <f>IF(OR($G77="success",$G77="sucess"),_xludf.XLOOKUP(1,(Event_logs!$A$2:$A$1588=$A77)*(Event_logs!$H$2:$H$1588="fine_align_complete"),Event_logs!$I$2:$I$1588,""),"")</f>
        <v/>
      </c>
    </row>
    <row r="78" spans="1:31" ht="30" x14ac:dyDescent="0.25">
      <c r="A78" s="41">
        <f>IF(Handnotes!$A$54="y",Handnotes!$B$54,"")</f>
        <v>47</v>
      </c>
      <c r="B78" s="41" t="str">
        <f>IF($A78="","",IFERROR(Handnotes!$C$54,""))</f>
        <v>Normal</v>
      </c>
      <c r="C78" t="str">
        <f>IF($A78="","",IFERROR(Handnotes!$D$54,""))</f>
        <v>empty</v>
      </c>
      <c r="D78" s="41" t="str">
        <f>IF($A78="","",IFERROR(Handnotes!$E$54,""))</f>
        <v>success</v>
      </c>
      <c r="E78" s="41" t="str">
        <f>IF($A78="","",IFERROR(Handnotes!$G$54,""))</f>
        <v>correct</v>
      </c>
      <c r="F78" s="41" t="str">
        <f>IF($A78="","",IFERROR(Handnotes!$H$54,""))</f>
        <v>goal failed</v>
      </c>
      <c r="G78" s="41" t="str">
        <f>IF($A78="","",IFERROR(Handnotes!$J$54,""))</f>
        <v>too close too trolley</v>
      </c>
      <c r="H78" s="41">
        <f>IF($A78="","",IFERROR(Handnotes!$K$54,""))</f>
        <v>0</v>
      </c>
      <c r="I78" s="41">
        <f>IF($A78="","",IFERROR(Handnotes!$M$54,""))</f>
        <v>0</v>
      </c>
      <c r="J78" s="41">
        <f>IF($A78="","",IFERROR(Handnotes!$O$54,""))</f>
        <v>0</v>
      </c>
      <c r="K78" s="41">
        <f>IF($A78="","",IFERROR(Handnotes!$P$54,""))</f>
        <v>0</v>
      </c>
      <c r="L78" s="41">
        <f>IF($A78="","",IFERROR(Handnotes!$Q$54,""))</f>
        <v>0</v>
      </c>
      <c r="M78" s="44" cm="1">
        <f t="array" ref="M78">IF($D78="success",_xlfn.LET(_xlpm.run,$A78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28.754999999999999</v>
      </c>
      <c r="N78" s="44"/>
      <c r="O78" s="44" t="str" cm="1">
        <f t="array" ref="O78">IF($G78="success",_xlfn.LET(_xlpm.run,$A78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78" s="44"/>
      <c r="Q78" s="44" t="str">
        <f>_xlfn.LET(_xlpm.t,$A78,_xlpm.s,_xlfn.MINIFS(Event_logs!$E$2:$E$1588,Event_logs!$A$2:$A$1588,_xlpm.t,Event_logs!$H$2:$H$1588,"fine_align_complete"),_xlpm.e,_xlfn.MINIFS(Event_logs!$E$2:$E$1588,Event_logs!$A$2:$A$1588,_xlpm.t,Event_logs!$H$2:$H$1588,"docking sucessfull"),IF(AND(OR($I78="success",$I78="sucess"),_xlpm.s&gt;0,_xlpm.e&gt;_xlpm.s),(_xlpm.e-_xlpm.s)/1000,""))</f>
        <v/>
      </c>
      <c r="R78" s="48" cm="1">
        <f t="array" ref="R78">IF($D78="success",_xlfn.LET(_xlpm.d,_xlfn.XLOOKUP(1,(Event_logs!$A$2:$A$1588=$A78)*(Event_logs!$H$2:$H$1588="side_align_complete"),Event_logs!$I$2:$I$1588,""),IFERROR(_xlfn.NUMBERVALUE(_xlfn.TEXTBEFORE(_xlfn.TEXTAFTER(_xlpm.d,"error_x=")&amp;" "," "),".",","),"")),"")</f>
        <v>4.7999999999999996E-3</v>
      </c>
      <c r="S78" s="48" t="str" cm="1">
        <f t="array" ref="S78">IF(AND($F78="success",$D78="success"),_xlfn.LET(_xlpm.d,_xlfn.XLOOKUP(1,(Event_logs!$A$2:$A$1588=$A78)*(Event_logs!$H$2:$H$1588="side_align_complete"),Event_logs!$I$2:$I$1588,""),IFERROR(_xlfn.NUMBERVALUE(_xlfn.TEXTBEFORE(_xlfn.TEXTAFTER(_xlpm.d,"error_x=")&amp;" "," "),".",","),"")),"")</f>
        <v/>
      </c>
      <c r="T78" s="47" cm="1">
        <f t="array" ref="T78">IF($D78="success",_xlfn.LET(_xlpm.d,_xlfn.XLOOKUP(1,(Event_logs!$A$2:$A$1588=$A78)*(Event_logs!$H$2:$H$1588="side_align_complete"),Event_logs!$I$2:$I$1588,""),IFERROR(_xlfn.NUMBERVALUE(_xlfn.TEXTBEFORE(_xlfn.TEXTAFTER(_xlpm.d,"yaw_error="),"deg"),".",","),"")),"")</f>
        <v>-0.06</v>
      </c>
      <c r="U78" s="44" t="str" cm="1">
        <f t="array" ref="U78">IF(AND($F78="success",D78="success"),_xlfn.LET(_xlpm.d,_xlfn.XLOOKUP(1,(Event_logs!$A$2:$A$1588=$A78)*(Event_logs!$H$2:$H$1588="side_align_complete"),Event_logs!$I$2:$I$1588,""),IFERROR(_xlfn.NUMBERVALUE(_xlfn.TEXTBEFORE(_xlfn.TEXTAFTER(_xlpm.d,"yaw_error="),"deg"),".",","),"")),"")</f>
        <v/>
      </c>
      <c r="V78" s="44"/>
      <c r="W78" s="44" t="str" cm="1">
        <f t="array" ref="W78">IF(OR($G78="success",$G78="sucess"),_xlfn.LET(_xlpm.d,_xlfn.XLOOKUP(1,(Event_logs!$A$2:$A$1588=$A78)*(Event_logs!$H$2:$H$1588="side_align_complete"),Event_logs!$I$2:$I$1588,""),IFERROR(_xlfn.NUMBERVALUE(_xlfn.TEXTBEFORE(_xlfn.TEXTAFTER(_xlpm.d,"yaw="),"deg"),".",","),"")),"")</f>
        <v/>
      </c>
      <c r="X78" t="str">
        <f>IF(OR($G78="success",$G78="sucess"),_xludf.XLOOKUP(1,(Event_logs!$A$2:$A$1588=$A78)*(Event_logs!$H$2:$H$1588="fine_align_complete"),Event_logs!$I$2:$I$1588,""),"")</f>
        <v/>
      </c>
    </row>
    <row r="79" spans="1:31" x14ac:dyDescent="0.25">
      <c r="A79" s="41">
        <f>IF(Handnotes!$A$55="y",Handnotes!$B$55,"")</f>
        <v>48</v>
      </c>
      <c r="B79" s="41" t="str">
        <f>IF($A79="","",IFERROR(Handnotes!$C$55,""))</f>
        <v>Normal</v>
      </c>
      <c r="C79" t="str">
        <f>IF($A79="","",IFERROR(Handnotes!$D$55,""))</f>
        <v>empty</v>
      </c>
      <c r="D79" s="41" t="str">
        <f>IF($A79="","",IFERROR(Handnotes!$E$55,""))</f>
        <v>success</v>
      </c>
      <c r="E79" s="41" t="str">
        <f>IF($A79="","",IFERROR(Handnotes!$G$55,""))</f>
        <v>correct</v>
      </c>
      <c r="F79" s="41" t="str">
        <f>IF($A79="","",IFERROR(Handnotes!$H$55,""))</f>
        <v>drove</v>
      </c>
      <c r="G79" s="41">
        <f>IF($A79="","",IFERROR(Handnotes!$J$55,""))</f>
        <v>0</v>
      </c>
      <c r="H79" s="41">
        <f>IF($A79="","",IFERROR(Handnotes!$K$55,""))</f>
        <v>0</v>
      </c>
      <c r="I79" s="41">
        <f>IF($A79="","",IFERROR(Handnotes!$M$55,""))</f>
        <v>0</v>
      </c>
      <c r="J79" s="41">
        <f>IF($A79="","",IFERROR(Handnotes!$O$55,""))</f>
        <v>0</v>
      </c>
      <c r="K79" s="41">
        <f>IF($A79="","",IFERROR(Handnotes!$P$55,""))</f>
        <v>0</v>
      </c>
      <c r="L79" s="41">
        <f>IF($A79="","",IFERROR(Handnotes!$Q$55,""))</f>
        <v>0</v>
      </c>
      <c r="M79" s="44" cm="1">
        <f t="array" ref="M79">IF($D79="success",_xlfn.LET(_xlpm.run,$A79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12.256</v>
      </c>
      <c r="N79" s="44"/>
      <c r="O79" s="44" t="str" cm="1">
        <f t="array" ref="O79">IF($G79="success",_xlfn.LET(_xlpm.run,$A79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79" s="44"/>
      <c r="Q79" s="44" t="str">
        <f>_xlfn.LET(_xlpm.t,$A79,_xlpm.s,_xlfn.MINIFS(Event_logs!$E$2:$E$1588,Event_logs!$A$2:$A$1588,_xlpm.t,Event_logs!$H$2:$H$1588,"fine_align_complete"),_xlpm.e,_xlfn.MINIFS(Event_logs!$E$2:$E$1588,Event_logs!$A$2:$A$1588,_xlpm.t,Event_logs!$H$2:$H$1588,"docking sucessfull"),IF(AND(OR($I79="success",$I79="sucess"),_xlpm.s&gt;0,_xlpm.e&gt;_xlpm.s),(_xlpm.e-_xlpm.s)/1000,""))</f>
        <v/>
      </c>
      <c r="R79" s="48" cm="1">
        <f t="array" ref="R79">IF($D79="success",_xlfn.LET(_xlpm.d,_xlfn.XLOOKUP(1,(Event_logs!$A$2:$A$1588=$A79)*(Event_logs!$H$2:$H$1588="side_align_complete"),Event_logs!$I$2:$I$1588,""),IFERROR(_xlfn.NUMBERVALUE(_xlfn.TEXTBEFORE(_xlfn.TEXTAFTER(_xlpm.d,"error_x=")&amp;" "," "),".",","),"")),"")</f>
        <v>1.6000000000000001E-3</v>
      </c>
      <c r="S79" s="48" t="str" cm="1">
        <f t="array" ref="S79">IF(AND($F79="success",$D79="success"),_xlfn.LET(_xlpm.d,_xlfn.XLOOKUP(1,(Event_logs!$A$2:$A$1588=$A79)*(Event_logs!$H$2:$H$1588="side_align_complete"),Event_logs!$I$2:$I$1588,""),IFERROR(_xlfn.NUMBERVALUE(_xlfn.TEXTBEFORE(_xlfn.TEXTAFTER(_xlpm.d,"error_x=")&amp;" "," "),".",","),"")),"")</f>
        <v/>
      </c>
      <c r="T79" s="47" cm="1">
        <f t="array" ref="T79">IF($D79="success",_xlfn.LET(_xlpm.d,_xlfn.XLOOKUP(1,(Event_logs!$A$2:$A$1588=$A79)*(Event_logs!$H$2:$H$1588="side_align_complete"),Event_logs!$I$2:$I$1588,""),IFERROR(_xlfn.NUMBERVALUE(_xlfn.TEXTBEFORE(_xlfn.TEXTAFTER(_xlpm.d,"yaw_error="),"deg"),".",","),"")),"")</f>
        <v>-1.82</v>
      </c>
      <c r="U79" s="44" t="str" cm="1">
        <f t="array" ref="U79">IF(AND($F79="success",D79="success"),_xlfn.LET(_xlpm.d,_xlfn.XLOOKUP(1,(Event_logs!$A$2:$A$1588=$A79)*(Event_logs!$H$2:$H$1588="side_align_complete"),Event_logs!$I$2:$I$1588,""),IFERROR(_xlfn.NUMBERVALUE(_xlfn.TEXTBEFORE(_xlfn.TEXTAFTER(_xlpm.d,"yaw_error="),"deg"),".",","),"")),"")</f>
        <v/>
      </c>
      <c r="V79" s="44"/>
      <c r="W79" s="44" t="str" cm="1">
        <f t="array" ref="W79">IF(OR($G79="success",$G79="sucess"),_xlfn.LET(_xlpm.d,_xlfn.XLOOKUP(1,(Event_logs!$A$2:$A$1588=$A79)*(Event_logs!$H$2:$H$1588="side_align_complete"),Event_logs!$I$2:$I$1588,""),IFERROR(_xlfn.NUMBERVALUE(_xlfn.TEXTBEFORE(_xlfn.TEXTAFTER(_xlpm.d,"yaw="),"deg"),".",","),"")),"")</f>
        <v/>
      </c>
      <c r="X79" t="str">
        <f>IF(OR($G79="success",$G79="sucess"),_xludf.XLOOKUP(1,(Event_logs!$A$2:$A$1588=$A79)*(Event_logs!$H$2:$H$1588="fine_align_complete"),Event_logs!$I$2:$I$1588,""),"")</f>
        <v/>
      </c>
    </row>
    <row r="80" spans="1:31" ht="30" x14ac:dyDescent="0.25">
      <c r="A80" s="41">
        <f>IF(Handnotes!$A$56="y",Handnotes!$B$56,"")</f>
        <v>49</v>
      </c>
      <c r="B80" s="41" t="str">
        <f>IF($A80="","",IFERROR(Handnotes!$C$56,""))</f>
        <v>Flipped 180 deg</v>
      </c>
      <c r="C80" t="str">
        <f>IF($A80="","",IFERROR(Handnotes!$D$56,""))</f>
        <v>empty</v>
      </c>
      <c r="D80" s="41" t="str">
        <f>IF($A80="","",IFERROR(Handnotes!$E$56,""))</f>
        <v>success</v>
      </c>
      <c r="E80" s="41" t="str">
        <f>IF($A80="","",IFERROR(Handnotes!$G$56,""))</f>
        <v>correct</v>
      </c>
      <c r="F80" s="41" t="str">
        <f>IF($A80="","",IFERROR(Handnotes!$H$56,""))</f>
        <v>drove</v>
      </c>
      <c r="G80" s="41" t="str">
        <f>IF($A80="","",IFERROR(Handnotes!$J$56,""))</f>
        <v>2nd cmd charging</v>
      </c>
      <c r="H80" s="41">
        <f>IF($A80="","",IFERROR(Handnotes!$K$56,""))</f>
        <v>0</v>
      </c>
      <c r="I80" s="41">
        <f>IF($A80="","",IFERROR(Handnotes!$M$56,""))</f>
        <v>0</v>
      </c>
      <c r="J80" s="41">
        <f>IF($A80="","",IFERROR(Handnotes!$O$56,""))</f>
        <v>0</v>
      </c>
      <c r="K80" s="41">
        <f>IF($A80="","",IFERROR(Handnotes!$P$56,""))</f>
        <v>0</v>
      </c>
      <c r="L80" s="41">
        <f>IF($A80="","",IFERROR(Handnotes!$Q$56,""))</f>
        <v>0</v>
      </c>
      <c r="M80" s="44" cm="1">
        <f t="array" ref="M80">IF($D80="success",_xlfn.LET(_xlpm.run,$A80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2.8010000000000002</v>
      </c>
      <c r="N80" s="44"/>
      <c r="O80" s="44" t="str" cm="1">
        <f t="array" ref="O80">IF($G80="success",_xlfn.LET(_xlpm.run,$A80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80" s="44"/>
      <c r="Q80" s="44" t="str">
        <f>_xlfn.LET(_xlpm.t,$A80,_xlpm.s,_xlfn.MINIFS(Event_logs!$E$2:$E$1588,Event_logs!$A$2:$A$1588,_xlpm.t,Event_logs!$H$2:$H$1588,"fine_align_complete"),_xlpm.e,_xlfn.MINIFS(Event_logs!$E$2:$E$1588,Event_logs!$A$2:$A$1588,_xlpm.t,Event_logs!$H$2:$H$1588,"docking sucessfull"),IF(AND(OR($I80="success",$I80="sucess"),_xlpm.s&gt;0,_xlpm.e&gt;_xlpm.s),(_xlpm.e-_xlpm.s)/1000,""))</f>
        <v/>
      </c>
      <c r="R80" s="48" cm="1">
        <f t="array" ref="R80">IF($D80="success",_xlfn.LET(_xlpm.d,_xlfn.XLOOKUP(1,(Event_logs!$A$2:$A$1588=$A80)*(Event_logs!$H$2:$H$1588="side_align_complete"),Event_logs!$I$2:$I$1588,""),IFERROR(_xlfn.NUMBERVALUE(_xlfn.TEXTBEFORE(_xlfn.TEXTAFTER(_xlpm.d,"error_x=")&amp;" "," "),".",","),"")),"")</f>
        <v>3.0000000000000001E-3</v>
      </c>
      <c r="S80" s="48" t="str" cm="1">
        <f t="array" ref="S80">IF(AND($F80="success",$D80="success"),_xlfn.LET(_xlpm.d,_xlfn.XLOOKUP(1,(Event_logs!$A$2:$A$1588=$A80)*(Event_logs!$H$2:$H$1588="side_align_complete"),Event_logs!$I$2:$I$1588,""),IFERROR(_xlfn.NUMBERVALUE(_xlfn.TEXTBEFORE(_xlfn.TEXTAFTER(_xlpm.d,"error_x=")&amp;" "," "),".",","),"")),"")</f>
        <v/>
      </c>
      <c r="T80" s="47" cm="1">
        <f t="array" ref="T80">IF($D80="success",_xlfn.LET(_xlpm.d,_xlfn.XLOOKUP(1,(Event_logs!$A$2:$A$1588=$A80)*(Event_logs!$H$2:$H$1588="side_align_complete"),Event_logs!$I$2:$I$1588,""),IFERROR(_xlfn.NUMBERVALUE(_xlfn.TEXTBEFORE(_xlfn.TEXTAFTER(_xlpm.d,"yaw_error="),"deg"),".",","),"")),"")</f>
        <v>0.56000000000000005</v>
      </c>
      <c r="U80" s="44" t="str" cm="1">
        <f t="array" ref="U80">IF(AND($F80="success",D80="success"),_xlfn.LET(_xlpm.d,_xlfn.XLOOKUP(1,(Event_logs!$A$2:$A$1588=$A80)*(Event_logs!$H$2:$H$1588="side_align_complete"),Event_logs!$I$2:$I$1588,""),IFERROR(_xlfn.NUMBERVALUE(_xlfn.TEXTBEFORE(_xlfn.TEXTAFTER(_xlpm.d,"yaw_error="),"deg"),".",","),"")),"")</f>
        <v/>
      </c>
      <c r="V80" s="44"/>
      <c r="W80" s="44" t="str" cm="1">
        <f t="array" ref="W80">IF(OR($G80="success",$G80="sucess"),_xlfn.LET(_xlpm.d,_xlfn.XLOOKUP(1,(Event_logs!$A$2:$A$1588=$A80)*(Event_logs!$H$2:$H$1588="side_align_complete"),Event_logs!$I$2:$I$1588,""),IFERROR(_xlfn.NUMBERVALUE(_xlfn.TEXTBEFORE(_xlfn.TEXTAFTER(_xlpm.d,"yaw="),"deg"),".",","),"")),"")</f>
        <v/>
      </c>
      <c r="X80" t="str">
        <f>IF(OR($G80="success",$G80="sucess"),_xludf.XLOOKUP(1,(Event_logs!$A$2:$A$1588=$A80)*(Event_logs!$H$2:$H$1588="fine_align_complete"),Event_logs!$I$2:$I$1588,""),"")</f>
        <v/>
      </c>
    </row>
    <row r="81" spans="1:24" ht="30" x14ac:dyDescent="0.25">
      <c r="A81" s="41">
        <f>IF(Handnotes!$A$57="y",Handnotes!$B$57,"")</f>
        <v>50</v>
      </c>
      <c r="B81" s="41" t="str">
        <f>IF($A81="","",IFERROR(Handnotes!$C$57,""))</f>
        <v>Flipped 180 deg</v>
      </c>
      <c r="C81" t="str">
        <f>IF($A81="","",IFERROR(Handnotes!$D$57,""))</f>
        <v>empty</v>
      </c>
      <c r="D81" s="41" t="str">
        <f>IF($A81="","",IFERROR(Handnotes!$E$57,""))</f>
        <v>success</v>
      </c>
      <c r="E81" s="41" t="str">
        <f>IF($A81="","",IFERROR(Handnotes!$G$57,""))</f>
        <v>correct</v>
      </c>
      <c r="F81" s="41" t="str">
        <f>IF($A81="","",IFERROR(Handnotes!$H$57,""))</f>
        <v>drove</v>
      </c>
      <c r="G81" s="41" t="str">
        <f>IF($A81="","",IFERROR(Handnotes!$J$57,""))</f>
        <v>2nd cmd charging</v>
      </c>
      <c r="H81" s="41">
        <f>IF($A81="","",IFERROR(Handnotes!$K$57,""))</f>
        <v>0</v>
      </c>
      <c r="I81" s="41">
        <f>IF($A81="","",IFERROR(Handnotes!$M$57,""))</f>
        <v>0</v>
      </c>
      <c r="J81" s="41">
        <f>IF($A81="","",IFERROR(Handnotes!$O$57,""))</f>
        <v>0</v>
      </c>
      <c r="K81" s="41">
        <f>IF($A81="","",IFERROR(Handnotes!$P$57,""))</f>
        <v>0</v>
      </c>
      <c r="L81" s="41">
        <f>IF($A81="","",IFERROR(Handnotes!$Q$57,""))</f>
        <v>0</v>
      </c>
      <c r="M81" s="44" cm="1">
        <f t="array" ref="M81">IF($D81="success",_xlfn.LET(_xlpm.run,$A81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2.254</v>
      </c>
      <c r="N81" s="44"/>
      <c r="O81" s="44" t="str" cm="1">
        <f t="array" ref="O81">IF($G81="success",_xlfn.LET(_xlpm.run,$A81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81" s="44"/>
      <c r="Q81" s="44" t="str">
        <f>_xlfn.LET(_xlpm.t,$A81,_xlpm.s,_xlfn.MINIFS(Event_logs!$E$2:$E$1588,Event_logs!$A$2:$A$1588,_xlpm.t,Event_logs!$H$2:$H$1588,"fine_align_complete"),_xlpm.e,_xlfn.MINIFS(Event_logs!$E$2:$E$1588,Event_logs!$A$2:$A$1588,_xlpm.t,Event_logs!$H$2:$H$1588,"docking sucessfull"),IF(AND(OR($I81="success",$I81="sucess"),_xlpm.s&gt;0,_xlpm.e&gt;_xlpm.s),(_xlpm.e-_xlpm.s)/1000,""))</f>
        <v/>
      </c>
      <c r="R81" s="48" cm="1">
        <f t="array" ref="R81">IF($D81="success",_xlfn.LET(_xlpm.d,_xlfn.XLOOKUP(1,(Event_logs!$A$2:$A$1588=$A81)*(Event_logs!$H$2:$H$1588="side_align_complete"),Event_logs!$I$2:$I$1588,""),IFERROR(_xlfn.NUMBERVALUE(_xlfn.TEXTBEFORE(_xlfn.TEXTAFTER(_xlpm.d,"error_x=")&amp;" "," "),".",","),"")),"")</f>
        <v>1.6000000000000001E-3</v>
      </c>
      <c r="S81" s="48" t="str" cm="1">
        <f t="array" ref="S81">IF(AND($F81="success",$D81="success"),_xlfn.LET(_xlpm.d,_xlfn.XLOOKUP(1,(Event_logs!$A$2:$A$1588=$A81)*(Event_logs!$H$2:$H$1588="side_align_complete"),Event_logs!$I$2:$I$1588,""),IFERROR(_xlfn.NUMBERVALUE(_xlfn.TEXTBEFORE(_xlfn.TEXTAFTER(_xlpm.d,"error_x=")&amp;" "," "),".",","),"")),"")</f>
        <v/>
      </c>
      <c r="T81" s="47" cm="1">
        <f t="array" ref="T81">IF($D81="success",_xlfn.LET(_xlpm.d,_xlfn.XLOOKUP(1,(Event_logs!$A$2:$A$1588=$A81)*(Event_logs!$H$2:$H$1588="side_align_complete"),Event_logs!$I$2:$I$1588,""),IFERROR(_xlfn.NUMBERVALUE(_xlfn.TEXTBEFORE(_xlfn.TEXTAFTER(_xlpm.d,"yaw_error="),"deg"),".",","),"")),"")</f>
        <v>0.31</v>
      </c>
      <c r="U81" s="44" t="str" cm="1">
        <f t="array" ref="U81">IF(AND($F81="success",D81="success"),_xlfn.LET(_xlpm.d,_xlfn.XLOOKUP(1,(Event_logs!$A$2:$A$1588=$A81)*(Event_logs!$H$2:$H$1588="side_align_complete"),Event_logs!$I$2:$I$1588,""),IFERROR(_xlfn.NUMBERVALUE(_xlfn.TEXTBEFORE(_xlfn.TEXTAFTER(_xlpm.d,"yaw_error="),"deg"),".",","),"")),"")</f>
        <v/>
      </c>
      <c r="V81" s="44"/>
      <c r="W81" s="44" t="str" cm="1">
        <f t="array" ref="W81">IF(OR($G81="success",$G81="sucess"),_xlfn.LET(_xlpm.d,_xlfn.XLOOKUP(1,(Event_logs!$A$2:$A$1588=$A81)*(Event_logs!$H$2:$H$1588="side_align_complete"),Event_logs!$I$2:$I$1588,""),IFERROR(_xlfn.NUMBERVALUE(_xlfn.TEXTBEFORE(_xlfn.TEXTAFTER(_xlpm.d,"yaw="),"deg"),".",","),"")),"")</f>
        <v/>
      </c>
      <c r="X81" t="str">
        <f>IF(OR($G81="success",$G81="sucess"),_xludf.XLOOKUP(1,(Event_logs!$A$2:$A$1588=$A81)*(Event_logs!$H$2:$H$1588="fine_align_complete"),Event_logs!$I$2:$I$1588,""),"")</f>
        <v/>
      </c>
    </row>
    <row r="82" spans="1:24" ht="30" x14ac:dyDescent="0.25">
      <c r="A82" s="41">
        <f>IF(Handnotes!$A$58="y",Handnotes!$B$58,"")</f>
        <v>51</v>
      </c>
      <c r="B82" s="41" t="str">
        <f>IF($A82="","",IFERROR(Handnotes!$C$58,""))</f>
        <v>Flipped 180 deg</v>
      </c>
      <c r="C82" t="str">
        <f>IF($A82="","",IFERROR(Handnotes!$D$58,""))</f>
        <v>empty</v>
      </c>
      <c r="D82" s="41" t="str">
        <f>IF($A82="","",IFERROR(Handnotes!$E$58,""))</f>
        <v>success</v>
      </c>
      <c r="E82" s="41" t="str">
        <f>IF($A82="","",IFERROR(Handnotes!$G$58,""))</f>
        <v>correct</v>
      </c>
      <c r="F82" s="41" t="str">
        <f>IF($A82="","",IFERROR(Handnotes!$H$58,""))</f>
        <v>drove</v>
      </c>
      <c r="G82" s="41" t="str">
        <f>IF($A82="","",IFERROR(Handnotes!$J$58,""))</f>
        <v>2nd cmd charging</v>
      </c>
      <c r="H82" s="41">
        <f>IF($A82="","",IFERROR(Handnotes!$K$58,""))</f>
        <v>0</v>
      </c>
      <c r="I82" s="41">
        <f>IF($A82="","",IFERROR(Handnotes!$M$58,""))</f>
        <v>0</v>
      </c>
      <c r="J82" s="41">
        <f>IF($A82="","",IFERROR(Handnotes!$O$58,""))</f>
        <v>0</v>
      </c>
      <c r="K82" s="41">
        <f>IF($A82="","",IFERROR(Handnotes!$P$58,""))</f>
        <v>0</v>
      </c>
      <c r="L82" s="41">
        <f>IF($A82="","",IFERROR(Handnotes!$Q$58,""))</f>
        <v>0</v>
      </c>
      <c r="M82" s="44" cm="1">
        <f t="array" ref="M82">IF($D82="success",_xlfn.LET(_xlpm.run,$A82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8.7970000000000006</v>
      </c>
      <c r="N82" s="44"/>
      <c r="O82" s="44" t="str" cm="1">
        <f t="array" ref="O82">IF($G82="success",_xlfn.LET(_xlpm.run,$A82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82" s="44"/>
      <c r="Q82" s="44" t="str">
        <f>_xlfn.LET(_xlpm.t,$A82,_xlpm.s,_xlfn.MINIFS(Event_logs!$E$2:$E$1588,Event_logs!$A$2:$A$1588,_xlpm.t,Event_logs!$H$2:$H$1588,"fine_align_complete"),_xlpm.e,_xlfn.MINIFS(Event_logs!$E$2:$E$1588,Event_logs!$A$2:$A$1588,_xlpm.t,Event_logs!$H$2:$H$1588,"docking sucessfull"),IF(AND(OR($I82="success",$I82="sucess"),_xlpm.s&gt;0,_xlpm.e&gt;_xlpm.s),(_xlpm.e-_xlpm.s)/1000,""))</f>
        <v/>
      </c>
      <c r="R82" s="48" cm="1">
        <f t="array" ref="R82">IF($D82="success",_xlfn.LET(_xlpm.d,_xlfn.XLOOKUP(1,(Event_logs!$A$2:$A$1588=$A82)*(Event_logs!$H$2:$H$1588="side_align_complete"),Event_logs!$I$2:$I$1588,""),IFERROR(_xlfn.NUMBERVALUE(_xlfn.TEXTBEFORE(_xlfn.TEXTAFTER(_xlpm.d,"error_x=")&amp;" "," "),".",","),"")),"")</f>
        <v>2.2000000000000001E-3</v>
      </c>
      <c r="S82" s="48" t="str" cm="1">
        <f t="array" ref="S82">IF(AND($F82="success",$D82="success"),_xlfn.LET(_xlpm.d,_xlfn.XLOOKUP(1,(Event_logs!$A$2:$A$1588=$A82)*(Event_logs!$H$2:$H$1588="side_align_complete"),Event_logs!$I$2:$I$1588,""),IFERROR(_xlfn.NUMBERVALUE(_xlfn.TEXTBEFORE(_xlfn.TEXTAFTER(_xlpm.d,"error_x=")&amp;" "," "),".",","),"")),"")</f>
        <v/>
      </c>
      <c r="T82" s="47" cm="1">
        <f t="array" ref="T82">IF($D82="success",_xlfn.LET(_xlpm.d,_xlfn.XLOOKUP(1,(Event_logs!$A$2:$A$1588=$A82)*(Event_logs!$H$2:$H$1588="side_align_complete"),Event_logs!$I$2:$I$1588,""),IFERROR(_xlfn.NUMBERVALUE(_xlfn.TEXTBEFORE(_xlfn.TEXTAFTER(_xlpm.d,"yaw_error="),"deg"),".",","),"")),"")</f>
        <v>0.02</v>
      </c>
      <c r="U82" s="44" t="str" cm="1">
        <f t="array" ref="U82">IF(AND($F82="success",D82="success"),_xlfn.LET(_xlpm.d,_xlfn.XLOOKUP(1,(Event_logs!$A$2:$A$1588=$A82)*(Event_logs!$H$2:$H$1588="side_align_complete"),Event_logs!$I$2:$I$1588,""),IFERROR(_xlfn.NUMBERVALUE(_xlfn.TEXTBEFORE(_xlfn.TEXTAFTER(_xlpm.d,"yaw_error="),"deg"),".",","),"")),"")</f>
        <v/>
      </c>
      <c r="V82" s="44"/>
      <c r="W82" s="44" t="str" cm="1">
        <f t="array" ref="W82">IF(OR($G82="success",$G82="sucess"),_xlfn.LET(_xlpm.d,_xlfn.XLOOKUP(1,(Event_logs!$A$2:$A$1588=$A82)*(Event_logs!$H$2:$H$1588="side_align_complete"),Event_logs!$I$2:$I$1588,""),IFERROR(_xlfn.NUMBERVALUE(_xlfn.TEXTBEFORE(_xlfn.TEXTAFTER(_xlpm.d,"yaw="),"deg"),".",","),"")),"")</f>
        <v/>
      </c>
      <c r="X82" t="str">
        <f>IF(OR($G82="success",$G82="sucess"),_xludf.XLOOKUP(1,(Event_logs!$A$2:$A$1588=$A82)*(Event_logs!$H$2:$H$1588="fine_align_complete"),Event_logs!$I$2:$I$1588,""),"")</f>
        <v/>
      </c>
    </row>
    <row r="83" spans="1:24" ht="30" x14ac:dyDescent="0.25">
      <c r="A83" s="41">
        <f>IF(Handnotes!$A$59="y",Handnotes!$B$59,"")</f>
        <v>52</v>
      </c>
      <c r="B83" s="41" t="str">
        <f>IF($A83="","",IFERROR(Handnotes!$C$59,""))</f>
        <v>Flipped 180 deg</v>
      </c>
      <c r="C83" t="str">
        <f>IF($A83="","",IFERROR(Handnotes!$D$59,""))</f>
        <v>empty</v>
      </c>
      <c r="D83" s="41" t="str">
        <f>IF($A83="","",IFERROR(Handnotes!$E$59,""))</f>
        <v>success</v>
      </c>
      <c r="E83" s="41" t="str">
        <f>IF($A83="","",IFERROR(Handnotes!$G$59,""))</f>
        <v>correct</v>
      </c>
      <c r="F83" s="41" t="str">
        <f>IF($A83="","",IFERROR(Handnotes!$H$59,""))</f>
        <v>drove</v>
      </c>
      <c r="G83" s="41" t="str">
        <f>IF($A83="","",IFERROR(Handnotes!$J$59,""))</f>
        <v>2nd cmd charging</v>
      </c>
      <c r="H83" s="41">
        <f>IF($A83="","",IFERROR(Handnotes!$K$59,""))</f>
        <v>0</v>
      </c>
      <c r="I83" s="41">
        <f>IF($A83="","",IFERROR(Handnotes!$M$59,""))</f>
        <v>0</v>
      </c>
      <c r="J83" s="41">
        <f>IF($A83="","",IFERROR(Handnotes!$O$59,""))</f>
        <v>0</v>
      </c>
      <c r="K83" s="41">
        <f>IF($A83="","",IFERROR(Handnotes!$P$59,""))</f>
        <v>0</v>
      </c>
      <c r="L83" s="41">
        <f>IF($A83="","",IFERROR(Handnotes!$Q$59,""))</f>
        <v>0</v>
      </c>
      <c r="M83" s="44" cm="1">
        <f t="array" ref="M83">IF($D83="success",_xlfn.LET(_xlpm.run,$A83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13.646000000000001</v>
      </c>
      <c r="N83" s="44"/>
      <c r="O83" s="44" t="str" cm="1">
        <f t="array" ref="O83">IF($G83="success",_xlfn.LET(_xlpm.run,$A83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83" s="44"/>
      <c r="Q83" s="44" t="str">
        <f>_xlfn.LET(_xlpm.t,$A83,_xlpm.s,_xlfn.MINIFS(Event_logs!$E$2:$E$1588,Event_logs!$A$2:$A$1588,_xlpm.t,Event_logs!$H$2:$H$1588,"fine_align_complete"),_xlpm.e,_xlfn.MINIFS(Event_logs!$E$2:$E$1588,Event_logs!$A$2:$A$1588,_xlpm.t,Event_logs!$H$2:$H$1588,"docking sucessfull"),IF(AND(OR($I83="success",$I83="sucess"),_xlpm.s&gt;0,_xlpm.e&gt;_xlpm.s),(_xlpm.e-_xlpm.s)/1000,""))</f>
        <v/>
      </c>
      <c r="R83" s="48" cm="1">
        <f t="array" ref="R83">IF($D83="success",_xlfn.LET(_xlpm.d,_xlfn.XLOOKUP(1,(Event_logs!$A$2:$A$1588=$A83)*(Event_logs!$H$2:$H$1588="side_align_complete"),Event_logs!$I$2:$I$1588,""),IFERROR(_xlfn.NUMBERVALUE(_xlfn.TEXTBEFORE(_xlfn.TEXTAFTER(_xlpm.d,"error_x=")&amp;" "," "),".",","),"")),"")</f>
        <v>-4.7000000000000002E-3</v>
      </c>
      <c r="S83" s="48" t="str" cm="1">
        <f t="array" ref="S83">IF(AND($F83="success",$D83="success"),_xlfn.LET(_xlpm.d,_xlfn.XLOOKUP(1,(Event_logs!$A$2:$A$1588=$A83)*(Event_logs!$H$2:$H$1588="side_align_complete"),Event_logs!$I$2:$I$1588,""),IFERROR(_xlfn.NUMBERVALUE(_xlfn.TEXTBEFORE(_xlfn.TEXTAFTER(_xlpm.d,"error_x=")&amp;" "," "),".",","),"")),"")</f>
        <v/>
      </c>
      <c r="T83" s="47" cm="1">
        <f t="array" ref="T83">IF($D83="success",_xlfn.LET(_xlpm.d,_xlfn.XLOOKUP(1,(Event_logs!$A$2:$A$1588=$A83)*(Event_logs!$H$2:$H$1588="side_align_complete"),Event_logs!$I$2:$I$1588,""),IFERROR(_xlfn.NUMBERVALUE(_xlfn.TEXTBEFORE(_xlfn.TEXTAFTER(_xlpm.d,"yaw_error="),"deg"),".",","),"")),"")</f>
        <v>0.05</v>
      </c>
      <c r="U83" s="44" t="str" cm="1">
        <f t="array" ref="U83">IF(AND($F83="success",D83="success"),_xlfn.LET(_xlpm.d,_xlfn.XLOOKUP(1,(Event_logs!$A$2:$A$1588=$A83)*(Event_logs!$H$2:$H$1588="side_align_complete"),Event_logs!$I$2:$I$1588,""),IFERROR(_xlfn.NUMBERVALUE(_xlfn.TEXTBEFORE(_xlfn.TEXTAFTER(_xlpm.d,"yaw_error="),"deg"),".",","),"")),"")</f>
        <v/>
      </c>
      <c r="V83" s="44"/>
      <c r="W83" s="44" t="str" cm="1">
        <f t="array" ref="W83">IF(OR($G83="success",$G83="sucess"),_xlfn.LET(_xlpm.d,_xlfn.XLOOKUP(1,(Event_logs!$A$2:$A$1588=$A83)*(Event_logs!$H$2:$H$1588="side_align_complete"),Event_logs!$I$2:$I$1588,""),IFERROR(_xlfn.NUMBERVALUE(_xlfn.TEXTBEFORE(_xlfn.TEXTAFTER(_xlpm.d,"yaw="),"deg"),".",","),"")),"")</f>
        <v/>
      </c>
      <c r="X83" t="str">
        <f>IF(OR($G83="success",$G83="sucess"),_xludf.XLOOKUP(1,(Event_logs!$A$2:$A$1588=$A83)*(Event_logs!$H$2:$H$1588="fine_align_complete"),Event_logs!$I$2:$I$1588,""),"")</f>
        <v/>
      </c>
    </row>
    <row r="84" spans="1:24" ht="30" x14ac:dyDescent="0.25">
      <c r="A84" s="41">
        <f>IF(Handnotes!$A$60="y",Handnotes!$B$60,"")</f>
        <v>53</v>
      </c>
      <c r="B84" s="41" t="str">
        <f>IF($A84="","",IFERROR(Handnotes!$C$60,""))</f>
        <v>Normal</v>
      </c>
      <c r="C84" t="str">
        <f>IF($A84="","",IFERROR(Handnotes!$D$60,""))</f>
        <v>empty</v>
      </c>
      <c r="D84" s="41" t="str">
        <f>IF($A84="","",IFERROR(Handnotes!$E$60,""))</f>
        <v>unsuccessfull</v>
      </c>
      <c r="E84" s="41" t="str">
        <f>IF($A84="","",IFERROR(Handnotes!$G$60,""))</f>
        <v>correct</v>
      </c>
      <c r="F84" s="41" t="str">
        <f>IF($A84="","",IFERROR(Handnotes!$H$60,""))</f>
        <v>drove</v>
      </c>
      <c r="G84" s="41" t="str">
        <f>IF($A84="","",IFERROR(Handnotes!$J$60,""))</f>
        <v>2nd cmd charging</v>
      </c>
      <c r="H84" s="41">
        <f>IF($A84="","",IFERROR(Handnotes!$K$60,""))</f>
        <v>0</v>
      </c>
      <c r="I84" s="41">
        <f>IF($A84="","",IFERROR(Handnotes!$M$60,""))</f>
        <v>0</v>
      </c>
      <c r="J84" s="41">
        <f>IF($A84="","",IFERROR(Handnotes!$O$60,""))</f>
        <v>0</v>
      </c>
      <c r="K84" s="41">
        <f>IF($A84="","",IFERROR(Handnotes!$P$60,""))</f>
        <v>0</v>
      </c>
      <c r="L84" s="41">
        <f>IF($A84="","",IFERROR(Handnotes!$Q$60,""))</f>
        <v>0</v>
      </c>
      <c r="M84" s="44" t="str" cm="1">
        <f t="array" ref="M84">IF($D84="success",_xlfn.LET(_xlpm.run,$A84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84" s="44"/>
      <c r="O84" s="44" t="str" cm="1">
        <f t="array" ref="O84">IF($G84="success",_xlfn.LET(_xlpm.run,$A84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84" s="44"/>
      <c r="Q84" s="44" t="str">
        <f>_xlfn.LET(_xlpm.t,$A84,_xlpm.s,_xlfn.MINIFS(Event_logs!$E$2:$E$1588,Event_logs!$A$2:$A$1588,_xlpm.t,Event_logs!$H$2:$H$1588,"fine_align_complete"),_xlpm.e,_xlfn.MINIFS(Event_logs!$E$2:$E$1588,Event_logs!$A$2:$A$1588,_xlpm.t,Event_logs!$H$2:$H$1588,"docking sucessfull"),IF(AND(OR($I84="success",$I84="sucess"),_xlpm.s&gt;0,_xlpm.e&gt;_xlpm.s),(_xlpm.e-_xlpm.s)/1000,""))</f>
        <v/>
      </c>
      <c r="R84" s="48" t="str" cm="1">
        <f t="array" ref="R84">IF($D84="success",_xlfn.LET(_xlpm.d,_xlfn.XLOOKUP(1,(Event_logs!$A$2:$A$1588=$A84)*(Event_logs!$H$2:$H$1588="side_align_complete"),Event_logs!$I$2:$I$1588,""),IFERROR(_xlfn.NUMBERVALUE(_xlfn.TEXTBEFORE(_xlfn.TEXTAFTER(_xlpm.d,"error_x=")&amp;" "," "),".",","),"")),"")</f>
        <v/>
      </c>
      <c r="S84" s="48" t="str" cm="1">
        <f t="array" ref="S84">IF(AND($F84="success",$D84="success"),_xlfn.LET(_xlpm.d,_xlfn.XLOOKUP(1,(Event_logs!$A$2:$A$1588=$A84)*(Event_logs!$H$2:$H$1588="side_align_complete"),Event_logs!$I$2:$I$1588,""),IFERROR(_xlfn.NUMBERVALUE(_xlfn.TEXTBEFORE(_xlfn.TEXTAFTER(_xlpm.d,"error_x=")&amp;" "," "),".",","),"")),"")</f>
        <v/>
      </c>
      <c r="T84" s="47" t="str" cm="1">
        <f t="array" ref="T84">IF($D84="success",_xlfn.LET(_xlpm.d,_xlfn.XLOOKUP(1,(Event_logs!$A$2:$A$1588=$A84)*(Event_logs!$H$2:$H$1588="side_align_complete"),Event_logs!$I$2:$I$1588,""),IFERROR(_xlfn.NUMBERVALUE(_xlfn.TEXTBEFORE(_xlfn.TEXTAFTER(_xlpm.d,"yaw_error="),"deg"),".",","),"")),"")</f>
        <v/>
      </c>
      <c r="U84" s="44" t="str" cm="1">
        <f t="array" ref="U84">IF(AND($F84="success",D84="success"),_xlfn.LET(_xlpm.d,_xlfn.XLOOKUP(1,(Event_logs!$A$2:$A$1588=$A84)*(Event_logs!$H$2:$H$1588="side_align_complete"),Event_logs!$I$2:$I$1588,""),IFERROR(_xlfn.NUMBERVALUE(_xlfn.TEXTBEFORE(_xlfn.TEXTAFTER(_xlpm.d,"yaw_error="),"deg"),".",","),"")),"")</f>
        <v/>
      </c>
      <c r="V84" s="44"/>
      <c r="W84" s="44" t="str" cm="1">
        <f t="array" ref="W84">IF(OR($G84="success",$G84="sucess"),_xlfn.LET(_xlpm.d,_xlfn.XLOOKUP(1,(Event_logs!$A$2:$A$1588=$A84)*(Event_logs!$H$2:$H$1588="side_align_complete"),Event_logs!$I$2:$I$1588,""),IFERROR(_xlfn.NUMBERVALUE(_xlfn.TEXTBEFORE(_xlfn.TEXTAFTER(_xlpm.d,"yaw="),"deg"),".",","),"")),"")</f>
        <v/>
      </c>
      <c r="X84" t="str">
        <f>IF(OR($G84="success",$G84="sucess"),_xludf.XLOOKUP(1,(Event_logs!$A$2:$A$1588=$A84)*(Event_logs!$H$2:$H$1588="fine_align_complete"),Event_logs!$I$2:$I$1588,""),"")</f>
        <v/>
      </c>
    </row>
    <row r="85" spans="1:24" x14ac:dyDescent="0.25">
      <c r="A85" s="41">
        <f>IF(Handnotes!$A$61="y",Handnotes!$B$61,"")</f>
        <v>54</v>
      </c>
      <c r="B85" s="41" t="str">
        <f>IF($A85="","",IFERROR(Handnotes!$C$61,""))</f>
        <v>Normal</v>
      </c>
      <c r="C85" t="str">
        <f>IF($A85="","",IFERROR(Handnotes!$D$61,""))</f>
        <v>empty</v>
      </c>
      <c r="D85" s="41" t="str">
        <f>IF($A85="","",IFERROR(Handnotes!$E$61,""))</f>
        <v>success</v>
      </c>
      <c r="E85" s="41" t="str">
        <f>IF($A85="","",IFERROR(Handnotes!$G$61,""))</f>
        <v>correct</v>
      </c>
      <c r="F85" s="41" t="str">
        <f>IF($A85="","",IFERROR(Handnotes!$H$61,""))</f>
        <v>drove</v>
      </c>
      <c r="G85" s="41">
        <f>IF($A85="","",IFERROR(Handnotes!$J$61,""))</f>
        <v>0</v>
      </c>
      <c r="H85" s="41">
        <f>IF($A85="","",IFERROR(Handnotes!$K$61,""))</f>
        <v>0</v>
      </c>
      <c r="I85" s="41">
        <f>IF($A85="","",IFERROR(Handnotes!$M$61,""))</f>
        <v>0</v>
      </c>
      <c r="J85" s="41">
        <f>IF($A85="","",IFERROR(Handnotes!$O$61,""))</f>
        <v>0</v>
      </c>
      <c r="K85" s="41">
        <f>IF($A85="","",IFERROR(Handnotes!$P$61,""))</f>
        <v>0</v>
      </c>
      <c r="L85" s="41">
        <f>IF($A85="","",IFERROR(Handnotes!$Q$61,""))</f>
        <v>0</v>
      </c>
      <c r="M85" s="44" t="str" cm="1">
        <f t="array" ref="M85">IF($D85="success",_xlfn.LET(_xlpm.run,$A85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85" s="44"/>
      <c r="O85" s="44" t="str" cm="1">
        <f t="array" ref="O85">IF($G85="success",_xlfn.LET(_xlpm.run,$A85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85" s="44"/>
      <c r="Q85" s="44" t="str">
        <f>_xlfn.LET(_xlpm.t,$A85,_xlpm.s,_xlfn.MINIFS(Event_logs!$E$2:$E$1588,Event_logs!$A$2:$A$1588,_xlpm.t,Event_logs!$H$2:$H$1588,"fine_align_complete"),_xlpm.e,_xlfn.MINIFS(Event_logs!$E$2:$E$1588,Event_logs!$A$2:$A$1588,_xlpm.t,Event_logs!$H$2:$H$1588,"docking sucessfull"),IF(AND(OR($I85="success",$I85="sucess"),_xlpm.s&gt;0,_xlpm.e&gt;_xlpm.s),(_xlpm.e-_xlpm.s)/1000,""))</f>
        <v/>
      </c>
      <c r="R85" s="48" t="str" cm="1">
        <f t="array" ref="R85">IF($D85="success",_xlfn.LET(_xlpm.d,_xlfn.XLOOKUP(1,(Event_logs!$A$2:$A$1588=$A85)*(Event_logs!$H$2:$H$1588="side_align_complete"),Event_logs!$I$2:$I$1588,""),IFERROR(_xlfn.NUMBERVALUE(_xlfn.TEXTBEFORE(_xlfn.TEXTAFTER(_xlpm.d,"error_x=")&amp;" "," "),".",","),"")),"")</f>
        <v/>
      </c>
      <c r="S85" s="48" t="str" cm="1">
        <f t="array" ref="S85">IF(AND($F85="success",$D85="success"),_xlfn.LET(_xlpm.d,_xlfn.XLOOKUP(1,(Event_logs!$A$2:$A$1588=$A85)*(Event_logs!$H$2:$H$1588="side_align_complete"),Event_logs!$I$2:$I$1588,""),IFERROR(_xlfn.NUMBERVALUE(_xlfn.TEXTBEFORE(_xlfn.TEXTAFTER(_xlpm.d,"error_x=")&amp;" "," "),".",","),"")),"")</f>
        <v/>
      </c>
      <c r="T85" s="47" t="str" cm="1">
        <f t="array" ref="T85">IF($D85="success",_xlfn.LET(_xlpm.d,_xlfn.XLOOKUP(1,(Event_logs!$A$2:$A$1588=$A85)*(Event_logs!$H$2:$H$1588="side_align_complete"),Event_logs!$I$2:$I$1588,""),IFERROR(_xlfn.NUMBERVALUE(_xlfn.TEXTBEFORE(_xlfn.TEXTAFTER(_xlpm.d,"yaw_error="),"deg"),".",","),"")),"")</f>
        <v/>
      </c>
      <c r="U85" s="44" t="str" cm="1">
        <f t="array" ref="U85">IF(AND($F85="success",D85="success"),_xlfn.LET(_xlpm.d,_xlfn.XLOOKUP(1,(Event_logs!$A$2:$A$1588=$A85)*(Event_logs!$H$2:$H$1588="side_align_complete"),Event_logs!$I$2:$I$1588,""),IFERROR(_xlfn.NUMBERVALUE(_xlfn.TEXTBEFORE(_xlfn.TEXTAFTER(_xlpm.d,"yaw_error="),"deg"),".",","),"")),"")</f>
        <v/>
      </c>
      <c r="V85" s="44"/>
      <c r="W85" s="44" t="str" cm="1">
        <f t="array" ref="W85">IF(OR($G85="success",$G85="sucess"),_xlfn.LET(_xlpm.d,_xlfn.XLOOKUP(1,(Event_logs!$A$2:$A$1588=$A85)*(Event_logs!$H$2:$H$1588="side_align_complete"),Event_logs!$I$2:$I$1588,""),IFERROR(_xlfn.NUMBERVALUE(_xlfn.TEXTBEFORE(_xlfn.TEXTAFTER(_xlpm.d,"yaw="),"deg"),".",","),"")),"")</f>
        <v/>
      </c>
      <c r="X85" t="str">
        <f>IF(OR($G85="success",$G85="sucess"),_xludf.XLOOKUP(1,(Event_logs!$A$2:$A$1588=$A85)*(Event_logs!$H$2:$H$1588="fine_align_complete"),Event_logs!$I$2:$I$1588,""),"")</f>
        <v/>
      </c>
    </row>
    <row r="86" spans="1:24" ht="30" x14ac:dyDescent="0.25">
      <c r="A86" s="41">
        <f>IF(Handnotes!$A$62="y",Handnotes!$B$62,"")</f>
        <v>55</v>
      </c>
      <c r="B86" s="41" t="str">
        <f>IF($A86="","",IFERROR(Handnotes!$C$62,""))</f>
        <v>Normal</v>
      </c>
      <c r="C86" t="str">
        <f>IF($A86="","",IFERROR(Handnotes!$D$62,""))</f>
        <v>empty</v>
      </c>
      <c r="D86" s="41" t="str">
        <f>IF($A86="","",IFERROR(Handnotes!$E$62,""))</f>
        <v>success</v>
      </c>
      <c r="E86" s="41" t="str">
        <f>IF($A86="","",IFERROR(Handnotes!$G$62,""))</f>
        <v>correct</v>
      </c>
      <c r="F86" s="41" t="str">
        <f>IF($A86="","",IFERROR(Handnotes!$H$62,""))</f>
        <v>drove</v>
      </c>
      <c r="G86" s="41" t="str">
        <f>IF($A86="","",IFERROR(Handnotes!$J$62,""))</f>
        <v>2nd cmd charging</v>
      </c>
      <c r="H86" s="41">
        <f>IF($A86="","",IFERROR(Handnotes!$K$62,""))</f>
        <v>0</v>
      </c>
      <c r="I86" s="41">
        <f>IF($A86="","",IFERROR(Handnotes!$M$62,""))</f>
        <v>0</v>
      </c>
      <c r="J86" s="41">
        <f>IF($A86="","",IFERROR(Handnotes!$O$62,""))</f>
        <v>0</v>
      </c>
      <c r="K86" s="41">
        <f>IF($A86="","",IFERROR(Handnotes!$P$62,""))</f>
        <v>0</v>
      </c>
      <c r="L86" s="41">
        <f>IF($A86="","",IFERROR(Handnotes!$Q$62,""))</f>
        <v>0</v>
      </c>
      <c r="M86" s="44" cm="1">
        <f t="array" ref="M86">IF($D86="success",_xlfn.LET(_xlpm.run,$A86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24.02</v>
      </c>
      <c r="N86" s="44"/>
      <c r="O86" s="44" t="str" cm="1">
        <f t="array" ref="O86">IF($G86="success",_xlfn.LET(_xlpm.run,$A86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86" s="44"/>
      <c r="Q86" s="44" t="str">
        <f>_xlfn.LET(_xlpm.t,$A86,_xlpm.s,_xlfn.MINIFS(Event_logs!$E$2:$E$1588,Event_logs!$A$2:$A$1588,_xlpm.t,Event_logs!$H$2:$H$1588,"fine_align_complete"),_xlpm.e,_xlfn.MINIFS(Event_logs!$E$2:$E$1588,Event_logs!$A$2:$A$1588,_xlpm.t,Event_logs!$H$2:$H$1588,"docking sucessfull"),IF(AND(OR($I86="success",$I86="sucess"),_xlpm.s&gt;0,_xlpm.e&gt;_xlpm.s),(_xlpm.e-_xlpm.s)/1000,""))</f>
        <v/>
      </c>
      <c r="R86" s="48" cm="1">
        <f t="array" ref="R86">IF($D86="success",_xlfn.LET(_xlpm.d,_xlfn.XLOOKUP(1,(Event_logs!$A$2:$A$1588=$A86)*(Event_logs!$H$2:$H$1588="side_align_complete"),Event_logs!$I$2:$I$1588,""),IFERROR(_xlfn.NUMBERVALUE(_xlfn.TEXTBEFORE(_xlfn.TEXTAFTER(_xlpm.d,"error_x=")&amp;" "," "),".",","),"")),"")</f>
        <v>-5.9999999999999995E-4</v>
      </c>
      <c r="S86" s="48" t="str" cm="1">
        <f t="array" ref="S86">IF(AND($F86="success",$D86="success"),_xlfn.LET(_xlpm.d,_xlfn.XLOOKUP(1,(Event_logs!$A$2:$A$1588=$A86)*(Event_logs!$H$2:$H$1588="side_align_complete"),Event_logs!$I$2:$I$1588,""),IFERROR(_xlfn.NUMBERVALUE(_xlfn.TEXTBEFORE(_xlfn.TEXTAFTER(_xlpm.d,"error_x=")&amp;" "," "),".",","),"")),"")</f>
        <v/>
      </c>
      <c r="T86" s="47" cm="1">
        <f t="array" ref="T86">IF($D86="success",_xlfn.LET(_xlpm.d,_xlfn.XLOOKUP(1,(Event_logs!$A$2:$A$1588=$A86)*(Event_logs!$H$2:$H$1588="side_align_complete"),Event_logs!$I$2:$I$1588,""),IFERROR(_xlfn.NUMBERVALUE(_xlfn.TEXTBEFORE(_xlfn.TEXTAFTER(_xlpm.d,"yaw_error="),"deg"),".",","),"")),"")</f>
        <v>-0.14000000000000001</v>
      </c>
      <c r="U86" s="44" t="str" cm="1">
        <f t="array" ref="U86">IF(AND($F86="success",D86="success"),_xlfn.LET(_xlpm.d,_xlfn.XLOOKUP(1,(Event_logs!$A$2:$A$1588=$A86)*(Event_logs!$H$2:$H$1588="side_align_complete"),Event_logs!$I$2:$I$1588,""),IFERROR(_xlfn.NUMBERVALUE(_xlfn.TEXTBEFORE(_xlfn.TEXTAFTER(_xlpm.d,"yaw_error="),"deg"),".",","),"")),"")</f>
        <v/>
      </c>
      <c r="V86" s="44"/>
      <c r="W86" s="44" t="str" cm="1">
        <f t="array" ref="W86">IF(OR($G86="success",$G86="sucess"),_xlfn.LET(_xlpm.d,_xlfn.XLOOKUP(1,(Event_logs!$A$2:$A$1588=$A86)*(Event_logs!$H$2:$H$1588="side_align_complete"),Event_logs!$I$2:$I$1588,""),IFERROR(_xlfn.NUMBERVALUE(_xlfn.TEXTBEFORE(_xlfn.TEXTAFTER(_xlpm.d,"yaw="),"deg"),".",","),"")),"")</f>
        <v/>
      </c>
      <c r="X86" t="str">
        <f>IF(OR($G86="success",$G86="sucess"),_xludf.XLOOKUP(1,(Event_logs!$A$2:$A$1588=$A86)*(Event_logs!$H$2:$H$1588="fine_align_complete"),Event_logs!$I$2:$I$1588,""),"")</f>
        <v/>
      </c>
    </row>
    <row r="87" spans="1:24" ht="30" x14ac:dyDescent="0.25">
      <c r="A87" s="41">
        <f>IF(Handnotes!$A$63="y",Handnotes!$B$63,"")</f>
        <v>56</v>
      </c>
      <c r="B87" s="41" t="str">
        <f>IF($A87="","",IFERROR(Handnotes!$C$63,""))</f>
        <v>Normal</v>
      </c>
      <c r="C87" t="str">
        <f>IF($A87="","",IFERROR(Handnotes!$D$63,""))</f>
        <v>empty</v>
      </c>
      <c r="D87" s="41" t="str">
        <f>IF($A87="","",IFERROR(Handnotes!$E$63,""))</f>
        <v>success</v>
      </c>
      <c r="E87" s="41" t="str">
        <f>IF($A87="","",IFERROR(Handnotes!$G$63,""))</f>
        <v>nothing detected</v>
      </c>
      <c r="F87" s="41" t="str">
        <f>IF($A87="","",IFERROR(Handnotes!$H$63,""))</f>
        <v>drove</v>
      </c>
      <c r="G87" s="41" t="str">
        <f>IF($A87="","",IFERROR(Handnotes!$J$63,""))</f>
        <v>2nd cmd charging</v>
      </c>
      <c r="H87" s="41">
        <f>IF($A87="","",IFERROR(Handnotes!$K$63,""))</f>
        <v>0</v>
      </c>
      <c r="I87" s="41">
        <f>IF($A87="","",IFERROR(Handnotes!$M$63,""))</f>
        <v>0</v>
      </c>
      <c r="J87" s="41">
        <f>IF($A87="","",IFERROR(Handnotes!$O$63,""))</f>
        <v>0</v>
      </c>
      <c r="K87" s="41">
        <f>IF($A87="","",IFERROR(Handnotes!$P$63,""))</f>
        <v>0</v>
      </c>
      <c r="L87" s="41">
        <f>IF($A87="","",IFERROR(Handnotes!$Q$63,""))</f>
        <v>0</v>
      </c>
      <c r="M87" s="44" t="str" cm="1">
        <f t="array" ref="M87">IF($D87="success",_xlfn.LET(_xlpm.run,$A87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N87" s="44"/>
      <c r="O87" s="44" t="str" cm="1">
        <f t="array" ref="O87">IF($G87="success",_xlfn.LET(_xlpm.run,$A87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87" s="44"/>
      <c r="Q87" s="44" t="str">
        <f>_xlfn.LET(_xlpm.t,$A87,_xlpm.s,_xlfn.MINIFS(Event_logs!$E$2:$E$1588,Event_logs!$A$2:$A$1588,_xlpm.t,Event_logs!$H$2:$H$1588,"fine_align_complete"),_xlpm.e,_xlfn.MINIFS(Event_logs!$E$2:$E$1588,Event_logs!$A$2:$A$1588,_xlpm.t,Event_logs!$H$2:$H$1588,"docking sucessfull"),IF(AND(OR($I87="success",$I87="sucess"),_xlpm.s&gt;0,_xlpm.e&gt;_xlpm.s),(_xlpm.e-_xlpm.s)/1000,""))</f>
        <v/>
      </c>
      <c r="R87" s="48" t="str" cm="1">
        <f t="array" ref="R87">IF($D87="success",_xlfn.LET(_xlpm.d,_xlfn.XLOOKUP(1,(Event_logs!$A$2:$A$1588=$A87)*(Event_logs!$H$2:$H$1588="side_align_complete"),Event_logs!$I$2:$I$1588,""),IFERROR(_xlfn.NUMBERVALUE(_xlfn.TEXTBEFORE(_xlfn.TEXTAFTER(_xlpm.d,"error_x=")&amp;" "," "),".",","),"")),"")</f>
        <v/>
      </c>
      <c r="S87" s="48" t="str" cm="1">
        <f t="array" ref="S87">IF(AND($F87="success",$D87="success"),_xlfn.LET(_xlpm.d,_xlfn.XLOOKUP(1,(Event_logs!$A$2:$A$1588=$A87)*(Event_logs!$H$2:$H$1588="side_align_complete"),Event_logs!$I$2:$I$1588,""),IFERROR(_xlfn.NUMBERVALUE(_xlfn.TEXTBEFORE(_xlfn.TEXTAFTER(_xlpm.d,"error_x=")&amp;" "," "),".",","),"")),"")</f>
        <v/>
      </c>
      <c r="T87" s="47" t="str" cm="1">
        <f t="array" ref="T87">IF($D87="success",_xlfn.LET(_xlpm.d,_xlfn.XLOOKUP(1,(Event_logs!$A$2:$A$1588=$A87)*(Event_logs!$H$2:$H$1588="side_align_complete"),Event_logs!$I$2:$I$1588,""),IFERROR(_xlfn.NUMBERVALUE(_xlfn.TEXTBEFORE(_xlfn.TEXTAFTER(_xlpm.d,"yaw_error="),"deg"),".",","),"")),"")</f>
        <v/>
      </c>
      <c r="U87" s="44" t="str" cm="1">
        <f t="array" ref="U87">IF(AND($F87="success",D87="success"),_xlfn.LET(_xlpm.d,_xlfn.XLOOKUP(1,(Event_logs!$A$2:$A$1588=$A87)*(Event_logs!$H$2:$H$1588="side_align_complete"),Event_logs!$I$2:$I$1588,""),IFERROR(_xlfn.NUMBERVALUE(_xlfn.TEXTBEFORE(_xlfn.TEXTAFTER(_xlpm.d,"yaw_error="),"deg"),".",","),"")),"")</f>
        <v/>
      </c>
      <c r="V87" s="44"/>
      <c r="W87" s="44" t="str">
        <f>IF(OR($G87="success",$G87="sucess"),_xludf.LET(d,_xludf.XLOOKUP(1,(Event_logs!$A$2:$A$1588=$A87)*(Event_logs!$H$2:$H$1588="fine_align_complete"),Event_logs!$I$2:$I$1588,""),IFERROR(--_xludf.TEXTBEFORE(_xludf.TEXTAFTER(d,"yaw="),"deg"),"")),"")</f>
        <v/>
      </c>
      <c r="X87" t="str">
        <f>IF(OR($G87="success",$G87="sucess"),_xludf.XLOOKUP(1,(Event_logs!$A$2:$A$1588=$A87)*(Event_logs!$H$2:$H$1588="fine_align_complete"),Event_logs!$I$2:$I$1588,""),"")</f>
        <v/>
      </c>
    </row>
    <row r="88" spans="1:24" x14ac:dyDescent="0.25">
      <c r="A88" s="41">
        <f>IF(Handnotes!$A$64="y",Handnotes!$B$64,"")</f>
        <v>57</v>
      </c>
      <c r="B88" s="41" t="str">
        <f>IF($A88="","",IFERROR(Handnotes!$C$64,""))</f>
        <v>Flipped 180 deg</v>
      </c>
      <c r="C88" t="str">
        <f>IF($A88="","",IFERROR(Handnotes!$D$64,""))</f>
        <v>empty</v>
      </c>
      <c r="D88" s="41" t="str">
        <f>IF($A88="","",IFERROR(Handnotes!$E$64,""))</f>
        <v>success</v>
      </c>
      <c r="E88" s="41" t="str">
        <f>IF($A88="","",IFERROR(Handnotes!$G$64,""))</f>
        <v>correct</v>
      </c>
      <c r="F88" s="41" t="str">
        <f>IF($A88="","",IFERROR(Handnotes!$H$64,""))</f>
        <v>drove</v>
      </c>
      <c r="G88" s="41">
        <f>IF($A88="","",IFERROR(Handnotes!$J$64,""))</f>
        <v>0</v>
      </c>
      <c r="H88" s="41">
        <f>IF($A88="","",IFERROR(Handnotes!$K$64,""))</f>
        <v>0</v>
      </c>
      <c r="I88" s="41">
        <f>IF($A88="","",IFERROR(Handnotes!$M$64,""))</f>
        <v>0</v>
      </c>
      <c r="J88" s="41">
        <f>IF($A88="","",IFERROR(Handnotes!$O$64,""))</f>
        <v>0</v>
      </c>
      <c r="K88" s="41">
        <f>IF($A88="","",IFERROR(Handnotes!$P$64,""))</f>
        <v>0</v>
      </c>
      <c r="L88" s="41">
        <f>IF($A88="","",IFERROR(Handnotes!$Q$64,""))</f>
        <v>0</v>
      </c>
      <c r="M88" s="44" cm="1">
        <f t="array" ref="M88">IF($D88="success",_xlfn.LET(_xlpm.run,$A88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27.463999999999999</v>
      </c>
      <c r="N88" s="44"/>
      <c r="O88" s="44" t="str" cm="1">
        <f t="array" ref="O88">IF($G88="success",_xlfn.LET(_xlpm.run,$A88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88" s="44"/>
      <c r="Q88" s="44" t="str">
        <f>_xlfn.LET(_xlpm.t,$A88,_xlpm.s,_xlfn.MINIFS(Event_logs!$E$2:$E$1588,Event_logs!$A$2:$A$1588,_xlpm.t,Event_logs!$H$2:$H$1588,"fine_align_complete"),_xlpm.e,_xlfn.MINIFS(Event_logs!$E$2:$E$1588,Event_logs!$A$2:$A$1588,_xlpm.t,Event_logs!$H$2:$H$1588,"docking sucessfull"),IF(AND(OR($I88="success",$I88="sucess"),_xlpm.s&gt;0,_xlpm.e&gt;_xlpm.s),(_xlpm.e-_xlpm.s)/1000,""))</f>
        <v/>
      </c>
      <c r="R88" s="48" cm="1">
        <f t="array" ref="R88">IF($D88="success",_xlfn.LET(_xlpm.d,_xlfn.XLOOKUP(1,(Event_logs!$A$2:$A$1588=$A88)*(Event_logs!$H$2:$H$1588="side_align_complete"),Event_logs!$I$2:$I$1588,""),IFERROR(_xlfn.NUMBERVALUE(_xlfn.TEXTBEFORE(_xlfn.TEXTAFTER(_xlpm.d,"error_x=")&amp;" "," "),".",","),"")),"")</f>
        <v>-2E-3</v>
      </c>
      <c r="S88" s="48" t="str" cm="1">
        <f t="array" ref="S88">IF(AND($F88="success",$D88="success"),_xlfn.LET(_xlpm.d,_xlfn.XLOOKUP(1,(Event_logs!$A$2:$A$1588=$A88)*(Event_logs!$H$2:$H$1588="side_align_complete"),Event_logs!$I$2:$I$1588,""),IFERROR(_xlfn.NUMBERVALUE(_xlfn.TEXTBEFORE(_xlfn.TEXTAFTER(_xlpm.d,"error_x=")&amp;" "," "),".",","),"")),"")</f>
        <v/>
      </c>
      <c r="T88" s="47" cm="1">
        <f t="array" ref="T88">IF($D88="success",_xlfn.LET(_xlpm.d,_xlfn.XLOOKUP(1,(Event_logs!$A$2:$A$1588=$A88)*(Event_logs!$H$2:$H$1588="side_align_complete"),Event_logs!$I$2:$I$1588,""),IFERROR(_xlfn.NUMBERVALUE(_xlfn.TEXTBEFORE(_xlfn.TEXTAFTER(_xlpm.d,"yaw_error="),"deg"),".",","),"")),"")</f>
        <v>-0.92</v>
      </c>
      <c r="U88" s="44" t="str" cm="1">
        <f t="array" ref="U88">IF(AND($F88="success",D88="success"),_xlfn.LET(_xlpm.d,_xlfn.XLOOKUP(1,(Event_logs!$A$2:$A$1588=$A88)*(Event_logs!$H$2:$H$1588="side_align_complete"),Event_logs!$I$2:$I$1588,""),IFERROR(_xlfn.NUMBERVALUE(_xlfn.TEXTBEFORE(_xlfn.TEXTAFTER(_xlpm.d,"yaw_error="),"deg"),".",","),"")),"")</f>
        <v/>
      </c>
      <c r="V88" s="44"/>
      <c r="W88" s="44" t="str">
        <f>IF(OR($G88="success",$G88="sucess"),_xludf.LET(d,_xludf.XLOOKUP(1,(Event_logs!$A$2:$A$1588=$A88)*(Event_logs!$H$2:$H$1588="fine_align_complete"),Event_logs!$I$2:$I$1588,""),IFERROR(--_xludf.TEXTBEFORE(_xludf.TEXTAFTER(d,"yaw="),"deg"),"")),"")</f>
        <v/>
      </c>
      <c r="X88" t="str">
        <f>IF(OR($G88="success",$G88="sucess"),_xludf.XLOOKUP(1,(Event_logs!$A$2:$A$1588=$A88)*(Event_logs!$H$2:$H$1588="fine_align_complete"),Event_logs!$I$2:$I$1588,""),"")</f>
        <v/>
      </c>
    </row>
    <row r="89" spans="1:24" x14ac:dyDescent="0.25">
      <c r="A89" s="41">
        <f>IF(Handnotes!$A$65="y",Handnotes!$B$65,"")</f>
        <v>58</v>
      </c>
      <c r="B89" s="41" t="str">
        <f>IF($A89="","",IFERROR(Handnotes!$C$65,""))</f>
        <v>Flipped 180 deg</v>
      </c>
      <c r="C89" t="str">
        <f>IF($A89="","",IFERROR(Handnotes!$D$65,""))</f>
        <v>empty</v>
      </c>
      <c r="D89" s="41" t="str">
        <f>IF($A89="","",IFERROR(Handnotes!$E$65,""))</f>
        <v>success</v>
      </c>
      <c r="E89" s="41" t="str">
        <f>IF($A89="","",IFERROR(Handnotes!$G$65,""))</f>
        <v>correct</v>
      </c>
      <c r="F89" s="41" t="str">
        <f>IF($A89="","",IFERROR(Handnotes!$H$65,""))</f>
        <v>drove</v>
      </c>
      <c r="G89" s="41">
        <f>IF($A89="","",IFERROR(Handnotes!$J$65,""))</f>
        <v>0</v>
      </c>
      <c r="H89" s="41">
        <f>IF($A89="","",IFERROR(Handnotes!$K$65,""))</f>
        <v>0</v>
      </c>
      <c r="I89" s="41">
        <f>IF($A89="","",IFERROR(Handnotes!$M$65,""))</f>
        <v>0</v>
      </c>
      <c r="J89" s="41">
        <f>IF($A89="","",IFERROR(Handnotes!$O$65,""))</f>
        <v>0</v>
      </c>
      <c r="K89" s="41">
        <f>IF($A89="","",IFERROR(Handnotes!$P$65,""))</f>
        <v>0</v>
      </c>
      <c r="L89" s="41">
        <f>IF($A89="","",IFERROR(Handnotes!$Q$65,""))</f>
        <v>0</v>
      </c>
      <c r="M89" s="44" cm="1">
        <f t="array" ref="M89">IF($D89="success",_xlfn.LET(_xlpm.run,$A89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9.7010000000000005</v>
      </c>
      <c r="N89" s="44"/>
      <c r="O89" s="44" t="str" cm="1">
        <f t="array" ref="O89">IF($G89="success",_xlfn.LET(_xlpm.run,$A89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89" s="44"/>
      <c r="Q89" s="44" t="str">
        <f>_xlfn.LET(_xlpm.t,$A89,_xlpm.s,_xlfn.MINIFS(Event_logs!$E$2:$E$1588,Event_logs!$A$2:$A$1588,_xlpm.t,Event_logs!$H$2:$H$1588,"fine_align_complete"),_xlpm.e,_xlfn.MINIFS(Event_logs!$E$2:$E$1588,Event_logs!$A$2:$A$1588,_xlpm.t,Event_logs!$H$2:$H$1588,"docking sucessfull"),IF(AND(OR($I89="success",$I89="sucess"),_xlpm.s&gt;0,_xlpm.e&gt;_xlpm.s),(_xlpm.e-_xlpm.s)/1000,""))</f>
        <v/>
      </c>
      <c r="R89" s="48" cm="1">
        <f t="array" ref="R89">IF($D89="success",_xlfn.LET(_xlpm.d,_xlfn.XLOOKUP(1,(Event_logs!$A$2:$A$1588=$A89)*(Event_logs!$H$2:$H$1588="side_align_complete"),Event_logs!$I$2:$I$1588,""),IFERROR(_xlfn.NUMBERVALUE(_xlfn.TEXTBEFORE(_xlfn.TEXTAFTER(_xlpm.d,"error_x=")&amp;" "," "),".",","),"")),"")</f>
        <v>2.9999999999999997E-4</v>
      </c>
      <c r="S89" s="48" t="str" cm="1">
        <f t="array" ref="S89">IF(AND($F89="success",$D89="success"),_xlfn.LET(_xlpm.d,_xlfn.XLOOKUP(1,(Event_logs!$A$2:$A$1588=$A89)*(Event_logs!$H$2:$H$1588="side_align_complete"),Event_logs!$I$2:$I$1588,""),IFERROR(_xlfn.NUMBERVALUE(_xlfn.TEXTBEFORE(_xlfn.TEXTAFTER(_xlpm.d,"error_x=")&amp;" "," "),".",","),"")),"")</f>
        <v/>
      </c>
      <c r="T89" s="47" cm="1">
        <f t="array" ref="T89">IF($D89="success",_xlfn.LET(_xlpm.d,_xlfn.XLOOKUP(1,(Event_logs!$A$2:$A$1588=$A89)*(Event_logs!$H$2:$H$1588="side_align_complete"),Event_logs!$I$2:$I$1588,""),IFERROR(_xlfn.NUMBERVALUE(_xlfn.TEXTBEFORE(_xlfn.TEXTAFTER(_xlpm.d,"yaw_error="),"deg"),".",","),"")),"")</f>
        <v>0.41</v>
      </c>
      <c r="U89" s="44" t="str" cm="1">
        <f t="array" ref="U89">IF(AND($F89="success",D89="success"),_xlfn.LET(_xlpm.d,_xlfn.XLOOKUP(1,(Event_logs!$A$2:$A$1588=$A89)*(Event_logs!$H$2:$H$1588="side_align_complete"),Event_logs!$I$2:$I$1588,""),IFERROR(_xlfn.NUMBERVALUE(_xlfn.TEXTBEFORE(_xlfn.TEXTAFTER(_xlpm.d,"yaw_error="),"deg"),".",","),"")),"")</f>
        <v/>
      </c>
      <c r="V89" s="44"/>
      <c r="W89" s="44" t="str">
        <f>IF(OR($G89="success",$G89="sucess"),_xludf.LET(d,_xludf.XLOOKUP(1,(Event_logs!$A$2:$A$1588=$A89)*(Event_logs!$H$2:$H$1588="fine_align_complete"),Event_logs!$I$2:$I$1588,""),IFERROR(--_xludf.TEXTBEFORE(_xludf.TEXTAFTER(d,"yaw="),"deg"),"")),"")</f>
        <v/>
      </c>
      <c r="X89" t="str">
        <f>IF(OR($G89="success",$G89="sucess"),_xludf.XLOOKUP(1,(Event_logs!$A$2:$A$1588=$A89)*(Event_logs!$H$2:$H$1588="fine_align_complete"),Event_logs!$I$2:$I$1588,""),"")</f>
        <v/>
      </c>
    </row>
    <row r="90" spans="1:24" ht="30" x14ac:dyDescent="0.25">
      <c r="A90" s="41">
        <f>IF(Handnotes!$A$66="y",Handnotes!$B$66,"")</f>
        <v>59</v>
      </c>
      <c r="B90" s="41" t="str">
        <f>IF($A90="","",IFERROR(Handnotes!$C$66,""))</f>
        <v>Flipped 180 deg</v>
      </c>
      <c r="C90" t="str">
        <f>IF($A90="","",IFERROR(Handnotes!$D$66,""))</f>
        <v>empty</v>
      </c>
      <c r="D90" s="41" t="str">
        <f>IF($A90="","",IFERROR(Handnotes!$E$66,""))</f>
        <v>success</v>
      </c>
      <c r="E90" s="41" t="str">
        <f>IF($A90="","",IFERROR(Handnotes!$G$66,""))</f>
        <v>correct</v>
      </c>
      <c r="F90" s="41" t="str">
        <f>IF($A90="","",IFERROR(Handnotes!$H$66,""))</f>
        <v>drove</v>
      </c>
      <c r="G90" s="41" t="str">
        <f>IF($A90="","",IFERROR(Handnotes!$J$66,""))</f>
        <v>2nd cmd charging</v>
      </c>
      <c r="H90" s="41">
        <f>IF($A90="","",IFERROR(Handnotes!$K$66,""))</f>
        <v>0</v>
      </c>
      <c r="I90" s="41">
        <f>IF($A90="","",IFERROR(Handnotes!$M$66,""))</f>
        <v>0</v>
      </c>
      <c r="J90" s="41">
        <f>IF($A90="","",IFERROR(Handnotes!$O$66,""))</f>
        <v>0</v>
      </c>
      <c r="K90" s="41">
        <f>IF($A90="","",IFERROR(Handnotes!$P$66,""))</f>
        <v>0</v>
      </c>
      <c r="L90" s="41">
        <f>IF($A90="","",IFERROR(Handnotes!$Q$66,""))</f>
        <v>0</v>
      </c>
      <c r="M90" s="44" cm="1">
        <f t="array" ref="M90">IF($D90="success",_xlfn.LET(_xlpm.run,$A90,_xlpm.start_cmd,IFERROR(_xlfn.XLOOKUP(1,(Event_logs!$A$2:$A$1588=_xlpm.run)*(Event_logs!$F$2:$F$1588="command")*(Event_logs!$G$2:$G$1588="trolley_command")*(Event_logs!$H$2:$H$1588="side_align"),Event_logs!$E$2:$E$1588),""),_xlpm.start_fb,IFERROR(_xlfn.XLOOKUP(1,(Event_logs!$A$2:$A$1588=_xlpm.run)*(Event_logs!$F$2:$F$1588="dropzone_status")*ISNUMBER(SEARCH("sid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side_align_complete")*ISNUMBER(SEARCH("side_align_left_done",Event_logs!$I$2:$I$1588)),Event_logs!$E$2:$E$1588),""),_xlpm.diff,_xlpm.ende-_xlpm.start,_xlpm.sek,IF(_xlpm.diff&gt;1000,_xlpm.diff/1000,_xlpm.diff),IFERROR(IF(AND(_xlpm.start&lt;&gt;"",_xlpm.ende&lt;&gt;"",_xlpm.sek&gt;=0),_xlpm.sek,""),"")),"")</f>
        <v>10.308999999999999</v>
      </c>
      <c r="N90" s="44"/>
      <c r="O90" s="44" t="str" cm="1">
        <f t="array" ref="O90">IF($G90="success",_xlfn.LET(_xlpm.run,$A90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90" s="44"/>
      <c r="Q90" s="44"/>
      <c r="R90" s="48" cm="1">
        <f t="array" ref="R90">IF($D90="success",_xlfn.LET(_xlpm.d,_xlfn.XLOOKUP(1,(Event_logs!$A$2:$A$1588=$A90)*(Event_logs!$H$2:$H$1588="side_align_complete"),Event_logs!$I$2:$I$1588,""),IFERROR(_xlfn.NUMBERVALUE(_xlfn.TEXTBEFORE(_xlfn.TEXTAFTER(_xlpm.d,"error_x=")&amp;" "," "),".",","),"")),"")</f>
        <v>-2.2000000000000001E-3</v>
      </c>
      <c r="S90" s="48" t="str" cm="1">
        <f t="array" ref="S90">IF(AND($F90="success",$D90="success"),_xlfn.LET(_xlpm.d,_xlfn.XLOOKUP(1,(Event_logs!$A$2:$A$1588=$A90)*(Event_logs!$H$2:$H$1588="side_align_complete"),Event_logs!$I$2:$I$1588,""),IFERROR(_xlfn.NUMBERVALUE(_xlfn.TEXTBEFORE(_xlfn.TEXTAFTER(_xlpm.d,"error_x=")&amp;" "," "),".",","),"")),"")</f>
        <v/>
      </c>
      <c r="T90" s="47" cm="1">
        <f t="array" ref="T90">IF($D90="success",_xlfn.LET(_xlpm.d,_xlfn.XLOOKUP(1,(Event_logs!$A$2:$A$1588=$A90)*(Event_logs!$H$2:$H$1588="side_align_complete"),Event_logs!$I$2:$I$1588,""),IFERROR(_xlfn.NUMBERVALUE(_xlfn.TEXTBEFORE(_xlfn.TEXTAFTER(_xlpm.d,"yaw_error="),"deg"),".",","),"")),"")</f>
        <v>0.62</v>
      </c>
      <c r="U90" s="44" t="str" cm="1">
        <f t="array" ref="U90">IF(AND($F90="success",D90="success"),_xlfn.LET(_xlpm.d,_xlfn.XLOOKUP(1,(Event_logs!$A$2:$A$1588=$A90)*(Event_logs!$H$2:$H$1588="side_align_complete"),Event_logs!$I$2:$I$1588,""),IFERROR(_xlfn.NUMBERVALUE(_xlfn.TEXTBEFORE(_xlfn.TEXTAFTER(_xlpm.d,"yaw_error="),"deg"),".",","),"")),"")</f>
        <v/>
      </c>
      <c r="V90" s="44"/>
      <c r="W90" s="44" t="str">
        <f>IF(OR($G90="success",$G90="sucess"),_xludf.LET(d,_xludf.XLOOKUP(1,(Event_logs!$A$2:$A$1588=$A90)*(Event_logs!$H$2:$H$1588="fine_align_complete"),Event_logs!$I$2:$I$1588,""),IFERROR(--_xludf.TEXTBEFORE(_xludf.TEXTAFTER(d,"yaw="),"deg"),"")),"")</f>
        <v/>
      </c>
      <c r="X90" t="str">
        <f>IF(OR($G90="success",$G90="sucess"),_xludf.XLOOKUP(1,(Event_logs!$A$2:$A$1588=$A90)*(Event_logs!$H$2:$H$1588="fine_align_complete"),Event_logs!$I$2:$I$1588,""),"")</f>
        <v/>
      </c>
    </row>
    <row r="91" spans="1:24" x14ac:dyDescent="0.25">
      <c r="A91" s="41" t="str">
        <f>IF(Handnotes!$A$67="y",Handnotes!$B$67,"")</f>
        <v/>
      </c>
      <c r="B91" s="41" t="str">
        <f>IF($A91="","",IFERROR(Handnotes!$C$67,""))</f>
        <v/>
      </c>
      <c r="C91" t="str">
        <f>IF($A91="","",IFERROR(Handnotes!$D$67,""))</f>
        <v/>
      </c>
      <c r="D91" s="41" t="str">
        <f>IF($A91="","",IFERROR(Handnotes!$E$67,""))</f>
        <v/>
      </c>
      <c r="E91" s="41" t="str">
        <f>IF($A91="","",IFERROR(Handnotes!$G$67,""))</f>
        <v/>
      </c>
      <c r="F91" s="41" t="str">
        <f>IF($A91="","",IFERROR(Handnotes!$H$67,""))</f>
        <v/>
      </c>
      <c r="G91" s="41" t="str">
        <f>IF($A91="","",IFERROR(Handnotes!$J$67,""))</f>
        <v/>
      </c>
      <c r="H91" s="41" t="str">
        <f>IF($A91="","",IFERROR(Handnotes!$K$67,""))</f>
        <v/>
      </c>
      <c r="I91" s="41" t="str">
        <f>IF($A91="","",IFERROR(Handnotes!$M$67,""))</f>
        <v/>
      </c>
      <c r="J91" s="41" t="str">
        <f>IF($A91="","",IFERROR(Handnotes!$O$67,""))</f>
        <v/>
      </c>
      <c r="K91" s="41" t="str">
        <f>IF($A91="","",IFERROR(Handnotes!$P$67,""))</f>
        <v/>
      </c>
      <c r="L91" s="41" t="str">
        <f>IF($A91="","",IFERROR(Handnotes!$Q$67,""))</f>
        <v/>
      </c>
      <c r="M91" s="44"/>
      <c r="N91" s="44"/>
      <c r="O91" s="44" t="str" cm="1">
        <f t="array" ref="O91">IF($G91="success",_xlfn.LET(_xlpm.run,$A91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91" s="44"/>
      <c r="Q91" s="44"/>
      <c r="R91" s="48" t="str" cm="1">
        <f t="array" ref="R91">IF($D91="success",_xlfn.LET(_xlpm.d,_xlfn.XLOOKUP(1,(Event_logs!$A$2:$A$1588=$A91)*(Event_logs!$H$2:$H$1588="side_align_complete"),Event_logs!$I$2:$I$1588,""),IFERROR(_xlfn.NUMBERVALUE(_xlfn.TEXTBEFORE(_xlfn.TEXTAFTER(_xlpm.d,"error_x=")&amp;" "," "),".",","),"")),"")</f>
        <v/>
      </c>
      <c r="S91" s="48" t="str" cm="1">
        <f t="array" ref="S91">IF(AND($F91="success",$D91="success"),_xlfn.LET(_xlpm.d,_xlfn.XLOOKUP(1,(Event_logs!$A$2:$A$1588=$A91)*(Event_logs!$H$2:$H$1588="side_align_complete"),Event_logs!$I$2:$I$1588,""),IFERROR(_xlfn.NUMBERVALUE(_xlfn.TEXTBEFORE(_xlfn.TEXTAFTER(_xlpm.d,"error_x=")&amp;" "," "),".",","),"")),"")</f>
        <v/>
      </c>
      <c r="T91" s="44" t="str">
        <f>IF(OR($G91="success",$G91="sucess"),_xludf.LET(d,_xludf.XLOOKUP(1,(Event_logs!$A$2:$A$1588=$A91)*(Event_logs!$H$2:$H$1588="fine_align_complete"),Event_logs!$I$2:$I$1588,""),IFERROR(--_xludf.TEXTBEFORE(_xludf.TEXTAFTER(d,"center_x=")," "),"")),"")</f>
        <v/>
      </c>
      <c r="U91" s="44" t="str" cm="1">
        <f t="array" ref="U91">IF(AND($F91="success",D91="success"),_xlfn.LET(_xlpm.d,_xlfn.XLOOKUP(1,(Event_logs!$A$2:$A$1588=$A91)*(Event_logs!$H$2:$H$1588="side_align_complete"),Event_logs!$I$2:$I$1588,""),IFERROR(_xlfn.NUMBERVALUE(_xlfn.TEXTBEFORE(_xlfn.TEXTAFTER(_xlpm.d,"yaw_error="),"deg"),".",","),"")),"")</f>
        <v/>
      </c>
      <c r="V91" s="44"/>
      <c r="W91" s="44" t="str">
        <f>IF(OR($G91="success",$G91="sucess"),_xludf.LET(d,_xludf.XLOOKUP(1,(Event_logs!$A$2:$A$1588=$A91)*(Event_logs!$H$2:$H$1588="fine_align_complete"),Event_logs!$I$2:$I$1588,""),IFERROR(--_xludf.TEXTBEFORE(_xludf.TEXTAFTER(d,"yaw="),"deg"),"")),"")</f>
        <v/>
      </c>
      <c r="X91" t="str">
        <f>IF(OR($G91="success",$G91="sucess"),_xludf.XLOOKUP(1,(Event_logs!$A$2:$A$1588=$A91)*(Event_logs!$H$2:$H$1588="fine_align_complete"),Event_logs!$I$2:$I$1588,""),"")</f>
        <v/>
      </c>
    </row>
    <row r="92" spans="1:24" x14ac:dyDescent="0.25">
      <c r="A92" s="41" t="str">
        <f>IF(Handnotes!$A$68="y",Handnotes!$B$68,"")</f>
        <v/>
      </c>
      <c r="B92" s="41" t="str">
        <f>IF($A92="","",IFERROR(Handnotes!$C$68,""))</f>
        <v/>
      </c>
      <c r="C92" t="str">
        <f>IF($A92="","",IFERROR(Handnotes!$D$68,""))</f>
        <v/>
      </c>
      <c r="D92" s="41" t="str">
        <f>IF($A92="","",IFERROR(Handnotes!$E$68,""))</f>
        <v/>
      </c>
      <c r="E92" s="41" t="str">
        <f>IF($A92="","",IFERROR(Handnotes!$G$68,""))</f>
        <v/>
      </c>
      <c r="F92" s="41" t="str">
        <f>IF($A92="","",IFERROR(Handnotes!$H$68,""))</f>
        <v/>
      </c>
      <c r="G92" s="41" t="str">
        <f>IF($A92="","",IFERROR(Handnotes!$J$68,""))</f>
        <v/>
      </c>
      <c r="H92" s="41" t="str">
        <f>IF($A92="","",IFERROR(Handnotes!$K$68,""))</f>
        <v/>
      </c>
      <c r="I92" s="41" t="str">
        <f>IF($A92="","",IFERROR(Handnotes!$M$68,""))</f>
        <v/>
      </c>
      <c r="J92" s="41" t="str">
        <f>IF($A92="","",IFERROR(Handnotes!$O$68,""))</f>
        <v/>
      </c>
      <c r="K92" s="41" t="str">
        <f>IF($A92="","",IFERROR(Handnotes!$P$68,""))</f>
        <v/>
      </c>
      <c r="L92" s="41" t="str">
        <f>IF($A92="","",IFERROR(Handnotes!$Q$68,""))</f>
        <v/>
      </c>
      <c r="M92" s="44"/>
      <c r="N92" s="44"/>
      <c r="O92" s="44" t="str" cm="1">
        <f t="array" ref="O92">IF($G92="success",_xlfn.LET(_xlpm.run,$A92,_xlpm.start_cmd,IFERROR(_xlfn.XLOOKUP(1,(Event_logs!$A$2:$A$1588=_xlpm.run)*(Event_logs!$F$2:$F$1588="command")*(Event_logs!$G$2:$G$1588="trolley_command")*(Event_logs!$H$2:$H$1588="fine_align"),Event_logs!$E$2:$E$1588),""),_xlpm.start_fb,IFERROR(_xlfn.XLOOKUP(1,(Event_logs!$A$2:$A$1588=_xlpm.run)*(Event_logs!$F$2:$F$1588="dropzone_status")*ISNUMBER(SEARCH("fine_aligning",Event_logs!$I$2:$I$1588)),Event_logs!$E$2:$E$1588),""),_xlpm.start,IF(_xlpm.start_cmd&lt;&gt;"",_xlpm.start_cmd,_xlpm.start_fb),_xlpm.ende,IFERROR(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$1588),""),_xlpm.diff,_xlpm.ende-_xlpm.start,_xlpm.sek,IF(_xlpm.diff&gt;1000,_xlpm.diff/1000,_xlpm.diff),IFERROR(IF(AND(_xlpm.start&lt;&gt;"",_xlpm.ende&lt;&gt;"",_xlpm.sek&gt;=0),_xlpm.sek,""),"")),"")</f>
        <v/>
      </c>
      <c r="P92" s="44"/>
      <c r="Q92" s="44"/>
      <c r="R92" s="48" t="str" cm="1">
        <f t="array" ref="R92">IF($D92="success",_xlfn.LET(_xlpm.d,_xlfn.XLOOKUP(1,(Event_logs!$A$2:$A$1588=$A92)*(Event_logs!$H$2:$H$1588="side_align_complete"),Event_logs!$I$2:$I$1588,""),IFERROR(_xlfn.NUMBERVALUE(_xlfn.TEXTBEFORE(_xlfn.TEXTAFTER(_xlpm.d,"error_x=")&amp;" "," "),".",","),"")),"")</f>
        <v/>
      </c>
      <c r="S92" s="48" t="str" cm="1">
        <f t="array" ref="S92">IF(AND($F92="success",$D92="success"),_xlfn.LET(_xlpm.d,_xlfn.XLOOKUP(1,(Event_logs!$A$2:$A$1588=$A92)*(Event_logs!$H$2:$H$1588="side_align_complete"),Event_logs!$I$2:$I$1588,""),IFERROR(_xlfn.NUMBERVALUE(_xlfn.TEXTBEFORE(_xlfn.TEXTAFTER(_xlpm.d,"error_x=")&amp;" "," "),".",","),"")),"")</f>
        <v/>
      </c>
      <c r="T92" s="44" t="str">
        <f>IF(OR($G92="success",$G92="sucess"),_xludf.LET(d,_xludf.XLOOKUP(1,(Event_logs!$A$2:$A$1588=$A92)*(Event_logs!$H$2:$H$1588="fine_align_complete"),Event_logs!$I$2:$I$1588,""),IFERROR(--_xludf.TEXTBEFORE(_xludf.TEXTAFTER(d,"center_x=")," "),"")),"")</f>
        <v/>
      </c>
      <c r="U92" s="44" t="str" cm="1">
        <f t="array" ref="U92">IF(AND($F92="success",D92="success"),_xlfn.LET(_xlpm.d,_xlfn.XLOOKUP(1,(Event_logs!$A$2:$A$1588=$A92)*(Event_logs!$H$2:$H$1588="side_align_complete"),Event_logs!$I$2:$I$1588,""),IFERROR(_xlfn.NUMBERVALUE(_xlfn.TEXTBEFORE(_xlfn.TEXTAFTER(_xlpm.d,"yaw_error="),"deg"),".",","),"")),"")</f>
        <v/>
      </c>
      <c r="V92" s="44"/>
      <c r="W92" s="44" t="str">
        <f>IF(OR($G92="success",$G92="sucess"),_xludf.LET(d,_xludf.XLOOKUP(1,(Event_logs!$A$2:$A$1588=$A92)*(Event_logs!$H$2:$H$1588="fine_align_complete"),Event_logs!$I$2:$I$1588,""),IFERROR(--_xludf.TEXTBEFORE(_xludf.TEXTAFTER(d,"yaw="),"deg"),"")),"")</f>
        <v/>
      </c>
      <c r="X92" t="str">
        <f>IF(OR($G92="success",$G92="sucess"),_xludf.XLOOKUP(1,(Event_logs!$A$2:$A$1588=$A92)*(Event_logs!$H$2:$H$1588="fine_align_complete"),Event_logs!$I$2:$I$1588,""),"")</f>
        <v/>
      </c>
    </row>
    <row r="93" spans="1:24" x14ac:dyDescent="0.25">
      <c r="A93" s="41" t="str">
        <f>IF(Handnotes!$A$69="y",Handnotes!$B$69,"")</f>
        <v/>
      </c>
      <c r="B93" s="41" t="str">
        <f>IF($A93="","",IFERROR(Handnotes!$C$69,""))</f>
        <v/>
      </c>
      <c r="C93" t="str">
        <f>IF($A93="","",IFERROR(Handnotes!$D$69,""))</f>
        <v/>
      </c>
      <c r="D93" s="41" t="str">
        <f>IF($A93="","",IFERROR(Handnotes!$E$69,""))</f>
        <v/>
      </c>
      <c r="E93" s="41" t="str">
        <f>IF($A93="","",IFERROR(Handnotes!$G$69,""))</f>
        <v/>
      </c>
      <c r="F93" s="41" t="str">
        <f>IF($A93="","",IFERROR(Handnotes!$H$69,""))</f>
        <v/>
      </c>
      <c r="G93" s="41" t="str">
        <f>IF($A93="","",IFERROR(Handnotes!$J$69,""))</f>
        <v/>
      </c>
      <c r="H93" s="41" t="str">
        <f>IF($A93="","",IFERROR(Handnotes!$K$69,""))</f>
        <v/>
      </c>
      <c r="I93" s="41" t="str">
        <f>IF($A93="","",IFERROR(Handnotes!$M$69,""))</f>
        <v/>
      </c>
      <c r="J93" s="41" t="str">
        <f>IF($A93="","",IFERROR(Handnotes!$O$69,""))</f>
        <v/>
      </c>
      <c r="K93" s="41" t="str">
        <f>IF($A93="","",IFERROR(Handnotes!$P$69,""))</f>
        <v/>
      </c>
      <c r="L93" s="41" t="str">
        <f>IF($A93="","",IFERROR(Handnotes!$Q$69,""))</f>
        <v/>
      </c>
      <c r="M93" s="44"/>
      <c r="N93" s="44"/>
      <c r="O93" s="44" t="str" cm="1">
        <f t="array" ref="O93">IF(OR($G93="success",$G93="sucess"),_xlfn.LET(_xlpm.run,$A93,_xlpm.start,_xlfn.XLOOKUP(1,(Event_logs!$A$2:$A$1588=_xlpm.run)*(Event_logs!$F$2:$F$1588="command")*(Event_logs!$G$2:$G$1588="trolley_command")*(Event_logs!$H$2:$H$1588="fine_align"),Event_logs!$E$2:$E$1588,""),_xlpm.ende,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,""),IFERROR((_xlpm.ende-_xlpm.start)/1000,"")),"")</f>
        <v/>
      </c>
      <c r="P93" s="44"/>
      <c r="Q93" s="44"/>
      <c r="R93" s="48" t="str" cm="1">
        <f t="array" ref="R93">IF($D93="success",_xlfn.LET(_xlpm.d,_xlfn.XLOOKUP(1,(Event_logs!$A$2:$A$1588=$A93)*(Event_logs!$H$2:$H$1588="side_align_complete"),Event_logs!$I$2:$I$1588,""),IFERROR(_xlfn.NUMBERVALUE(_xlfn.TEXTBEFORE(_xlfn.TEXTAFTER(_xlpm.d,"error_x=")&amp;" "," "),".",","),"")),"")</f>
        <v/>
      </c>
      <c r="S93" s="48" t="str" cm="1">
        <f t="array" ref="S93">IF(AND($F93="success",$D93="success"),_xlfn.LET(_xlpm.d,_xlfn.XLOOKUP(1,(Event_logs!$A$2:$A$1588=$A93)*(Event_logs!$H$2:$H$1588="side_align_complete"),Event_logs!$I$2:$I$1588,""),IFERROR(_xlfn.NUMBERVALUE(_xlfn.TEXTBEFORE(_xlfn.TEXTAFTER(_xlpm.d,"error_x=")&amp;" "," "),".",","),"")),"")</f>
        <v/>
      </c>
      <c r="T93" s="44" t="str">
        <f>IF(OR($G93="success",$G93="sucess"),_xludf.LET(d,_xludf.XLOOKUP(1,(Event_logs!$A$2:$A$1588=$A93)*(Event_logs!$H$2:$H$1588="fine_align_complete"),Event_logs!$I$2:$I$1588,""),IFERROR(--_xludf.TEXTBEFORE(_xludf.TEXTAFTER(d,"center_x=")," "),"")),"")</f>
        <v/>
      </c>
      <c r="U93" s="44" t="str" cm="1">
        <f t="array" ref="U93">IF(AND($F93="success",D93="success"),_xlfn.LET(_xlpm.d,_xlfn.XLOOKUP(1,(Event_logs!$A$2:$A$1588=$A93)*(Event_logs!$H$2:$H$1588="side_align_complete"),Event_logs!$I$2:$I$1588,""),IFERROR(_xlfn.NUMBERVALUE(_xlfn.TEXTBEFORE(_xlfn.TEXTAFTER(_xlpm.d,"yaw_error="),"deg"),".",","),"")),"")</f>
        <v/>
      </c>
      <c r="V93" s="44"/>
      <c r="W93" s="44" t="str">
        <f>IF(OR($G93="success",$G93="sucess"),_xludf.LET(d,_xludf.XLOOKUP(1,(Event_logs!$A$2:$A$1588=$A93)*(Event_logs!$H$2:$H$1588="fine_align_complete"),Event_logs!$I$2:$I$1588,""),IFERROR(--_xludf.TEXTBEFORE(_xludf.TEXTAFTER(d,"yaw="),"deg"),"")),"")</f>
        <v/>
      </c>
      <c r="X93" t="str">
        <f>IF(OR($G93="success",$G93="sucess"),_xludf.XLOOKUP(1,(Event_logs!$A$2:$A$1588=$A93)*(Event_logs!$H$2:$H$1588="fine_align_complete"),Event_logs!$I$2:$I$1588,""),"")</f>
        <v/>
      </c>
    </row>
    <row r="94" spans="1:24" x14ac:dyDescent="0.25">
      <c r="A94" s="41" t="str">
        <f>IF(Handnotes!$A$70="y",Handnotes!$B$70,"")</f>
        <v/>
      </c>
      <c r="B94" s="41" t="str">
        <f>IF($A94="","",IFERROR(Handnotes!$C$70,""))</f>
        <v/>
      </c>
      <c r="C94" t="str">
        <f>IF($A94="","",IFERROR(Handnotes!$D$70,""))</f>
        <v/>
      </c>
      <c r="D94" s="41" t="str">
        <f>IF($A94="","",IFERROR(Handnotes!$E$70,""))</f>
        <v/>
      </c>
      <c r="E94" s="41" t="str">
        <f>IF($A94="","",IFERROR(Handnotes!$G$70,""))</f>
        <v/>
      </c>
      <c r="F94" s="41" t="str">
        <f>IF($A94="","",IFERROR(Handnotes!$H$70,""))</f>
        <v/>
      </c>
      <c r="G94" s="41" t="str">
        <f>IF($A94="","",IFERROR(Handnotes!$J$70,""))</f>
        <v/>
      </c>
      <c r="H94" s="41" t="str">
        <f>IF($A94="","",IFERROR(Handnotes!$K$70,""))</f>
        <v/>
      </c>
      <c r="I94" s="41" t="str">
        <f>IF($A94="","",IFERROR(Handnotes!$M$70,""))</f>
        <v/>
      </c>
      <c r="J94" s="41" t="str">
        <f>IF($A94="","",IFERROR(Handnotes!$O$70,""))</f>
        <v/>
      </c>
      <c r="K94" s="41" t="str">
        <f>IF($A94="","",IFERROR(Handnotes!$P$70,""))</f>
        <v/>
      </c>
      <c r="L94" s="41" t="str">
        <f>IF($A94="","",IFERROR(Handnotes!$Q$70,""))</f>
        <v/>
      </c>
      <c r="M94" s="44"/>
      <c r="N94" s="44"/>
      <c r="O94" s="44" t="str" cm="1">
        <f t="array" ref="O94">IF(OR($G94="success",$G94="sucess"),_xlfn.LET(_xlpm.run,$A94,_xlpm.start,_xlfn.XLOOKUP(1,(Event_logs!$A$2:$A$1588=_xlpm.run)*(Event_logs!$F$2:$F$1588="command")*(Event_logs!$G$2:$G$1588="trolley_command")*(Event_logs!$H$2:$H$1588="fine_align"),Event_logs!$E$2:$E$1588,""),_xlpm.ende,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,""),IFERROR((_xlpm.ende-_xlpm.start)/1000,"")),"")</f>
        <v/>
      </c>
      <c r="P94" s="44"/>
      <c r="Q94" s="44"/>
      <c r="R94" s="48" t="str" cm="1">
        <f t="array" ref="R94">IF($D94="success",_xlfn.LET(_xlpm.d,_xlfn.XLOOKUP(1,(Event_logs!$A$2:$A$1588=$A94)*(Event_logs!$H$2:$H$1588="side_align_complete"),Event_logs!$I$2:$I$1588,""),IFERROR(_xlfn.NUMBERVALUE(_xlfn.TEXTBEFORE(_xlfn.TEXTAFTER(_xlpm.d,"error_x=")&amp;" "," "),".",","),"")),"")</f>
        <v/>
      </c>
      <c r="S94" s="48" t="str" cm="1">
        <f t="array" ref="S94">IF(AND($F94="success",$D94="success"),_xlfn.LET(_xlpm.d,_xlfn.XLOOKUP(1,(Event_logs!$A$2:$A$1588=$A94)*(Event_logs!$H$2:$H$1588="side_align_complete"),Event_logs!$I$2:$I$1588,""),IFERROR(_xlfn.NUMBERVALUE(_xlfn.TEXTBEFORE(_xlfn.TEXTAFTER(_xlpm.d,"error_x=")&amp;" "," "),".",","),"")),"")</f>
        <v/>
      </c>
      <c r="T94" s="44" t="str">
        <f>IF(OR($G94="success",$G94="sucess"),_xludf.LET(d,_xludf.XLOOKUP(1,(Event_logs!$A$2:$A$1588=$A94)*(Event_logs!$H$2:$H$1588="fine_align_complete"),Event_logs!$I$2:$I$1588,""),IFERROR(--_xludf.TEXTBEFORE(_xludf.TEXTAFTER(d,"center_x=")," "),"")),"")</f>
        <v/>
      </c>
      <c r="U94" s="44" t="str" cm="1">
        <f t="array" ref="U94">IF(AND($F94="success",D94="success"),_xlfn.LET(_xlpm.d,_xlfn.XLOOKUP(1,(Event_logs!$A$2:$A$1588=$A94)*(Event_logs!$H$2:$H$1588="side_align_complete"),Event_logs!$I$2:$I$1588,""),IFERROR(_xlfn.NUMBERVALUE(_xlfn.TEXTBEFORE(_xlfn.TEXTAFTER(_xlpm.d,"yaw_error="),"deg"),".",","),"")),"")</f>
        <v/>
      </c>
      <c r="V94" s="44"/>
      <c r="W94" s="44" t="str">
        <f>IF(OR($G94="success",$G94="sucess"),_xludf.LET(d,_xludf.XLOOKUP(1,(Event_logs!$A$2:$A$1588=$A94)*(Event_logs!$H$2:$H$1588="fine_align_complete"),Event_logs!$I$2:$I$1588,""),IFERROR(--_xludf.TEXTBEFORE(_xludf.TEXTAFTER(d,"yaw="),"deg"),"")),"")</f>
        <v/>
      </c>
      <c r="X94" t="str">
        <f>IF(OR($G94="success",$G94="sucess"),_xludf.XLOOKUP(1,(Event_logs!$A$2:$A$1588=$A94)*(Event_logs!$H$2:$H$1588="fine_align_complete"),Event_logs!$I$2:$I$1588,""),"")</f>
        <v/>
      </c>
    </row>
    <row r="95" spans="1:24" x14ac:dyDescent="0.25">
      <c r="A95" s="41" t="str">
        <f>IF(Handnotes!$A$71="y",Handnotes!$B$71,"")</f>
        <v/>
      </c>
      <c r="B95" s="41" t="str">
        <f>IF($A95="","",IFERROR(Handnotes!$C$71,""))</f>
        <v/>
      </c>
      <c r="C95" t="str">
        <f>IF($A95="","",IFERROR(Handnotes!$D$71,""))</f>
        <v/>
      </c>
      <c r="D95" s="41" t="str">
        <f>IF($A95="","",IFERROR(Handnotes!$E$71,""))</f>
        <v/>
      </c>
      <c r="E95" s="41" t="str">
        <f>IF($A95="","",IFERROR(Handnotes!$G$71,""))</f>
        <v/>
      </c>
      <c r="F95" s="41" t="str">
        <f>IF($A95="","",IFERROR(Handnotes!$H$71,""))</f>
        <v/>
      </c>
      <c r="G95" s="41" t="str">
        <f>IF($A95="","",IFERROR(Handnotes!$J$71,""))</f>
        <v/>
      </c>
      <c r="H95" s="41" t="str">
        <f>IF($A95="","",IFERROR(Handnotes!$K$71,""))</f>
        <v/>
      </c>
      <c r="I95" s="41" t="str">
        <f>IF($A95="","",IFERROR(Handnotes!$M$71,""))</f>
        <v/>
      </c>
      <c r="J95" s="41" t="str">
        <f>IF($A95="","",IFERROR(Handnotes!$O$71,""))</f>
        <v/>
      </c>
      <c r="K95" s="41" t="str">
        <f>IF($A95="","",IFERROR(Handnotes!$P$71,""))</f>
        <v/>
      </c>
      <c r="L95" s="41" t="str">
        <f>IF($A95="","",IFERROR(Handnotes!$Q$71,""))</f>
        <v/>
      </c>
      <c r="M95" s="44"/>
      <c r="N95" s="44"/>
      <c r="O95" s="44" t="str" cm="1">
        <f t="array" ref="O95">IF(OR($G95="success",$G95="sucess"),_xlfn.LET(_xlpm.run,$A95,_xlpm.start,_xlfn.XLOOKUP(1,(Event_logs!$A$2:$A$1588=_xlpm.run)*(Event_logs!$F$2:$F$1588="command")*(Event_logs!$G$2:$G$1588="trolley_command")*(Event_logs!$H$2:$H$1588="fine_align"),Event_logs!$E$2:$E$1588,""),_xlpm.ende,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,""),IFERROR((_xlpm.ende-_xlpm.start)/1000,"")),"")</f>
        <v/>
      </c>
      <c r="P95" s="44"/>
      <c r="Q95" s="44"/>
      <c r="R95" s="48" t="str" cm="1">
        <f t="array" ref="R95">IF($D95="success",_xlfn.LET(_xlpm.d,_xlfn.XLOOKUP(1,(Event_logs!$A$2:$A$1588=$A95)*(Event_logs!$H$2:$H$1588="side_align_complete"),Event_logs!$I$2:$I$1588,""),IFERROR(_xlfn.NUMBERVALUE(_xlfn.TEXTBEFORE(_xlfn.TEXTAFTER(_xlpm.d,"error_x=")&amp;" "," "),".",","),"")),"")</f>
        <v/>
      </c>
      <c r="S95" s="48" t="str" cm="1">
        <f t="array" ref="S95">IF(AND($F95="success",$D95="success"),_xlfn.LET(_xlpm.d,_xlfn.XLOOKUP(1,(Event_logs!$A$2:$A$1588=$A95)*(Event_logs!$H$2:$H$1588="side_align_complete"),Event_logs!$I$2:$I$1588,""),IFERROR(_xlfn.NUMBERVALUE(_xlfn.TEXTBEFORE(_xlfn.TEXTAFTER(_xlpm.d,"error_x=")&amp;" "," "),".",","),"")),"")</f>
        <v/>
      </c>
      <c r="T95" s="44" t="str">
        <f>IF(OR($G95="success",$G95="sucess"),_xludf.LET(d,_xludf.XLOOKUP(1,(Event_logs!$A$2:$A$1588=$A95)*(Event_logs!$H$2:$H$1588="fine_align_complete"),Event_logs!$I$2:$I$1588,""),IFERROR(--_xludf.TEXTBEFORE(_xludf.TEXTAFTER(d,"center_x=")," "),"")),"")</f>
        <v/>
      </c>
      <c r="U95" s="44" t="str">
        <f>IF(OR($G95="success",$G95="sucess"),_xludf.LET(d,_xludf.XLOOKUP(1,(Event_logs!$A$2:$A$1588=$A95)*(Event_logs!$H$2:$H$1588="fine_align_complete"),Event_logs!$I$2:$I$1588,""),IFERROR(--_xludf.TEXTBEFORE(_xludf.TEXTAFTER(d,"center_y=")," "),"")),"")</f>
        <v/>
      </c>
      <c r="V95" s="44"/>
      <c r="W95" s="44" t="str">
        <f>IF(OR($G95="success",$G95="sucess"),_xludf.LET(d,_xludf.XLOOKUP(1,(Event_logs!$A$2:$A$1588=$A95)*(Event_logs!$H$2:$H$1588="fine_align_complete"),Event_logs!$I$2:$I$1588,""),IFERROR(--_xludf.TEXTBEFORE(_xludf.TEXTAFTER(d,"yaw="),"deg"),"")),"")</f>
        <v/>
      </c>
      <c r="X95" t="str">
        <f>IF(OR($G95="success",$G95="sucess"),_xludf.XLOOKUP(1,(Event_logs!$A$2:$A$1588=$A95)*(Event_logs!$H$2:$H$1588="fine_align_complete"),Event_logs!$I$2:$I$1588,""),"")</f>
        <v/>
      </c>
    </row>
    <row r="96" spans="1:24" x14ac:dyDescent="0.25">
      <c r="A96" s="41" t="str">
        <f>IF(Handnotes!$A$72="y",Handnotes!$B$72,"")</f>
        <v/>
      </c>
      <c r="B96" s="41" t="str">
        <f>IF($A96="","",IFERROR(Handnotes!$C$72,""))</f>
        <v/>
      </c>
      <c r="C96" t="str">
        <f>IF($A96="","",IFERROR(Handnotes!$D$72,""))</f>
        <v/>
      </c>
      <c r="D96" s="41" t="str">
        <f>IF($A96="","",IFERROR(Handnotes!$E$72,""))</f>
        <v/>
      </c>
      <c r="E96" s="41" t="str">
        <f>IF($A96="","",IFERROR(Handnotes!$G$72,""))</f>
        <v/>
      </c>
      <c r="F96" s="41" t="str">
        <f>IF($A96="","",IFERROR(Handnotes!$H$72,""))</f>
        <v/>
      </c>
      <c r="G96" s="41" t="str">
        <f>IF($A96="","",IFERROR(Handnotes!$J$72,""))</f>
        <v/>
      </c>
      <c r="H96" s="41" t="str">
        <f>IF($A96="","",IFERROR(Handnotes!$K$72,""))</f>
        <v/>
      </c>
      <c r="I96" s="41" t="str">
        <f>IF($A96="","",IFERROR(Handnotes!$M$72,""))</f>
        <v/>
      </c>
      <c r="J96" s="41" t="str">
        <f>IF($A96="","",IFERROR(Handnotes!$O$72,""))</f>
        <v/>
      </c>
      <c r="K96" s="41" t="str">
        <f>IF($A96="","",IFERROR(Handnotes!$P$72,""))</f>
        <v/>
      </c>
      <c r="L96" s="41" t="str">
        <f>IF($A96="","",IFERROR(Handnotes!$Q$72,""))</f>
        <v/>
      </c>
      <c r="M96" s="44"/>
      <c r="N96" s="44"/>
      <c r="O96" s="44" t="str" cm="1">
        <f t="array" ref="O96">IF(OR($G96="success",$G96="sucess"),_xlfn.LET(_xlpm.run,$A96,_xlpm.start,_xlfn.XLOOKUP(1,(Event_logs!$A$2:$A$1588=_xlpm.run)*(Event_logs!$F$2:$F$1588="command")*(Event_logs!$G$2:$G$1588="trolley_command")*(Event_logs!$H$2:$H$1588="fine_align"),Event_logs!$E$2:$E$1588,""),_xlpm.ende,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,""),IFERROR((_xlpm.ende-_xlpm.start)/1000,"")),"")</f>
        <v/>
      </c>
      <c r="P96" s="44"/>
      <c r="Q96" s="44"/>
      <c r="R96" s="48" t="str" cm="1">
        <f t="array" ref="R96">IF($D96="success",_xlfn.LET(_xlpm.d,_xlfn.XLOOKUP(1,(Event_logs!$A$2:$A$1588=$A96)*(Event_logs!$H$2:$H$1588="side_align_complete"),Event_logs!$I$2:$I$1588,""),IFERROR(_xlfn.NUMBERVALUE(_xlfn.TEXTBEFORE(_xlfn.TEXTAFTER(_xlpm.d,"error_x=")&amp;" "," "),".",","),"")),"")</f>
        <v/>
      </c>
      <c r="S96" s="48" t="str" cm="1">
        <f t="array" ref="S96">IF(AND($F96="success",$D96="success"),_xlfn.LET(_xlpm.d,_xlfn.XLOOKUP(1,(Event_logs!$A$2:$A$1588=$A96)*(Event_logs!$H$2:$H$1588="side_align_complete"),Event_logs!$I$2:$I$1588,""),IFERROR(_xlfn.NUMBERVALUE(_xlfn.TEXTBEFORE(_xlfn.TEXTAFTER(_xlpm.d,"error_x=")&amp;" "," "),".",","),"")),"")</f>
        <v/>
      </c>
      <c r="T96" s="44" t="str">
        <f>IF(OR($G96="success",$G96="sucess"),_xludf.LET(d,_xludf.XLOOKUP(1,(Event_logs!$A$2:$A$1588=$A96)*(Event_logs!$H$2:$H$1588="fine_align_complete"),Event_logs!$I$2:$I$1588,""),IFERROR(--_xludf.TEXTBEFORE(_xludf.TEXTAFTER(d,"center_x=")," "),"")),"")</f>
        <v/>
      </c>
      <c r="U96" s="44" t="str">
        <f>IF(OR($G96="success",$G96="sucess"),_xludf.LET(d,_xludf.XLOOKUP(1,(Event_logs!$A$2:$A$1588=$A96)*(Event_logs!$H$2:$H$1588="fine_align_complete"),Event_logs!$I$2:$I$1588,""),IFERROR(--_xludf.TEXTBEFORE(_xludf.TEXTAFTER(d,"center_y=")," "),"")),"")</f>
        <v/>
      </c>
      <c r="V96" s="44"/>
      <c r="W96" s="44" t="str">
        <f>IF(OR($G96="success",$G96="sucess"),_xludf.LET(d,_xludf.XLOOKUP(1,(Event_logs!$A$2:$A$1588=$A96)*(Event_logs!$H$2:$H$1588="fine_align_complete"),Event_logs!$I$2:$I$1588,""),IFERROR(--_xludf.TEXTBEFORE(_xludf.TEXTAFTER(d,"yaw="),"deg"),"")),"")</f>
        <v/>
      </c>
      <c r="X96" t="str">
        <f>IF(OR($G96="success",$G96="sucess"),_xludf.XLOOKUP(1,(Event_logs!$A$2:$A$1588=$A96)*(Event_logs!$H$2:$H$1588="fine_align_complete"),Event_logs!$I$2:$I$1588,""),"")</f>
        <v/>
      </c>
    </row>
    <row r="97" spans="1:24" x14ac:dyDescent="0.25">
      <c r="A97" s="41" t="str">
        <f>IF(Handnotes!$A$73="y",Handnotes!$B$73,"")</f>
        <v/>
      </c>
      <c r="B97" s="41" t="str">
        <f>IF($A97="","",IFERROR(Handnotes!$C$73,""))</f>
        <v/>
      </c>
      <c r="C97" t="str">
        <f>IF($A97="","",IFERROR(Handnotes!$D$73,""))</f>
        <v/>
      </c>
      <c r="D97" s="41" t="str">
        <f>IF($A97="","",IFERROR(Handnotes!$E$73,""))</f>
        <v/>
      </c>
      <c r="E97" s="41" t="str">
        <f>IF($A97="","",IFERROR(Handnotes!$G$73,""))</f>
        <v/>
      </c>
      <c r="F97" s="41" t="str">
        <f>IF($A97="","",IFERROR(Handnotes!$H$73,""))</f>
        <v/>
      </c>
      <c r="G97" s="41" t="str">
        <f>IF($A97="","",IFERROR(Handnotes!$J$73,""))</f>
        <v/>
      </c>
      <c r="H97" s="41" t="str">
        <f>IF($A97="","",IFERROR(Handnotes!$K$73,""))</f>
        <v/>
      </c>
      <c r="I97" s="41" t="str">
        <f>IF($A97="","",IFERROR(Handnotes!$M$73,""))</f>
        <v/>
      </c>
      <c r="J97" s="41" t="str">
        <f>IF($A97="","",IFERROR(Handnotes!$O$73,""))</f>
        <v/>
      </c>
      <c r="K97" s="41" t="str">
        <f>IF($A97="","",IFERROR(Handnotes!$P$73,""))</f>
        <v/>
      </c>
      <c r="L97" s="41" t="str">
        <f>IF($A97="","",IFERROR(Handnotes!$Q$73,""))</f>
        <v/>
      </c>
      <c r="M97" s="44"/>
      <c r="N97" s="44"/>
      <c r="O97" s="44" t="str" cm="1">
        <f t="array" ref="O97">IF(OR($G97="success",$G97="sucess"),_xlfn.LET(_xlpm.run,$A97,_xlpm.start,_xlfn.XLOOKUP(1,(Event_logs!$A$2:$A$1588=_xlpm.run)*(Event_logs!$F$2:$F$1588="command")*(Event_logs!$G$2:$G$1588="trolley_command")*(Event_logs!$H$2:$H$1588="fine_align"),Event_logs!$E$2:$E$1588,""),_xlpm.ende,_xlfn.XLOOKUP(1,(Event_logs!$A$2:$A$1588=_xlpm.run)*(Event_logs!$F$2:$F$1588="physical_status")*(Event_logs!$G$2:$G$1588="physical_alignment")*(Event_logs!$H$2:$H$1588="fine_align_complete")*ISNUMBER(SEARCH("fine_align_under_done",Event_logs!$I$2:$I$1588)),Event_logs!$E$2:$E$1588,""),IFERROR((_xlpm.ende-_xlpm.start)/1000,"")),"")</f>
        <v/>
      </c>
      <c r="P97" s="44"/>
      <c r="R97" s="49"/>
      <c r="S97" s="49"/>
      <c r="T97" s="49"/>
      <c r="U97" s="49"/>
      <c r="V97" s="50"/>
      <c r="W97" s="44" t="str">
        <f>IF(OR($G97="success",$G97="sucess"),_xludf.LET(d,_xludf.XLOOKUP(1,(Event_logs!$A$2:$A$1588=$A97)*(Event_logs!$H$2:$H$1588="fine_align_complete"),Event_logs!$I$2:$I$1588,""),IFERROR(--_xludf.TEXTBEFORE(_xludf.TEXTAFTER(d,"yaw="),"deg"),"")),"")</f>
        <v/>
      </c>
      <c r="X97" t="str">
        <f>IF(OR($G97="success",$G97="sucess"),_xludf.XLOOKUP(1,(Event_logs!$A$2:$A$1588=$A97)*(Event_logs!$H$2:$H$1588="fine_align_complete"),Event_logs!$I$2:$I$1588,""),"")</f>
        <v/>
      </c>
    </row>
    <row r="98" spans="1:24" x14ac:dyDescent="0.25">
      <c r="A98" s="41" t="str">
        <f>IF(Handnotes!$A$74="y",Handnotes!$B$74,"")</f>
        <v/>
      </c>
      <c r="B98" s="41" t="str">
        <f>IF($A98="","",IFERROR(Handnotes!$C$74,""))</f>
        <v/>
      </c>
      <c r="C98" t="str">
        <f>IF($A98="","",IFERROR(Handnotes!$D$74,""))</f>
        <v/>
      </c>
      <c r="D98" s="41" t="str">
        <f>IF($A98="","",IFERROR(Handnotes!$E$74,""))</f>
        <v/>
      </c>
      <c r="E98" s="41" t="str">
        <f>IF($A98="","",IFERROR(Handnotes!$G$74,""))</f>
        <v/>
      </c>
      <c r="F98" s="41" t="str">
        <f>IF($A98="","",IFERROR(Handnotes!$H$74,""))</f>
        <v/>
      </c>
      <c r="G98" s="41" t="str">
        <f>IF($A98="","",IFERROR(Handnotes!$J$74,""))</f>
        <v/>
      </c>
      <c r="H98" s="41" t="str">
        <f>IF($A98="","",IFERROR(Handnotes!$K$74,""))</f>
        <v/>
      </c>
      <c r="I98" s="41" t="str">
        <f>IF($A98="","",IFERROR(Handnotes!$M$74,""))</f>
        <v/>
      </c>
      <c r="J98" s="41" t="str">
        <f>IF($A98="","",IFERROR(Handnotes!$O$74,""))</f>
        <v/>
      </c>
      <c r="K98" s="41" t="str">
        <f>IF($A98="","",IFERROR(Handnotes!$P$74,""))</f>
        <v/>
      </c>
      <c r="L98" s="41" t="str">
        <f>IF($A98="","",IFERROR(Handnotes!$Q$74,""))</f>
        <v/>
      </c>
      <c r="M98" s="44"/>
      <c r="N98" s="44"/>
      <c r="O98" s="44"/>
      <c r="P98" s="44"/>
      <c r="Q98" s="51" t="s">
        <v>2111</v>
      </c>
      <c r="R98" s="50">
        <f>SUM(R54:R96)/COUNT(R54:R96)</f>
        <v>4.083333333333333E-4</v>
      </c>
      <c r="S98" s="50">
        <f t="shared" ref="S98:U98" si="7">SUM(S54:S96)/COUNT(S54:S96)</f>
        <v>5.4000000000000001E-4</v>
      </c>
      <c r="T98" s="50">
        <f t="shared" si="7"/>
        <v>3.2083333333333332E-2</v>
      </c>
      <c r="U98" s="50">
        <f t="shared" si="7"/>
        <v>0.11699999999999999</v>
      </c>
      <c r="V98" s="50"/>
      <c r="W98" s="44" t="str">
        <f>IF(OR($G98="success",$G98="sucess"),_xludf.LET(d,_xludf.XLOOKUP(1,(Event_logs!$A$2:$A$1588=$A98)*(Event_logs!$H$2:$H$1588="fine_align_complete"),Event_logs!$I$2:$I$1588,""),IFERROR(--_xludf.TEXTBEFORE(_xludf.TEXTAFTER(d,"yaw="),"deg"),"")),"")</f>
        <v/>
      </c>
      <c r="X98" t="str">
        <f>IF(OR($G98="success",$G98="sucess"),_xludf.XLOOKUP(1,(Event_logs!$A$2:$A$1588=$A98)*(Event_logs!$H$2:$H$1588="fine_align_complete"),Event_logs!$I$2:$I$1588,""),"")</f>
        <v/>
      </c>
    </row>
    <row r="99" spans="1:24" x14ac:dyDescent="0.25">
      <c r="A99" s="62" t="s">
        <v>2133</v>
      </c>
      <c r="B99" s="62" t="s">
        <v>2134</v>
      </c>
      <c r="C99" s="56" t="s">
        <v>2135</v>
      </c>
      <c r="D99" s="41"/>
      <c r="E99" s="41"/>
      <c r="F99" s="41"/>
      <c r="G99" s="41"/>
      <c r="H99" s="41"/>
      <c r="I99" s="41"/>
      <c r="J99" s="41"/>
      <c r="K99" s="41"/>
      <c r="L99" s="41"/>
      <c r="M99" s="44"/>
      <c r="N99" s="44"/>
      <c r="O99" s="44"/>
      <c r="P99" s="44"/>
      <c r="Q99" s="44"/>
      <c r="R99" s="44"/>
      <c r="S99" s="44"/>
      <c r="T99" s="44" t="str">
        <f>IF(OR($G99="success",$G99="sucess"),_xludf.LET(d,_xludf.XLOOKUP(1,(Event_logs!$A$2:$A$1588=$A99)*(Event_logs!$H$2:$H$1588="fine_align_complete"),Event_logs!$I$2:$I$1588,""),IFERROR(--_xludf.TEXTBEFORE(_xludf.TEXTAFTER(d,"center_x=")," "),"")),"")</f>
        <v/>
      </c>
      <c r="U99" s="44" t="str">
        <f>IF(OR($G99="success",$G99="sucess"),_xludf.LET(d,_xludf.XLOOKUP(1,(Event_logs!$A$2:$A$1588=$A99)*(Event_logs!$H$2:$H$1588="fine_align_complete"),Event_logs!$I$2:$I$1588,""),IFERROR(--_xludf.TEXTBEFORE(_xludf.TEXTAFTER(d,"center_y=")," "),"")),"")</f>
        <v/>
      </c>
      <c r="V99" s="44"/>
      <c r="W99" s="44" t="str">
        <f>IF(OR($G99="success",$G99="sucess"),_xludf.LET(d,_xludf.XLOOKUP(1,(Event_logs!$A$2:$A$1588=$A99)*(Event_logs!$H$2:$H$1588="fine_align_complete"),Event_logs!$I$2:$I$1588,""),IFERROR(--_xludf.TEXTBEFORE(_xludf.TEXTAFTER(d,"yaw="),"deg"),"")),"")</f>
        <v/>
      </c>
      <c r="X99" t="str">
        <f>IF(OR($G99="success",$G99="sucess"),_xludf.XLOOKUP(1,(Event_logs!$A$2:$A$1588=$A99)*(Event_logs!$H$2:$H$1588="fine_align_complete"),Event_logs!$I$2:$I$1588,""),"")</f>
        <v/>
      </c>
    </row>
    <row r="100" spans="1:24" ht="15" customHeight="1" x14ac:dyDescent="0.25">
      <c r="A100" s="41" cm="1">
        <f t="array" ref="A100:A121">_xlfn._xlws.FILTER(Handnotes!$B$2:$B$50,(Handnotes!$A$2:$A$50="y")*NOT((Handnotes!$E$2:$E$50="success")*(Handnotes!$G$2:$G$50="correct")*(Handnotes!$H$2:$H$50="success")*(Handnotes!$J$2:$J$50="success")*(Handnotes!$M$2:$M$50="success")*(Handnotes!$O$2:$O$50="success")*(Handnotes!$P$2:$P$50="success")*(Handnotes!$Q$2:$Q$50="success")))</f>
        <v>3</v>
      </c>
      <c r="B100" s="56" t="s">
        <v>2136</v>
      </c>
      <c r="C100" s="56" t="s">
        <v>2113</v>
      </c>
      <c r="E100" s="41"/>
      <c r="F100" s="41"/>
      <c r="G100" s="41"/>
      <c r="H100" s="41"/>
      <c r="I100" s="41"/>
      <c r="J100" s="41"/>
      <c r="K100" s="41"/>
      <c r="L100" s="41"/>
      <c r="M100" s="44"/>
      <c r="N100" s="44"/>
      <c r="O100" s="44"/>
      <c r="P100" s="44"/>
      <c r="Q100" s="44"/>
      <c r="R100" s="44"/>
      <c r="S100" s="44"/>
      <c r="T100" s="44" t="str">
        <f>IF(OR($G100="success",$G100="sucess"),_xludf.LET(d,_xludf.XLOOKUP(1,(Event_logs!$A$2:$A$1588=$A100)*(Event_logs!$H$2:$H$1588="fine_align_complete"),Event_logs!$I$2:$I$1588,""),IFERROR(--_xludf.TEXTBEFORE(_xludf.TEXTAFTER(d,"center_x=")," "),"")),"")</f>
        <v/>
      </c>
      <c r="U100" s="44" t="str">
        <f>IF(OR($G100="success",$G100="sucess"),_xludf.LET(d,_xludf.XLOOKUP(1,(Event_logs!$A$2:$A$1588=$A100)*(Event_logs!$H$2:$H$1588="fine_align_complete"),Event_logs!$I$2:$I$1588,""),IFERROR(--_xludf.TEXTBEFORE(_xludf.TEXTAFTER(d,"center_y=")," "),"")),"")</f>
        <v/>
      </c>
      <c r="V100" s="44"/>
      <c r="W100" s="44" t="str">
        <f>IF(OR($G100="success",$G100="sucess"),_xludf.LET(d,_xludf.XLOOKUP(1,(Event_logs!$A$2:$A$1588=$A100)*(Event_logs!$H$2:$H$1588="fine_align_complete"),Event_logs!$I$2:$I$1588,""),IFERROR(--_xludf.TEXTBEFORE(_xludf.TEXTAFTER(d,"yaw="),"deg"),"")),"")</f>
        <v/>
      </c>
      <c r="X100" t="str">
        <f>IF(OR($G100="success",$G100="sucess"),_xludf.XLOOKUP(1,(Event_logs!$A$2:$A$1588=$A100)*(Event_logs!$H$2:$H$1588="fine_align_complete"),Event_logs!$I$2:$I$1588,""),"")</f>
        <v/>
      </c>
    </row>
    <row r="101" spans="1:24" x14ac:dyDescent="0.25">
      <c r="A101" s="41">
        <v>5</v>
      </c>
      <c r="B101" s="56" t="s">
        <v>2159</v>
      </c>
      <c r="C101" t="s">
        <v>2113</v>
      </c>
      <c r="E101" s="41"/>
      <c r="F101" s="41"/>
      <c r="G101" s="41"/>
      <c r="H101" s="41"/>
      <c r="I101" s="41"/>
      <c r="J101" s="41"/>
      <c r="K101" s="41"/>
      <c r="L101" s="41"/>
      <c r="M101" s="44"/>
      <c r="N101" s="44"/>
      <c r="O101" s="44"/>
      <c r="P101" s="44"/>
      <c r="Q101" s="44"/>
      <c r="R101" s="44"/>
      <c r="S101" s="44"/>
      <c r="T101" s="44" t="str">
        <f>IF(OR($G101="success",$G101="sucess"),_xludf.LET(d,_xludf.XLOOKUP(1,(Event_logs!$A$2:$A$1588=$A101)*(Event_logs!$H$2:$H$1588="fine_align_complete"),Event_logs!$I$2:$I$1588,""),IFERROR(--_xludf.TEXTBEFORE(_xludf.TEXTAFTER(d,"center_x=")," "),"")),"")</f>
        <v/>
      </c>
      <c r="U101" s="44" t="str">
        <f>IF(OR($G101="success",$G101="sucess"),_xludf.LET(d,_xludf.XLOOKUP(1,(Event_logs!$A$2:$A$1588=$A101)*(Event_logs!$H$2:$H$1588="fine_align_complete"),Event_logs!$I$2:$I$1588,""),IFERROR(--_xludf.TEXTBEFORE(_xludf.TEXTAFTER(d,"center_y=")," "),"")),"")</f>
        <v/>
      </c>
      <c r="V101" s="44"/>
      <c r="W101" s="44" t="str">
        <f>IF(OR($G101="success",$G101="sucess"),_xludf.LET(d,_xludf.XLOOKUP(1,(Event_logs!$A$2:$A$1588=$A101)*(Event_logs!$H$2:$H$1588="fine_align_complete"),Event_logs!$I$2:$I$1588,""),IFERROR(--_xludf.TEXTBEFORE(_xludf.TEXTAFTER(d,"yaw="),"deg"),"")),"")</f>
        <v/>
      </c>
      <c r="X101" t="str">
        <f>IF(OR($G101="success",$G101="sucess"),_xludf.XLOOKUP(1,(Event_logs!$A$2:$A$1588=$A101)*(Event_logs!$H$2:$H$1588="fine_align_complete"),Event_logs!$I$2:$I$1588,""),"")</f>
        <v/>
      </c>
    </row>
    <row r="102" spans="1:24" x14ac:dyDescent="0.25">
      <c r="A102" s="41">
        <v>12</v>
      </c>
      <c r="B102" s="62" t="s">
        <v>2138</v>
      </c>
      <c r="C102" s="56" t="s">
        <v>2137</v>
      </c>
      <c r="E102" s="41"/>
      <c r="F102" s="41"/>
      <c r="G102" s="41"/>
      <c r="H102" s="41"/>
      <c r="I102" s="41"/>
      <c r="J102" s="41"/>
      <c r="K102" s="41"/>
      <c r="L102" s="41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</row>
    <row r="103" spans="1:24" ht="45" x14ac:dyDescent="0.25">
      <c r="A103" s="41">
        <v>14</v>
      </c>
      <c r="B103" s="62" t="s">
        <v>2140</v>
      </c>
      <c r="C103" s="62" t="s">
        <v>2139</v>
      </c>
      <c r="E103" s="41"/>
      <c r="F103" s="41"/>
      <c r="G103" s="41"/>
      <c r="H103" s="41"/>
      <c r="I103" s="41"/>
      <c r="J103" s="41"/>
      <c r="K103" s="41"/>
      <c r="L103" s="41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</row>
    <row r="104" spans="1:24" x14ac:dyDescent="0.25">
      <c r="A104" s="41">
        <v>16</v>
      </c>
      <c r="B104" s="62" t="s">
        <v>2142</v>
      </c>
      <c r="C104" s="56" t="s">
        <v>2141</v>
      </c>
      <c r="D104" t="s">
        <v>30</v>
      </c>
      <c r="E104" s="41"/>
      <c r="F104" s="41"/>
      <c r="G104" s="41"/>
      <c r="H104" s="41"/>
      <c r="I104" s="41"/>
      <c r="J104" s="41"/>
      <c r="K104" s="41"/>
      <c r="L104" s="41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</row>
    <row r="105" spans="1:24" x14ac:dyDescent="0.25">
      <c r="A105" s="41">
        <v>17</v>
      </c>
      <c r="B105" s="62" t="s">
        <v>2142</v>
      </c>
      <c r="D105" t="s">
        <v>30</v>
      </c>
      <c r="E105" s="41"/>
      <c r="F105" s="41"/>
      <c r="G105" s="41"/>
      <c r="H105" s="41"/>
      <c r="I105" s="41"/>
      <c r="J105" s="41"/>
      <c r="K105" s="41"/>
      <c r="L105" s="41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</row>
    <row r="106" spans="1:24" ht="45" x14ac:dyDescent="0.25">
      <c r="A106" s="41">
        <v>18</v>
      </c>
      <c r="B106" s="62" t="s">
        <v>2136</v>
      </c>
      <c r="C106" s="7"/>
      <c r="D106" s="67" t="s">
        <v>2143</v>
      </c>
      <c r="E106" s="41"/>
      <c r="F106" s="41"/>
      <c r="G106" s="41"/>
      <c r="H106" s="41"/>
      <c r="I106" s="41"/>
      <c r="J106" s="41"/>
      <c r="K106" s="41"/>
      <c r="L106" s="41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</row>
    <row r="107" spans="1:24" x14ac:dyDescent="0.25">
      <c r="A107" s="41">
        <v>19</v>
      </c>
      <c r="B107" s="62" t="s">
        <v>2144</v>
      </c>
      <c r="C107" s="7" t="s">
        <v>32</v>
      </c>
      <c r="E107" s="41"/>
      <c r="F107" s="41"/>
      <c r="G107" s="41"/>
      <c r="H107" s="41"/>
      <c r="I107" s="41"/>
      <c r="J107" s="41"/>
      <c r="K107" s="41"/>
      <c r="L107" s="41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</row>
    <row r="108" spans="1:24" x14ac:dyDescent="0.25">
      <c r="A108" s="41">
        <v>20</v>
      </c>
      <c r="B108" s="62" t="s">
        <v>2144</v>
      </c>
      <c r="C108" s="7" t="s">
        <v>33</v>
      </c>
      <c r="E108" s="41"/>
      <c r="F108" s="41"/>
      <c r="G108" s="41"/>
      <c r="H108" s="41"/>
      <c r="I108" s="41"/>
      <c r="J108" s="41"/>
      <c r="K108" s="41"/>
      <c r="L108" s="41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</row>
    <row r="109" spans="1:24" x14ac:dyDescent="0.25">
      <c r="A109" s="41">
        <v>22</v>
      </c>
      <c r="B109" s="62" t="s">
        <v>2144</v>
      </c>
      <c r="C109" s="56" t="s">
        <v>2145</v>
      </c>
      <c r="E109" s="41"/>
      <c r="F109" s="41"/>
      <c r="G109" s="41"/>
      <c r="H109" s="41"/>
      <c r="I109" s="41"/>
      <c r="J109" s="41"/>
      <c r="K109" s="41"/>
      <c r="L109" s="41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</row>
    <row r="110" spans="1:24" x14ac:dyDescent="0.25">
      <c r="A110" s="41">
        <v>23</v>
      </c>
      <c r="B110" s="62" t="s">
        <v>2146</v>
      </c>
      <c r="C110" t="s">
        <v>36</v>
      </c>
      <c r="E110" s="41"/>
      <c r="F110" s="41"/>
      <c r="G110" s="41"/>
      <c r="H110" s="41"/>
      <c r="I110" s="41"/>
      <c r="J110" s="41"/>
      <c r="K110" s="41"/>
      <c r="L110" s="41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</row>
    <row r="111" spans="1:24" x14ac:dyDescent="0.25">
      <c r="A111" s="41">
        <v>24</v>
      </c>
      <c r="B111" t="s">
        <v>2140</v>
      </c>
      <c r="C111" s="3" t="s">
        <v>37</v>
      </c>
      <c r="E111" s="41"/>
      <c r="F111" s="41"/>
      <c r="G111" s="41"/>
      <c r="H111" s="41"/>
      <c r="I111" s="41"/>
      <c r="J111" s="41"/>
      <c r="K111" s="41"/>
      <c r="L111" s="41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</row>
    <row r="112" spans="1:24" x14ac:dyDescent="0.25">
      <c r="A112" s="41">
        <v>28</v>
      </c>
      <c r="B112" s="62" t="s">
        <v>2144</v>
      </c>
      <c r="C112" s="56" t="s">
        <v>2145</v>
      </c>
      <c r="E112" s="41"/>
      <c r="F112" s="41"/>
      <c r="G112" s="41"/>
      <c r="H112" s="41"/>
      <c r="I112" s="41"/>
      <c r="J112" s="41"/>
      <c r="K112" s="41"/>
      <c r="L112" s="41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</row>
    <row r="113" spans="1:24" ht="30" x14ac:dyDescent="0.25">
      <c r="A113" s="41">
        <v>31</v>
      </c>
      <c r="B113" s="56" t="s">
        <v>2136</v>
      </c>
      <c r="C113" s="67" t="s">
        <v>2147</v>
      </c>
      <c r="E113" s="41"/>
      <c r="F113" s="41"/>
      <c r="G113" s="41"/>
      <c r="H113" s="41"/>
      <c r="I113" s="41"/>
      <c r="J113" s="41"/>
      <c r="K113" s="41"/>
      <c r="L113" s="41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</row>
    <row r="114" spans="1:24" ht="30" x14ac:dyDescent="0.25">
      <c r="A114" s="41">
        <v>32</v>
      </c>
      <c r="B114" s="56" t="s">
        <v>2136</v>
      </c>
      <c r="C114" s="67" t="s">
        <v>2147</v>
      </c>
      <c r="E114" s="41"/>
      <c r="F114" s="41"/>
      <c r="G114" s="41"/>
      <c r="H114" s="41"/>
      <c r="I114" s="41"/>
      <c r="J114" s="41"/>
      <c r="K114" s="41"/>
      <c r="L114" s="41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</row>
    <row r="115" spans="1:24" x14ac:dyDescent="0.25">
      <c r="A115" s="41">
        <v>33</v>
      </c>
      <c r="B115" t="s">
        <v>260</v>
      </c>
      <c r="C115" t="s">
        <v>260</v>
      </c>
      <c r="E115" s="41"/>
      <c r="F115" s="41"/>
      <c r="G115" s="41"/>
      <c r="H115" s="41"/>
      <c r="I115" s="41"/>
      <c r="J115" s="41"/>
      <c r="K115" s="41"/>
      <c r="L115" s="41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</row>
    <row r="116" spans="1:24" x14ac:dyDescent="0.25">
      <c r="A116" s="41">
        <v>36</v>
      </c>
      <c r="B116" t="s">
        <v>2138</v>
      </c>
      <c r="C116" s="56" t="s">
        <v>2149</v>
      </c>
      <c r="E116" s="41"/>
      <c r="F116" s="41"/>
      <c r="G116" s="41"/>
      <c r="H116" s="41"/>
      <c r="I116" s="41"/>
      <c r="J116" s="41"/>
      <c r="K116" s="41"/>
      <c r="L116" s="41"/>
      <c r="M116" s="44"/>
      <c r="N116" s="44"/>
      <c r="O116" s="44"/>
      <c r="P116" s="44"/>
      <c r="Q116" s="44"/>
      <c r="R116" s="44"/>
      <c r="S116" s="44"/>
      <c r="T116" s="44" t="str">
        <f>IF(OR($G116="success",$G116="sucess"),_xludf.LET(d,_xludf.XLOOKUP(1,(Event_logs!$A$2:$A$1588=$A116)*(Event_logs!$H$2:$H$1588="fine_align_complete"),Event_logs!$I$2:$I$1588,""),IFERROR(--_xludf.TEXTBEFORE(_xludf.TEXTAFTER(d,"center_x=")," "),"")),"")</f>
        <v/>
      </c>
      <c r="U116" s="44" t="str">
        <f>IF(OR($G116="success",$G116="sucess"),_xludf.LET(d,_xludf.XLOOKUP(1,(Event_logs!$A$2:$A$1588=$A116)*(Event_logs!$H$2:$H$1588="fine_align_complete"),Event_logs!$I$2:$I$1588,""),IFERROR(--_xludf.TEXTBEFORE(_xludf.TEXTAFTER(d,"center_y=")," "),"")),"")</f>
        <v/>
      </c>
      <c r="V116" s="44"/>
      <c r="W116" s="44" t="str">
        <f>IF(OR($G116="success",$G116="sucess"),_xludf.LET(d,_xludf.XLOOKUP(1,(Event_logs!$A$2:$A$1588=$A116)*(Event_logs!$H$2:$H$1588="fine_align_complete"),Event_logs!$I$2:$I$1588,""),IFERROR(--_xludf.TEXTBEFORE(_xludf.TEXTAFTER(d,"yaw="),"deg"),"")),"")</f>
        <v/>
      </c>
      <c r="X116" t="str">
        <f>IF(OR($G116="success",$G116="sucess"),_xludf.XLOOKUP(1,(Event_logs!$A$2:$A$1588=$A116)*(Event_logs!$H$2:$H$1588="fine_align_complete"),Event_logs!$I$2:$I$1588,""),"")</f>
        <v/>
      </c>
    </row>
    <row r="117" spans="1:24" x14ac:dyDescent="0.25">
      <c r="A117" s="41">
        <v>37</v>
      </c>
      <c r="B117" t="s">
        <v>2136</v>
      </c>
      <c r="C117" s="56" t="s">
        <v>2113</v>
      </c>
      <c r="E117" s="41"/>
      <c r="F117" s="41"/>
      <c r="G117" s="41"/>
      <c r="H117" s="41"/>
      <c r="I117" s="41"/>
      <c r="J117" s="41"/>
      <c r="K117" s="41"/>
      <c r="L117" s="41"/>
      <c r="M117" s="44"/>
      <c r="N117" s="44"/>
      <c r="O117" s="44"/>
      <c r="P117" s="44"/>
      <c r="Q117" s="44"/>
      <c r="R117" s="44"/>
      <c r="S117" s="44"/>
      <c r="T117" s="44" t="str">
        <f>IF(OR($G117="success",$G117="sucess"),_xludf.LET(d,_xludf.XLOOKUP(1,(Event_logs!$A$2:$A$1588=$A117)*(Event_logs!$H$2:$H$1588="fine_align_complete"),Event_logs!$I$2:$I$1588,""),IFERROR(--_xludf.TEXTBEFORE(_xludf.TEXTAFTER(d,"center_x=")," "),"")),"")</f>
        <v/>
      </c>
      <c r="U117" s="44" t="str">
        <f>IF(OR($G117="success",$G117="sucess"),_xludf.LET(d,_xludf.XLOOKUP(1,(Event_logs!$A$2:$A$1588=$A117)*(Event_logs!$H$2:$H$1588="fine_align_complete"),Event_logs!$I$2:$I$1588,""),IFERROR(--_xludf.TEXTBEFORE(_xludf.TEXTAFTER(d,"center_y=")," "),"")),"")</f>
        <v/>
      </c>
      <c r="V117" s="44"/>
      <c r="W117" s="44" t="str">
        <f>IF(OR($G117="success",$G117="sucess"),_xludf.LET(d,_xludf.XLOOKUP(1,(Event_logs!$A$2:$A$1588=$A117)*(Event_logs!$H$2:$H$1588="fine_align_complete"),Event_logs!$I$2:$I$1588,""),IFERROR(--_xludf.TEXTBEFORE(_xludf.TEXTAFTER(d,"yaw="),"deg"),"")),"")</f>
        <v/>
      </c>
      <c r="X117" t="str">
        <f>IF(OR($G117="success",$G117="sucess"),_xludf.XLOOKUP(1,(Event_logs!$A$2:$A$1588=$A117)*(Event_logs!$H$2:$H$1588="fine_align_complete"),Event_logs!$I$2:$I$1588,""),"")</f>
        <v/>
      </c>
    </row>
    <row r="118" spans="1:24" x14ac:dyDescent="0.25">
      <c r="A118" s="41">
        <v>38</v>
      </c>
      <c r="B118" t="s">
        <v>2140</v>
      </c>
      <c r="C118" s="56" t="s">
        <v>2150</v>
      </c>
      <c r="E118" s="41"/>
      <c r="F118" s="41"/>
      <c r="G118" s="41"/>
      <c r="H118" s="41"/>
      <c r="I118" s="41"/>
      <c r="J118" s="41"/>
      <c r="K118" s="41"/>
      <c r="L118" s="41"/>
      <c r="M118" s="44"/>
      <c r="N118" s="44"/>
      <c r="O118" s="44"/>
      <c r="P118" s="44"/>
      <c r="Q118" s="44"/>
      <c r="R118" s="44"/>
      <c r="S118" s="44"/>
      <c r="T118" s="44" t="str">
        <f>IF(OR($G118="success",$G118="sucess"),_xludf.LET(d,_xludf.XLOOKUP(1,(Event_logs!$A$2:$A$1588=$A118)*(Event_logs!$H$2:$H$1588="fine_align_complete"),Event_logs!$I$2:$I$1588,""),IFERROR(--_xludf.TEXTBEFORE(_xludf.TEXTAFTER(d,"center_x=")," "),"")),"")</f>
        <v/>
      </c>
      <c r="U118" s="44" t="str">
        <f>IF(OR($G118="success",$G118="sucess"),_xludf.LET(d,_xludf.XLOOKUP(1,(Event_logs!$A$2:$A$1588=$A118)*(Event_logs!$H$2:$H$1588="fine_align_complete"),Event_logs!$I$2:$I$1588,""),IFERROR(--_xludf.TEXTBEFORE(_xludf.TEXTAFTER(d,"center_y=")," "),"")),"")</f>
        <v/>
      </c>
      <c r="V118" s="44"/>
      <c r="W118" s="44" t="str">
        <f>IF(OR($G118="success",$G118="sucess"),_xludf.LET(d,_xludf.XLOOKUP(1,(Event_logs!$A$2:$A$1588=$A118)*(Event_logs!$H$2:$H$1588="fine_align_complete"),Event_logs!$I$2:$I$1588,""),IFERROR(--_xludf.TEXTBEFORE(_xludf.TEXTAFTER(d,"yaw="),"deg"),"")),"")</f>
        <v/>
      </c>
      <c r="X118" t="str">
        <f>IF(OR($G118="success",$G118="sucess"),_xludf.XLOOKUP(1,(Event_logs!$A$2:$A$1588=$A118)*(Event_logs!$H$2:$H$1588="fine_align_complete"),Event_logs!$I$2:$I$1588,""),"")</f>
        <v/>
      </c>
    </row>
    <row r="119" spans="1:24" x14ac:dyDescent="0.25">
      <c r="A119" s="41">
        <v>39</v>
      </c>
      <c r="B119" t="s">
        <v>2140</v>
      </c>
      <c r="C119" t="s">
        <v>22</v>
      </c>
      <c r="D119" t="s">
        <v>42</v>
      </c>
      <c r="E119" s="41"/>
      <c r="F119" s="41"/>
      <c r="G119" s="41"/>
      <c r="H119" s="41"/>
      <c r="I119" s="41"/>
      <c r="J119" s="41"/>
      <c r="K119" s="41"/>
      <c r="L119" s="41"/>
      <c r="M119" s="44"/>
      <c r="N119" s="44"/>
      <c r="O119" s="44"/>
      <c r="P119" s="44"/>
      <c r="Q119" s="44"/>
      <c r="R119" s="44"/>
      <c r="S119" s="44"/>
      <c r="T119" s="44" t="str">
        <f>IF(OR($G119="success",$G119="sucess"),_xludf.LET(d,_xludf.XLOOKUP(1,(Event_logs!$A$2:$A$1588=$A119)*(Event_logs!$H$2:$H$1588="fine_align_complete"),Event_logs!$I$2:$I$1588,""),IFERROR(--_xludf.TEXTBEFORE(_xludf.TEXTAFTER(d,"center_x=")," "),"")),"")</f>
        <v/>
      </c>
      <c r="U119" s="44" t="str">
        <f>IF(OR($G119="success",$G119="sucess"),_xludf.LET(d,_xludf.XLOOKUP(1,(Event_logs!$A$2:$A$1588=$A119)*(Event_logs!$H$2:$H$1588="fine_align_complete"),Event_logs!$I$2:$I$1588,""),IFERROR(--_xludf.TEXTBEFORE(_xludf.TEXTAFTER(d,"center_y=")," "),"")),"")</f>
        <v/>
      </c>
      <c r="V119" s="44"/>
      <c r="W119" s="44" t="str">
        <f>IF(OR($G119="success",$G119="sucess"),_xludf.LET(d,_xludf.XLOOKUP(1,(Event_logs!$A$2:$A$1588=$A119)*(Event_logs!$H$2:$H$1588="fine_align_complete"),Event_logs!$I$2:$I$1588,""),IFERROR(--_xludf.TEXTBEFORE(_xludf.TEXTAFTER(d,"yaw="),"deg"),"")),"")</f>
        <v/>
      </c>
      <c r="X119" t="str">
        <f>IF(OR($G119="success",$G119="sucess"),_xludf.XLOOKUP(1,(Event_logs!$A$2:$A$1588=$A119)*(Event_logs!$H$2:$H$1588="fine_align_complete"),Event_logs!$I$2:$I$1588,""),"")</f>
        <v/>
      </c>
    </row>
    <row r="120" spans="1:24" x14ac:dyDescent="0.25">
      <c r="A120" s="41">
        <v>40</v>
      </c>
      <c r="B120" t="s">
        <v>2136</v>
      </c>
    </row>
    <row r="121" spans="1:24" x14ac:dyDescent="0.25">
      <c r="A121" s="41">
        <v>42</v>
      </c>
      <c r="B121" s="62" t="s">
        <v>2144</v>
      </c>
      <c r="C121" t="s">
        <v>2151</v>
      </c>
    </row>
    <row r="122" spans="1:24" x14ac:dyDescent="0.25">
      <c r="A122" s="41"/>
    </row>
    <row r="123" spans="1:24" x14ac:dyDescent="0.25">
      <c r="A123" s="41"/>
    </row>
    <row r="124" spans="1:24" x14ac:dyDescent="0.25">
      <c r="A124" s="56" t="s">
        <v>2152</v>
      </c>
      <c r="C124" s="25"/>
      <c r="D124" s="25"/>
      <c r="E124" s="3"/>
    </row>
    <row r="125" spans="1:24" x14ac:dyDescent="0.25">
      <c r="A125" cm="1">
        <f t="array" ref="A125:A128">_xlfn._xlws.FILTER(Handnotes!$B$2:$B$200,(Handnotes!$A$2:$A$200="y")*(Handnotes!$D$2:$D$200="empty")*NOT((Handnotes!$E$2:$E$200="success")*(Handnotes!$G$2:$G$200="correct")*(Handnotes!$H$2:$H$200="drove")))</f>
        <v>46</v>
      </c>
      <c r="B125" t="s">
        <v>2153</v>
      </c>
      <c r="C125" s="25" t="s">
        <v>51</v>
      </c>
      <c r="D125" s="25"/>
      <c r="E125" s="3" t="s">
        <v>52</v>
      </c>
    </row>
    <row r="126" spans="1:24" x14ac:dyDescent="0.25">
      <c r="A126">
        <v>47</v>
      </c>
      <c r="B126" t="s">
        <v>2153</v>
      </c>
      <c r="C126" s="25" t="s">
        <v>51</v>
      </c>
      <c r="D126" s="25"/>
      <c r="E126" s="3" t="s">
        <v>52</v>
      </c>
    </row>
    <row r="127" spans="1:24" x14ac:dyDescent="0.25">
      <c r="A127">
        <v>53</v>
      </c>
      <c r="B127" t="s">
        <v>2144</v>
      </c>
      <c r="C127" t="s">
        <v>54</v>
      </c>
    </row>
    <row r="128" spans="1:24" ht="30" x14ac:dyDescent="0.25">
      <c r="A128">
        <v>56</v>
      </c>
      <c r="B128" t="s">
        <v>2155</v>
      </c>
      <c r="C128" s="25" t="s">
        <v>2154</v>
      </c>
    </row>
    <row r="132" spans="1:3" x14ac:dyDescent="0.25">
      <c r="A132" s="56" t="s">
        <v>2156</v>
      </c>
    </row>
    <row r="133" spans="1:3" x14ac:dyDescent="0.25">
      <c r="A133" cm="1">
        <f t="array" ref="A133:A138">_xlfn._xlws.FILTER(Handnotes!$B$2:$B$200,Handnotes!$A$2:$A$200="n")</f>
        <v>34</v>
      </c>
      <c r="B133" s="56" t="s">
        <v>2157</v>
      </c>
      <c r="C133" s="53" t="s">
        <v>2148</v>
      </c>
    </row>
    <row r="134" spans="1:3" x14ac:dyDescent="0.25">
      <c r="A134">
        <v>41</v>
      </c>
      <c r="B134" s="56" t="s">
        <v>44</v>
      </c>
      <c r="C134" s="3" t="s">
        <v>44</v>
      </c>
    </row>
    <row r="135" spans="1:3" x14ac:dyDescent="0.25">
      <c r="A135">
        <v>44</v>
      </c>
      <c r="B135" s="56" t="s">
        <v>44</v>
      </c>
      <c r="C135" t="s">
        <v>47</v>
      </c>
    </row>
    <row r="136" spans="1:3" ht="45" x14ac:dyDescent="0.25">
      <c r="A136">
        <v>8</v>
      </c>
      <c r="B136" s="56" t="s">
        <v>2158</v>
      </c>
      <c r="C136" s="32" t="s">
        <v>74</v>
      </c>
    </row>
    <row r="137" spans="1:3" x14ac:dyDescent="0.25">
      <c r="A137">
        <v>10</v>
      </c>
      <c r="B137" s="56" t="s">
        <v>2157</v>
      </c>
      <c r="C137" s="32" t="s">
        <v>75</v>
      </c>
    </row>
    <row r="138" spans="1:3" x14ac:dyDescent="0.25">
      <c r="A138">
        <v>11</v>
      </c>
      <c r="B138" s="56" t="s">
        <v>2157</v>
      </c>
      <c r="C138" s="32" t="s">
        <v>75</v>
      </c>
    </row>
  </sheetData>
  <mergeCells count="1">
    <mergeCell ref="A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Handnotes</vt:lpstr>
      <vt:lpstr>Event_logs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Wörz</dc:creator>
  <cp:lastModifiedBy>Johanna Wörz</cp:lastModifiedBy>
  <dcterms:created xsi:type="dcterms:W3CDTF">2026-07-01T22:43:53Z</dcterms:created>
  <dcterms:modified xsi:type="dcterms:W3CDTF">2026-07-14T14:19:13Z</dcterms:modified>
</cp:coreProperties>
</file>