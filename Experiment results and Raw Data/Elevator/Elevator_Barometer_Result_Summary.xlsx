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ohan\Desktop\Master Thesis\Experiment results and Raw Data\Elevator\"/>
    </mc:Choice>
  </mc:AlternateContent>
  <xr:revisionPtr revIDLastSave="0" documentId="13_ncr:1_{2C71EEA2-B676-4A80-9004-D5EEFB63E3CB}" xr6:coauthVersionLast="47" xr6:coauthVersionMax="47" xr10:uidLastSave="{00000000-0000-0000-0000-000000000000}"/>
  <bookViews>
    <workbookView xWindow="-120" yWindow="-120" windowWidth="29040" windowHeight="15720" firstSheet="5" activeTab="10" xr2:uid="{00000000-000D-0000-FFFF-FFFF00000000}"/>
  </bookViews>
  <sheets>
    <sheet name="elevator_wifi" sheetId="1" r:id="rId1"/>
    <sheet name="elevator_ble" sheetId="2" r:id="rId2"/>
    <sheet name="dist_wifi" sheetId="3" r:id="rId3"/>
    <sheet name="dist_ble" sheetId="4" r:id="rId4"/>
    <sheet name="idle_test" sheetId="5" r:id="rId5"/>
    <sheet name="operation_notes" sheetId="6" r:id="rId6"/>
    <sheet name="recalibration_points" sheetId="7" r:id="rId7"/>
    <sheet name="manual_test_points" sheetId="8" r:id="rId8"/>
    <sheet name="desk_drift" sheetId="10" r:id="rId9"/>
    <sheet name="floor_confusion" sheetId="9" r:id="rId10"/>
    <sheet name="Elevator Summary" sheetId="11" r:id="rId11"/>
    <sheet name="Barometer Summary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" i="11" l="1"/>
  <c r="C28" i="11"/>
  <c r="C29" i="11"/>
  <c r="C30" i="11"/>
  <c r="C26" i="11"/>
  <c r="C12" i="11"/>
  <c r="C13" i="11"/>
  <c r="C14" i="11"/>
  <c r="C15" i="11"/>
  <c r="C11" i="11"/>
  <c r="C31" i="12" a="1"/>
  <c r="C31" i="12" s="1"/>
  <c r="C30" i="12" a="1"/>
  <c r="C30" i="12" s="1"/>
  <c r="C29" i="12"/>
  <c r="C28" i="12"/>
  <c r="C27" i="12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2" i="8"/>
  <c r="G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3" i="8"/>
  <c r="G2" i="8"/>
  <c r="C7" i="11"/>
  <c r="G3" i="11" s="1"/>
  <c r="C47" i="12"/>
  <c r="C5" i="11"/>
  <c r="C48" i="12"/>
  <c r="C53" i="12"/>
  <c r="C50" i="12"/>
  <c r="C49" i="12"/>
  <c r="C45" i="12"/>
  <c r="C44" i="12"/>
  <c r="C42" i="12"/>
  <c r="C25" i="12"/>
  <c r="C24" i="12"/>
  <c r="C18" i="12"/>
  <c r="C19" i="12"/>
  <c r="C13" i="12"/>
  <c r="C12" i="12"/>
  <c r="C2" i="11"/>
  <c r="C3" i="11"/>
  <c r="C10" i="11"/>
  <c r="C9" i="11"/>
  <c r="C8" i="11"/>
  <c r="G4" i="11" s="1"/>
  <c r="C23" i="11"/>
  <c r="H4" i="11" s="1"/>
  <c r="C52" i="12"/>
  <c r="C43" i="12"/>
  <c r="C41" i="12"/>
  <c r="C37" i="12"/>
  <c r="C36" i="12"/>
  <c r="C35" i="12"/>
  <c r="C34" i="12"/>
  <c r="C22" i="12"/>
  <c r="C23" i="12" s="1"/>
  <c r="C21" i="12"/>
  <c r="C16" i="12"/>
  <c r="C17" i="12" s="1"/>
  <c r="C15" i="12"/>
  <c r="C10" i="12"/>
  <c r="C11" i="12" s="1"/>
  <c r="C9" i="12"/>
  <c r="C7" i="12"/>
  <c r="H6" i="12"/>
  <c r="G6" i="12"/>
  <c r="I6" i="12" s="1"/>
  <c r="C6" i="12"/>
  <c r="H5" i="12"/>
  <c r="G5" i="12"/>
  <c r="C5" i="12"/>
  <c r="H4" i="12"/>
  <c r="G4" i="12"/>
  <c r="I4" i="12" s="1"/>
  <c r="H3" i="12"/>
  <c r="G3" i="12"/>
  <c r="I3" i="12" s="1"/>
  <c r="C3" i="12"/>
  <c r="C4" i="12" s="1"/>
  <c r="H2" i="12"/>
  <c r="G2" i="12"/>
  <c r="C2" i="12"/>
  <c r="C49" i="11"/>
  <c r="C48" i="11"/>
  <c r="C46" i="11"/>
  <c r="C41" i="11"/>
  <c r="C42" i="11" s="1"/>
  <c r="H5" i="11" s="1"/>
  <c r="C40" i="11"/>
  <c r="C38" i="11"/>
  <c r="C33" i="11"/>
  <c r="C32" i="11"/>
  <c r="C25" i="11"/>
  <c r="C24" i="11"/>
  <c r="C20" i="11"/>
  <c r="C18" i="11"/>
  <c r="C17" i="11"/>
  <c r="H7" i="11"/>
  <c r="G7" i="11"/>
  <c r="H6" i="11"/>
  <c r="G6" i="11"/>
  <c r="H3" i="11"/>
  <c r="C6" i="11" l="1"/>
  <c r="C34" i="11"/>
  <c r="G5" i="11" s="1"/>
  <c r="I5" i="12"/>
  <c r="I2" i="12"/>
  <c r="C46" i="12"/>
  <c r="C4" i="11"/>
  <c r="G2" i="11" s="1"/>
  <c r="C21" i="11"/>
  <c r="C19" i="11"/>
  <c r="H2" i="11" s="1"/>
  <c r="C51" i="1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<sst xmlns="http://schemas.openxmlformats.org/spreadsheetml/2006/main" count="2278" uniqueCount="575">
  <si>
    <t>timestamp</t>
  </si>
  <si>
    <t>command</t>
  </si>
  <si>
    <t>url</t>
  </si>
  <si>
    <t>success</t>
  </si>
  <si>
    <t>http_status</t>
  </si>
  <si>
    <t>response_time_ms</t>
  </si>
  <si>
    <t>response_bytes</t>
  </si>
  <si>
    <t>press_finished</t>
  </si>
  <si>
    <t>energy_saving_mode</t>
  </si>
  <si>
    <t>threshold</t>
  </si>
  <si>
    <t>threshold_reached</t>
  </si>
  <si>
    <t>trigger_angle</t>
  </si>
  <si>
    <t>fsr_raw</t>
  </si>
  <si>
    <t>fsr_voltage</t>
  </si>
  <si>
    <t>status</t>
  </si>
  <si>
    <t>wifi_mode</t>
  </si>
  <si>
    <t>wifi_ssid</t>
  </si>
  <si>
    <t>ip</t>
  </si>
  <si>
    <t>wifi_connected</t>
  </si>
  <si>
    <t>current_angle</t>
  </si>
  <si>
    <t>fsr_threshold</t>
  </si>
  <si>
    <t>last_fsr_raw</t>
  </si>
  <si>
    <t>last_fsr_voltage</t>
  </si>
  <si>
    <t>last_trigger_angle</t>
  </si>
  <si>
    <t>last_press_reached_threshold</t>
  </si>
  <si>
    <t>wifi_rssi_dbm</t>
  </si>
  <si>
    <t>press</t>
  </si>
  <si>
    <t>http://192.168.8.226/press</t>
  </si>
  <si>
    <t>yes</t>
  </si>
  <si>
    <t>no</t>
  </si>
  <si>
    <t>device_name</t>
  </si>
  <si>
    <t>device_address</t>
  </si>
  <si>
    <t>scan_ms</t>
  </si>
  <si>
    <t>rssi_last_dbm</t>
  </si>
  <si>
    <t>rssi_mean_dbm</t>
  </si>
  <si>
    <t>rssi_min_dbm</t>
  </si>
  <si>
    <t>rssi_max_dbm</t>
  </si>
  <si>
    <t>rssi_samples</t>
  </si>
  <si>
    <t>connect_ms</t>
  </si>
  <si>
    <t>notify_setup_ms</t>
  </si>
  <si>
    <t>command_write_ms</t>
  </si>
  <si>
    <t>time_to_first_response_ms</t>
  </si>
  <si>
    <t>response_wait_ms</t>
  </si>
  <si>
    <t>disconnect_ms</t>
  </si>
  <si>
    <t>total_ms</t>
  </si>
  <si>
    <t>notification_count</t>
  </si>
  <si>
    <t>response_line_count</t>
  </si>
  <si>
    <t>PRESS</t>
  </si>
  <si>
    <t>XIAO-FSR-SERVO</t>
  </si>
  <si>
    <t>F6:75:48:70:C7:F7</t>
  </si>
  <si>
    <t>True</t>
  </si>
  <si>
    <t>False</t>
  </si>
  <si>
    <t>source_csv</t>
  </si>
  <si>
    <t>cycle_id</t>
  </si>
  <si>
    <t>distance_m</t>
  </si>
  <si>
    <t>attempt</t>
  </si>
  <si>
    <t>attempt_started_at</t>
  </si>
  <si>
    <t>attempt_completed_at</t>
  </si>
  <si>
    <t>attempt_total_ms</t>
  </si>
  <si>
    <t>tcp_connect_success</t>
  </si>
  <si>
    <t>tcp_connect_ms</t>
  </si>
  <si>
    <t>tcp_error</t>
  </si>
  <si>
    <t>request_started_at</t>
  </si>
  <si>
    <t>headers_received_at</t>
  </si>
  <si>
    <t>response_completed_at</t>
  </si>
  <si>
    <t>time_to_headers_ms</t>
  </si>
  <si>
    <t>body_download_ms</t>
  </si>
  <si>
    <t>http_total_ms</t>
  </si>
  <si>
    <t>measurement_total_ms</t>
  </si>
  <si>
    <t>esp32_rssi_dbm</t>
  </si>
  <si>
    <t>robot_wifi_signal_before_dbm</t>
  </si>
  <si>
    <t>robot_wifi_signal_after_dbm</t>
  </si>
  <si>
    <t>distance_check_wifi_20260621_150721.csv</t>
  </si>
  <si>
    <t>2026-06-21T15:07:31.777</t>
  </si>
  <si>
    <t>2026-06-21T15:07:23.470</t>
  </si>
  <si>
    <t>2026-06-21T15:07:23.504</t>
  </si>
  <si>
    <t>2026-06-21T15:07:31.764</t>
  </si>
  <si>
    <t>2026-06-21T15:07:31.767</t>
  </si>
  <si>
    <t>2026-06-21T15:08:05.793</t>
  </si>
  <si>
    <t>2026-06-21T15:07:57.450</t>
  </si>
  <si>
    <t>2026-06-21T15:07:57.508</t>
  </si>
  <si>
    <t>2026-06-21T15:08:05.783</t>
  </si>
  <si>
    <t>2026-06-21T15:08:05.784</t>
  </si>
  <si>
    <t>2026-06-21T15:08:27.961</t>
  </si>
  <si>
    <t>2026-06-21T15:08:19.223</t>
  </si>
  <si>
    <t>2026-06-21T15:08:19.503</t>
  </si>
  <si>
    <t>2026-06-21T15:08:27.914</t>
  </si>
  <si>
    <t>2026-06-21T15:08:27.953</t>
  </si>
  <si>
    <t>2026-06-21T15:08:46.511</t>
  </si>
  <si>
    <t>2026-06-21T15:08:37.962</t>
  </si>
  <si>
    <t>2026-06-21T15:08:38.067</t>
  </si>
  <si>
    <t>2026-06-21T15:08:46.474</t>
  </si>
  <si>
    <t>2026-06-21T15:08:46.504</t>
  </si>
  <si>
    <t>2026-06-21T15:09:02.522</t>
  </si>
  <si>
    <t>2026-06-21T15:08:54.026</t>
  </si>
  <si>
    <t>2026-06-21T15:08:54.232</t>
  </si>
  <si>
    <t>2026-06-21T15:09:02.502</t>
  </si>
  <si>
    <t>2026-06-21T15:09:02.515</t>
  </si>
  <si>
    <t>2026-06-21T15:09:17.876</t>
  </si>
  <si>
    <t>2026-06-21T15:09:09.526</t>
  </si>
  <si>
    <t>2026-06-21T15:09:09.589</t>
  </si>
  <si>
    <t>2026-06-21T15:09:17.868</t>
  </si>
  <si>
    <t>2026-06-21T15:09:40.863</t>
  </si>
  <si>
    <t>2026-06-21T15:09:32.271</t>
  </si>
  <si>
    <t>2026-06-21T15:09:32.382</t>
  </si>
  <si>
    <t>2026-06-21T15:09:40.808</t>
  </si>
  <si>
    <t>2026-06-21T15:09:40.853</t>
  </si>
  <si>
    <t>2026-06-21T15:10:03.803</t>
  </si>
  <si>
    <t>2026-06-21T15:09:55.181</t>
  </si>
  <si>
    <t>2026-06-21T15:09:55.299</t>
  </si>
  <si>
    <t>2026-06-21T15:10:03.747</t>
  </si>
  <si>
    <t>2026-06-21T15:10:03.795</t>
  </si>
  <si>
    <t>2026-06-21T15:10:32.997</t>
  </si>
  <si>
    <t>2026-06-21T15:10:17.693</t>
  </si>
  <si>
    <t>2026-06-21T15:10:17.843</t>
  </si>
  <si>
    <t>2026-06-21T15:10:32.989</t>
  </si>
  <si>
    <t>2026-06-21T15:10:59.717</t>
  </si>
  <si>
    <t>2026-06-21T15:10:52.527</t>
  </si>
  <si>
    <t>[Errno 113] No route to host</t>
  </si>
  <si>
    <t>2026-06-21T15:10:56.637</t>
  </si>
  <si>
    <t>2026-06-21T15:10:59.709</t>
  </si>
  <si>
    <t>distance_check_wifi_20260621_151117.csv</t>
  </si>
  <si>
    <t>2026-06-21T15:11:46.335</t>
  </si>
  <si>
    <t>2026-06-21T15:11:37.892</t>
  </si>
  <si>
    <t>2026-06-21T15:11:38.069</t>
  </si>
  <si>
    <t>2026-06-21T15:11:46.327</t>
  </si>
  <si>
    <t>2026-06-21T15:12:06.011</t>
  </si>
  <si>
    <t>2026-06-21T15:11:57.695</t>
  </si>
  <si>
    <t>2026-06-21T15:11:57.743</t>
  </si>
  <si>
    <t>2026-06-21T15:12:06.001</t>
  </si>
  <si>
    <t>2026-06-21T15:12:44.894</t>
  </si>
  <si>
    <t>2026-06-21T15:12:14.854</t>
  </si>
  <si>
    <t>timed out</t>
  </si>
  <si>
    <t>2026-06-21T15:12:29.869</t>
  </si>
  <si>
    <t>2026-06-21T15:12:44.885</t>
  </si>
  <si>
    <t>distance_check_wifi_20260621_151321.csv</t>
  </si>
  <si>
    <t>2026-06-21T15:13:45.727</t>
  </si>
  <si>
    <t>2026-06-21T15:13:37.132</t>
  </si>
  <si>
    <t>2026-06-21T15:13:37.376</t>
  </si>
  <si>
    <t>2026-06-21T15:13:45.718</t>
  </si>
  <si>
    <t>2026-06-21T15:14:07.030</t>
  </si>
  <si>
    <t>2026-06-21T15:13:58.738</t>
  </si>
  <si>
    <t>2026-06-21T15:13:58.765</t>
  </si>
  <si>
    <t>2026-06-21T15:14:07.023</t>
  </si>
  <si>
    <t>2026-06-21T15:14:26.160</t>
  </si>
  <si>
    <t>2026-06-21T15:14:17.438</t>
  </si>
  <si>
    <t>2026-06-21T15:14:17.689</t>
  </si>
  <si>
    <t>2026-06-21T15:14:26.113</t>
  </si>
  <si>
    <t>2026-06-21T15:14:26.152</t>
  </si>
  <si>
    <t>2026-06-21T15:14:46.170</t>
  </si>
  <si>
    <t>2026-06-21T15:14:37.619</t>
  </si>
  <si>
    <t>2026-06-21T15:14:37.726</t>
  </si>
  <si>
    <t>2026-06-21T15:14:46.116</t>
  </si>
  <si>
    <t>2026-06-21T15:14:46.162</t>
  </si>
  <si>
    <t>2026-06-21T15:15:04.784</t>
  </si>
  <si>
    <t>2026-06-21T15:14:56.373</t>
  </si>
  <si>
    <t>2026-06-21T15:14:56.519</t>
  </si>
  <si>
    <t>2026-06-21T15:15:04.775</t>
  </si>
  <si>
    <t>2026-06-21T15:15:04.776</t>
  </si>
  <si>
    <t>2026-06-21T15:15:42.779</t>
  </si>
  <si>
    <t>2026-06-21T15:15:12.732</t>
  </si>
  <si>
    <t>2026-06-21T15:15:27.753</t>
  </si>
  <si>
    <t>2026-06-21T15:15:42.769</t>
  </si>
  <si>
    <t>distance_check_wifi_20260621_151559.csv</t>
  </si>
  <si>
    <t>2026-06-21T15:16:22.812</t>
  </si>
  <si>
    <t>2026-06-21T15:16:14.254</t>
  </si>
  <si>
    <t>2026-06-21T15:16:22.811</t>
  </si>
  <si>
    <t>2026-06-21T15:16:14.466</t>
  </si>
  <si>
    <t>2026-06-21T15:16:22.803</t>
  </si>
  <si>
    <t>2026-06-21T15:16:22.804</t>
  </si>
  <si>
    <t>2026-06-21T15:16:43.919</t>
  </si>
  <si>
    <t>2026-06-21T15:16:35.483</t>
  </si>
  <si>
    <t>2026-06-21T15:16:35.641</t>
  </si>
  <si>
    <t>2026-06-21T15:16:43.896</t>
  </si>
  <si>
    <t>2026-06-21T15:16:43.911</t>
  </si>
  <si>
    <t>2026-06-21T15:17:02.223</t>
  </si>
  <si>
    <t>2026-06-21T15:16:53.705</t>
  </si>
  <si>
    <t>2026-06-21T15:16:53.873</t>
  </si>
  <si>
    <t>2026-06-21T15:17:02.214</t>
  </si>
  <si>
    <t>2026-06-21T15:17:02.215</t>
  </si>
  <si>
    <t>2026-06-21T15:17:20.525</t>
  </si>
  <si>
    <t>2026-06-21T15:17:12.063</t>
  </si>
  <si>
    <t>2026-06-21T15:17:12.105</t>
  </si>
  <si>
    <t>2026-06-21T15:17:20.513</t>
  </si>
  <si>
    <t>2026-06-21T15:17:20.516</t>
  </si>
  <si>
    <t>2026-06-21T15:17:40.458</t>
  </si>
  <si>
    <t>2026-06-21T15:17:31.953</t>
  </si>
  <si>
    <t>2026-06-21T15:17:32.166</t>
  </si>
  <si>
    <t>2026-06-21T15:17:40.423</t>
  </si>
  <si>
    <t>2026-06-21T15:17:40.448</t>
  </si>
  <si>
    <t>2026-06-21T15:18:01.759</t>
  </si>
  <si>
    <t>2026-06-21T15:17:50.024</t>
  </si>
  <si>
    <t>2026-06-21T15:17:50.451</t>
  </si>
  <si>
    <t>2026-06-21T15:18:01.749</t>
  </si>
  <si>
    <t>2026-06-21T15:18:19.961</t>
  </si>
  <si>
    <t>2026-06-21T15:18:11.327</t>
  </si>
  <si>
    <t>2026-06-21T15:18:11.515</t>
  </si>
  <si>
    <t>2026-06-21T15:18:19.945</t>
  </si>
  <si>
    <t>2026-06-21T15:18:19.954</t>
  </si>
  <si>
    <t>2026-06-21T15:18:46.077</t>
  </si>
  <si>
    <t>2026-06-21T15:18:30.882</t>
  </si>
  <si>
    <t>2026-06-21T15:18:30.956</t>
  </si>
  <si>
    <t>2026-06-21T15:18:46.069</t>
  </si>
  <si>
    <t>Max run 1</t>
  </si>
  <si>
    <t>Max run 2</t>
  </si>
  <si>
    <t>Signal strength 1m</t>
  </si>
  <si>
    <t>Max run 3</t>
  </si>
  <si>
    <t>Max run 4</t>
  </si>
  <si>
    <t>Mean</t>
  </si>
  <si>
    <t>configured_address</t>
  </si>
  <si>
    <t>connected_address</t>
  </si>
  <si>
    <t>scan_before_found</t>
  </si>
  <si>
    <t>scan_before_ms</t>
  </si>
  <si>
    <t>rssi_before_last_dbm</t>
  </si>
  <si>
    <t>rssi_before_mean_dbm</t>
  </si>
  <si>
    <t>rssi_before_min_dbm</t>
  </si>
  <si>
    <t>rssi_before_max_dbm</t>
  </si>
  <si>
    <t>rssi_before_samples</t>
  </si>
  <si>
    <t>time_to_first_notification_ms</t>
  </si>
  <si>
    <t>command_to_completion_ms</t>
  </si>
  <si>
    <t>total_attempt_ms</t>
  </si>
  <si>
    <t>distance_check_ble_20260621_211416.csv</t>
  </si>
  <si>
    <t>2026-06-21T21:14:37.423</t>
  </si>
  <si>
    <t>2026-06-21T21:15:29.630</t>
  </si>
  <si>
    <t>distance_check_ble_20260621_211726.csv</t>
  </si>
  <si>
    <t>2026-06-21T21:17:28.242</t>
  </si>
  <si>
    <t>2026-06-21T21:18:07.628</t>
  </si>
  <si>
    <t>2026-06-21T21:18:40.604</t>
  </si>
  <si>
    <t>2026-06-21T21:19:22.047</t>
  </si>
  <si>
    <t>2026-06-21T21:19:53.560</t>
  </si>
  <si>
    <t>2026-06-21T21:20:24.975</t>
  </si>
  <si>
    <t>2026-06-21T21:21:00.492</t>
  </si>
  <si>
    <t>distance_check_ble_20260621_212139.csv</t>
  </si>
  <si>
    <t>2026-06-21T21:21:41.865</t>
  </si>
  <si>
    <t>distance_check_ble_20260621_212407.csv</t>
  </si>
  <si>
    <t>2026-06-21T21:24:08.390</t>
  </si>
  <si>
    <t>2026-06-21T21:24:42.435</t>
  </si>
  <si>
    <t>2026-06-21T21:25:12.458</t>
  </si>
  <si>
    <t>2026-06-21T21:25:48.452</t>
  </si>
  <si>
    <t>2026-06-21T21:26:19.334</t>
  </si>
  <si>
    <t>2026-06-21T21:26:48.621</t>
  </si>
  <si>
    <t>2026-06-21T21:27:19.581</t>
  </si>
  <si>
    <t>max run 1</t>
  </si>
  <si>
    <t>max run 2</t>
  </si>
  <si>
    <t>max run 3</t>
  </si>
  <si>
    <t>max run 4</t>
  </si>
  <si>
    <t>Idle Test</t>
  </si>
  <si>
    <t>Stage</t>
  </si>
  <si>
    <t>Time/Condition</t>
  </si>
  <si>
    <t>Button pressed once</t>
  </si>
  <si>
    <t>Voltage</t>
  </si>
  <si>
    <t>BLE</t>
  </si>
  <si>
    <t>after 1h</t>
  </si>
  <si>
    <t>Wi-Fi</t>
  </si>
  <si>
    <t>wifi</t>
  </si>
  <si>
    <t>ble</t>
  </si>
  <si>
    <t>3.96V</t>
  </si>
  <si>
    <t>3.97V</t>
  </si>
  <si>
    <t>Test Nr</t>
  </si>
  <si>
    <t>Button</t>
  </si>
  <si>
    <t>success (y/n)</t>
  </si>
  <si>
    <t>Wifi</t>
  </si>
  <si>
    <t>Button pressed</t>
  </si>
  <si>
    <t>threshhold reached</t>
  </si>
  <si>
    <t>y</t>
  </si>
  <si>
    <t>out 1</t>
  </si>
  <si>
    <t>n</t>
  </si>
  <si>
    <t>amount correct</t>
  </si>
  <si>
    <t>final test done</t>
  </si>
  <si>
    <t>Successrate</t>
  </si>
  <si>
    <t>3.91 V</t>
  </si>
  <si>
    <t>Voltage in V</t>
  </si>
  <si>
    <t>Start</t>
  </si>
  <si>
    <t>End</t>
  </si>
  <si>
    <t>Time start</t>
  </si>
  <si>
    <t>Time end</t>
  </si>
  <si>
    <t>Duration</t>
  </si>
  <si>
    <t>sheet_name</t>
  </si>
  <si>
    <t>row_in_sheet</t>
  </si>
  <si>
    <t>run_start_datetime_raw</t>
  </si>
  <si>
    <t>estimated_datetime</t>
  </si>
  <si>
    <t>time_min</t>
  </si>
  <si>
    <t>calibrated_floor</t>
  </si>
  <si>
    <t>estimated_floor</t>
  </si>
  <si>
    <t>actual_floor</t>
  </si>
  <si>
    <t>pressure_hPa</t>
  </si>
  <si>
    <t>relative_height_m</t>
  </si>
  <si>
    <t>temperature_C</t>
  </si>
  <si>
    <t>floor0_recal</t>
  </si>
  <si>
    <t>20.06.26 20:37</t>
  </si>
  <si>
    <t>floor0_recali</t>
  </si>
  <si>
    <t>20.06.26 20:46:20</t>
  </si>
  <si>
    <t>floor0_recalibrated</t>
  </si>
  <si>
    <t>20.02.26 20:22:34</t>
  </si>
  <si>
    <t>floor1_recal</t>
  </si>
  <si>
    <t>22.06.36 13:08:49</t>
  </si>
  <si>
    <t>calibration_phase</t>
  </si>
  <si>
    <t>floor_error</t>
  </si>
  <si>
    <t>abs_floor_error</t>
  </si>
  <si>
    <t>correct_eval</t>
  </si>
  <si>
    <t>offset_from_estimated_floor_m</t>
  </si>
  <si>
    <t>before_calibration</t>
  </si>
  <si>
    <t>after_calibration</t>
  </si>
  <si>
    <t>not_recalibrated</t>
  </si>
  <si>
    <t>no_calibration_in_run</t>
  </si>
  <si>
    <t>type</t>
  </si>
  <si>
    <t>time_ms</t>
  </si>
  <si>
    <t>pressure_Pa</t>
  </si>
  <si>
    <t>correct</t>
  </si>
  <si>
    <t>calibration</t>
  </si>
  <si>
    <t>read</t>
  </si>
  <si>
    <t>Section</t>
  </si>
  <si>
    <t>Metric</t>
  </si>
  <si>
    <t>Formula value</t>
  </si>
  <si>
    <t>Unit/notes</t>
  </si>
  <si>
    <t>Comparison metric</t>
  </si>
  <si>
    <t>WiFi</t>
  </si>
  <si>
    <t>Note</t>
  </si>
  <si>
    <t>WiFi normal</t>
  </si>
  <si>
    <t>Total commands</t>
  </si>
  <si>
    <t>runs</t>
  </si>
  <si>
    <t>Normal success rate</t>
  </si>
  <si>
    <t>same normal operation test</t>
  </si>
  <si>
    <t>Successful commands</t>
  </si>
  <si>
    <t>Average normal command time</t>
  </si>
  <si>
    <t>ms</t>
  </si>
  <si>
    <t>Success rate</t>
  </si>
  <si>
    <t>success / total</t>
  </si>
  <si>
    <t>Average normal RSSI</t>
  </si>
  <si>
    <t>dBm</t>
  </si>
  <si>
    <t>Threshold reached</t>
  </si>
  <si>
    <t>Distance success rate</t>
  </si>
  <si>
    <t>distance test</t>
  </si>
  <si>
    <t>Threshold reached rate</t>
  </si>
  <si>
    <t>threshold yes / total</t>
  </si>
  <si>
    <t>Maximum successful distance</t>
  </si>
  <si>
    <t>m</t>
  </si>
  <si>
    <t>Average response time</t>
  </si>
  <si>
    <t>ms, successful only</t>
  </si>
  <si>
    <t>Average distance command time</t>
  </si>
  <si>
    <t>Average ESP32 RSSI</t>
  </si>
  <si>
    <t>Minimum ESP32 RSSI</t>
  </si>
  <si>
    <t>Maximum ESP32 RSSI</t>
  </si>
  <si>
    <t>BLE normal</t>
  </si>
  <si>
    <t>Average total time</t>
  </si>
  <si>
    <t>Average RSSI mean</t>
  </si>
  <si>
    <t>Minimum RSSI last</t>
  </si>
  <si>
    <t>Maximum RSSI last</t>
  </si>
  <si>
    <t>WiFi distance</t>
  </si>
  <si>
    <t>Total distance attempts</t>
  </si>
  <si>
    <t>attempts</t>
  </si>
  <si>
    <t>Successful distance attempts</t>
  </si>
  <si>
    <t>Average attempt total time</t>
  </si>
  <si>
    <t>Average HTTP total time</t>
  </si>
  <si>
    <t>BLE distance</t>
  </si>
  <si>
    <t>Average total attempt time</t>
  </si>
  <si>
    <t>Average command-to-completion time</t>
  </si>
  <si>
    <t>Average RSSI before mean</t>
  </si>
  <si>
    <t>Idle test</t>
  </si>
  <si>
    <t>WiFi voltage drop</t>
  </si>
  <si>
    <t>V, start - after 1h</t>
  </si>
  <si>
    <t>BLE voltage drop</t>
  </si>
  <si>
    <t>Actual floor</t>
  </si>
  <si>
    <t>Correct points</t>
  </si>
  <si>
    <t>Total points</t>
  </si>
  <si>
    <t>Accuracy</t>
  </si>
  <si>
    <t>Manual floor test</t>
  </si>
  <si>
    <t>Total test points</t>
  </si>
  <si>
    <t>points</t>
  </si>
  <si>
    <t>Correct test points</t>
  </si>
  <si>
    <t>Overall accuracy</t>
  </si>
  <si>
    <t>correct / total</t>
  </si>
  <si>
    <t>Mean floor error</t>
  </si>
  <si>
    <t>floors</t>
  </si>
  <si>
    <t>Mean absolute floor error</t>
  </si>
  <si>
    <t>Maximum absolute floor error</t>
  </si>
  <si>
    <t>After calibration</t>
  </si>
  <si>
    <t>Test points</t>
  </si>
  <si>
    <t>Before calibration</t>
  </si>
  <si>
    <t>No calibration in run</t>
  </si>
  <si>
    <t>Calibration points</t>
  </si>
  <si>
    <t>Calibration point count</t>
  </si>
  <si>
    <t>Average calibration pressure</t>
  </si>
  <si>
    <t>hPa</t>
  </si>
  <si>
    <t>Minimum calibration pressure</t>
  </si>
  <si>
    <t>Maximum calibration pressure</t>
  </si>
  <si>
    <t>Minimum relative height</t>
  </si>
  <si>
    <t>Maximum relative height</t>
  </si>
  <si>
    <t>Desk drift test</t>
  </si>
  <si>
    <t>Read rows</t>
  </si>
  <si>
    <t>read samples</t>
  </si>
  <si>
    <t>s</t>
  </si>
  <si>
    <t>Average pressure</t>
  </si>
  <si>
    <t>Pa</t>
  </si>
  <si>
    <t>Minimum pressure</t>
  </si>
  <si>
    <t>Maximum pressure</t>
  </si>
  <si>
    <t>Pressure range</t>
  </si>
  <si>
    <t>Pressure standard deviation</t>
  </si>
  <si>
    <t>Average relative height</t>
  </si>
  <si>
    <t>Relative height range</t>
  </si>
  <si>
    <t>Average temperature</t>
  </si>
  <si>
    <t>°C</t>
  </si>
  <si>
    <t>Temperature range</t>
  </si>
  <si>
    <t>2026-06-21T21:53:10,878</t>
  </si>
  <si>
    <t>2026-06-21T21:53:40,990</t>
  </si>
  <si>
    <t>2026-06-21T21:54:03,907</t>
  </si>
  <si>
    <t>2026-06-21T21:54:41,926</t>
  </si>
  <si>
    <t>2026-06-21T21:55:03,514</t>
  </si>
  <si>
    <t>2026-06-21T21:55:27,599</t>
  </si>
  <si>
    <t>2026-06-21T21:55:48,666</t>
  </si>
  <si>
    <t>2026-06-21T21:56:09,405</t>
  </si>
  <si>
    <t>2026-06-21T21:56:36,626</t>
  </si>
  <si>
    <t>2026-06-21T21:57:01,080</t>
  </si>
  <si>
    <t>2026-06-21T21:57:23,877</t>
  </si>
  <si>
    <t>2026-06-21T21:57:44,957</t>
  </si>
  <si>
    <t>2026-06-21T21:58:10,003</t>
  </si>
  <si>
    <t>2026-06-21T21:58:31,952</t>
  </si>
  <si>
    <t>2026-06-21T21:58:52,281</t>
  </si>
  <si>
    <t>2026-06-21T21:59:12,777</t>
  </si>
  <si>
    <t>2026-06-21T21:59:33,608</t>
  </si>
  <si>
    <t>2026-06-21T21:59:53,667</t>
  </si>
  <si>
    <t>2026-06-21T22:00:15,258</t>
  </si>
  <si>
    <t>2026-06-21T22:00:35,126</t>
  </si>
  <si>
    <t>2026-06-21T22:00:55,422</t>
  </si>
  <si>
    <t>2026-06-21T22:01:15,769</t>
  </si>
  <si>
    <t>2026-06-21T22:01:36,836</t>
  </si>
  <si>
    <t>2026-06-21T22:01:57,373</t>
  </si>
  <si>
    <t>2026-06-21T22:02:17,115</t>
  </si>
  <si>
    <t>2026-06-21T22:03:26,236</t>
  </si>
  <si>
    <t>2026-06-21T22:03:50,140</t>
  </si>
  <si>
    <t>2026-06-21T22:04:10,231</t>
  </si>
  <si>
    <t>2026-06-21T22:04:29,990</t>
  </si>
  <si>
    <t>2026-06-21T22:04:50,067</t>
  </si>
  <si>
    <t>2026-06-21T22:05:10,575</t>
  </si>
  <si>
    <t>2026-06-21T22:05:40,397</t>
  </si>
  <si>
    <t>2026-06-21T22:06:00,480</t>
  </si>
  <si>
    <t>2026-06-21T22:06:20,469</t>
  </si>
  <si>
    <t>2026-06-21T22:06:40,153</t>
  </si>
  <si>
    <t>2026-06-21T22:07:00,191</t>
  </si>
  <si>
    <t>2026-06-21T22:07:20,532</t>
  </si>
  <si>
    <t>2026-06-21T22:07:45,133</t>
  </si>
  <si>
    <t>2026-06-21T22:08:06,102</t>
  </si>
  <si>
    <t>2026-06-21T22:11:04,054</t>
  </si>
  <si>
    <t>2026-06-21T22:11:26,428</t>
  </si>
  <si>
    <t>2026-06-21T22:11:45,970</t>
  </si>
  <si>
    <t>2026-06-21T22:12:06,101</t>
  </si>
  <si>
    <t>2026-06-21T22:12:26,171</t>
  </si>
  <si>
    <t>2026-06-21T22:12:45,994</t>
  </si>
  <si>
    <t>2026-06-21T22:13:05,926</t>
  </si>
  <si>
    <t>2026-06-21T22:13:26,311</t>
  </si>
  <si>
    <t>2026-06-21T22:13:46,107</t>
  </si>
  <si>
    <t>2026-06-21T22:14:07,666</t>
  </si>
  <si>
    <t>2026-06-21T22:14:29,221</t>
  </si>
  <si>
    <t>2026-06-21T22:14:48,850</t>
  </si>
  <si>
    <t>2026-06-21T22:15:08,832</t>
  </si>
  <si>
    <t>2026-06-21T22:15:29,596</t>
  </si>
  <si>
    <t>2026-06-21T22:15:50,601</t>
  </si>
  <si>
    <t>response</t>
  </si>
  <si>
    <t>error</t>
  </si>
  <si>
    <t>2026-06-21T19:13:08.193</t>
  </si>
  <si>
    <t>Press command finished | energy_saving_mode=yes | threshold=10 | threshold_reached=yes | trigger_angle=176 | fsr_raw=27 | fsr_voltage=0.0218 | wifi_rssi_dbm=-34</t>
  </si>
  <si>
    <t>2026-06-21T19:13:24.622</t>
  </si>
  <si>
    <t>Press command finished | energy_saving_mode=yes | threshold=10 | threshold_reached=yes | trigger_angle=98 | fsr_raw=16 | fsr_voltage=0.0129 | wifi_rssi_dbm=-36</t>
  </si>
  <si>
    <t>2026-06-21T19:14:25.036</t>
  </si>
  <si>
    <t>Press command finished | energy_saving_mode=yes | threshold=20 | threshold_reached=yes | trigger_angle=180 | fsr_raw=20 | fsr_voltage=0.0161 | wifi_rssi_dbm=-39</t>
  </si>
  <si>
    <t>2026-06-21T19:15:28.599</t>
  </si>
  <si>
    <t>Press command finished | energy_saving_mode=yes | threshold=50 | threshold_reached=yes | trigger_angle=45 | fsr_raw=206 | fsr_voltage=0.1660 | wifi_rssi_dbm=-36</t>
  </si>
  <si>
    <t>2026-06-21T19:16:30.526</t>
  </si>
  <si>
    <t>Press command finished | energy_saving_mode=yes | threshold=50 | threshold_reached=yes | trigger_angle=43 | fsr_raw=158 | fsr_voltage=0.1273 | wifi_rssi_dbm=-47</t>
  </si>
  <si>
    <t>2026-06-21T19:18:39.920</t>
  </si>
  <si>
    <t>Press command finished | energy_saving_mode=yes | threshold=50 | threshold_reached=yes | trigger_angle=44 | fsr_raw=120 | fsr_voltage=0.0967 | wifi_rssi_dbm=-41</t>
  </si>
  <si>
    <t>2026-06-21T19:18:56.486</t>
  </si>
  <si>
    <t>Press command finished | energy_saving_mode=yes | threshold=50 | threshold_reached=yes | trigger_angle=45 | fsr_raw=105 | fsr_voltage=0.0846 | wifi_rssi_dbm=-40</t>
  </si>
  <si>
    <t>2026-06-21T19:19:11.362</t>
  </si>
  <si>
    <t>Press command finished | energy_saving_mode=yes | threshold=50 | threshold_reached=yes | trigger_angle=44 | fsr_raw=172 | fsr_voltage=0.1386 | wifi_rssi_dbm=-43</t>
  </si>
  <si>
    <t>2026-06-21T19:20:46.243</t>
  </si>
  <si>
    <t>Press command finished | energy_saving_mode=yes | threshold=50 | threshold_reached=yes | trigger_angle=45 | fsr_raw=166 | fsr_voltage=0.1338 | wifi_rssi_dbm=-39</t>
  </si>
  <si>
    <t>2026-06-21T19:20:59.350</t>
  </si>
  <si>
    <t>Press command finished | energy_saving_mode=yes | threshold=50 | threshold_reached=yes | trigger_angle=45 | fsr_raw=167 | fsr_voltage=0.1346 | wifi_rssi_dbm=-45</t>
  </si>
  <si>
    <t>2026-06-21T19:21:10.655</t>
  </si>
  <si>
    <t>Press command finished | energy_saving_mode=yes | threshold=50 | threshold_reached=yes | trigger_angle=44 | fsr_raw=158 | fsr_voltage=0.1273 | wifi_rssi_dbm=-47</t>
  </si>
  <si>
    <t>2026-06-21T19:21:20.076</t>
  </si>
  <si>
    <t>Press command finished | energy_saving_mode=yes | threshold=50 | threshold_reached=yes | trigger_angle=44 | fsr_raw=157 | fsr_voltage=0.1265 | wifi_rssi_dbm=-50</t>
  </si>
  <si>
    <t>2026-06-21T19:21:28.432</t>
  </si>
  <si>
    <t>Press command finished | energy_saving_mode=yes | threshold=50 | threshold_reached=yes | trigger_angle=45 | fsr_raw=125 | fsr_voltage=0.1007 | wifi_rssi_dbm=-49</t>
  </si>
  <si>
    <t>2026-06-21T19:21:36.008</t>
  </si>
  <si>
    <t>Press command finished | energy_saving_mode=yes | threshold=50 | threshold_reached=yes | trigger_angle=45 | fsr_raw=126 | fsr_voltage=0.1015 | wifi_rssi_dbm=-50</t>
  </si>
  <si>
    <t>2026-06-21T19:21:43.177</t>
  </si>
  <si>
    <t>Press command finished | energy_saving_mode=yes | threshold=50 | threshold_reached=yes | trigger_angle=45 | fsr_raw=76 | fsr_voltage=0.0612 | wifi_rssi_dbm=-47</t>
  </si>
  <si>
    <t>2026-06-21T19:21:53.294</t>
  </si>
  <si>
    <t>Press command finished | energy_saving_mode=yes | threshold=50 | threshold_reached=yes | trigger_angle=43 | fsr_raw=79 | fsr_voltage=0.0637 | wifi_rssi_dbm=-38</t>
  </si>
  <si>
    <t>2026-06-21T19:22:14.766</t>
  </si>
  <si>
    <t>Press command finished | energy_saving_mode=yes | threshold=50 | threshold_reached=yes | trigger_angle=44 | fsr_raw=78 | fsr_voltage=0.0629 | wifi_rssi_dbm=-37</t>
  </si>
  <si>
    <t>2026-06-21T19:24:08.294</t>
  </si>
  <si>
    <t>Press command finished | energy_saving_mode=yes | threshold=50 | threshold_reached=yes | trigger_angle=37 | fsr_raw=207 | fsr_voltage=0.1668 | wifi_rssi_dbm=-46</t>
  </si>
  <si>
    <t>2026-06-21T19:24:26.928</t>
  </si>
  <si>
    <t>Press command finished | energy_saving_mode=yes | threshold=50 | threshold_reached=yes | trigger_angle=37 | fsr_raw=154 | fsr_voltage=0.1241 | wifi_rssi_dbm=-55</t>
  </si>
  <si>
    <t>2026-06-21T19:24:35.324</t>
  </si>
  <si>
    <t>Press command finished | energy_saving_mode=yes | threshold=50 | threshold_reached=yes | trigger_angle=37 | fsr_raw=74 | fsr_voltage=0.0596 | wifi_rssi_dbm=-54</t>
  </si>
  <si>
    <t>2026-06-21T19:24:42.861</t>
  </si>
  <si>
    <t>Press command finished | energy_saving_mode=yes | threshold=50 | threshold_reached=yes | trigger_angle=38 | fsr_raw=61 | fsr_voltage=0.0492 | wifi_rssi_dbm=-53</t>
  </si>
  <si>
    <t>2026-06-21T19:24:52.425</t>
  </si>
  <si>
    <t>Press command finished | energy_saving_mode=yes | threshold=50 | threshold_reached=yes | trigger_angle=37 | fsr_raw=185 | fsr_voltage=0.1491 | wifi_rssi_dbm=-38</t>
  </si>
  <si>
    <t>2026-06-21T19:25:03.998</t>
  </si>
  <si>
    <t>Press command finished | energy_saving_mode=yes | threshold=50 | threshold_reached=yes | trigger_angle=37 | fsr_raw=167 | fsr_voltage=0.1346 | wifi_rssi_dbm=-55</t>
  </si>
  <si>
    <t>2026-06-21T19:25:13.664</t>
  </si>
  <si>
    <t>Press command finished | energy_saving_mode=yes | threshold=50 | threshold_reached=yes | trigger_angle=36 | fsr_raw=154 | fsr_voltage=0.1241 | wifi_rssi_dbm=-53</t>
  </si>
  <si>
    <t>2026-06-21T19:25:24.008</t>
  </si>
  <si>
    <t>Press command finished | energy_saving_mode=yes | threshold=50 | threshold_reached=yes | trigger_angle=36 | fsr_raw=106 | fsr_voltage=0.0854 | wifi_rssi_dbm=-54</t>
  </si>
  <si>
    <t>2026-06-21T19:25:33.123</t>
  </si>
  <si>
    <t>Press command finished | energy_saving_mode=yes | threshold=50 | threshold_reached=no | trigger_angle=0 | fsr_raw=5 | fsr_voltage=0.0040 | wifi_rssi_dbm=-52</t>
  </si>
  <si>
    <t>2026-06-21T19:25:46.490</t>
  </si>
  <si>
    <t>Press command finished | energy_saving_mode=yes | threshold=50 | threshold_reached=yes | trigger_angle=37 | fsr_raw=152 | fsr_voltage=0.1225 | wifi_rssi_dbm=-52</t>
  </si>
  <si>
    <t>2026-06-21T19:26:08.714</t>
  </si>
  <si>
    <t>Press command finished | energy_saving_mode=yes | threshold=50 | threshold_reached=yes | trigger_angle=37 | fsr_raw=205 | fsr_voltage=0.1652 | wifi_rssi_dbm=-37</t>
  </si>
  <si>
    <t>2026-06-21T19:26:17.890</t>
  </si>
  <si>
    <t>Press command finished | energy_saving_mode=yes | threshold=50 | threshold_reached=yes | trigger_angle=38 | fsr_raw=77 | fsr_voltage=0.0621 | wifi_rssi_dbm=-53</t>
  </si>
  <si>
    <t>2026-06-21T19:26:28.784</t>
  </si>
  <si>
    <t>Press command finished | energy_saving_mode=yes | threshold=50 | threshold_reached=yes | trigger_angle=37 | fsr_raw=220 | fsr_voltage=0.1773 | wifi_rssi_dbm=-55</t>
  </si>
  <si>
    <t>2026-06-21T19:26:36.730</t>
  </si>
  <si>
    <t>Press command finished | energy_saving_mode=yes | threshold=50 | threshold_reached=yes | trigger_angle=38 | fsr_raw=111 | fsr_voltage=0.0895 | wifi_rssi_dbm=-50</t>
  </si>
  <si>
    <t>2026-06-21T19:26:44.963</t>
  </si>
  <si>
    <t>Press command finished | energy_saving_mode=yes | threshold=50 | threshold_reached=yes | trigger_angle=37 | fsr_raw=235 | fsr_voltage=0.1894 | wifi_rssi_dbm=-53</t>
  </si>
  <si>
    <t>2026-06-21T19:29:21.276</t>
  </si>
  <si>
    <t>Press command finished | energy_saving_mode=yes | threshold=50 | threshold_reached=no | trigger_angle=0 | fsr_raw=8 | fsr_voltage=0.0064 | wifi_rssi_dbm=-39</t>
  </si>
  <si>
    <t>2026-06-21T19:29:48.763</t>
  </si>
  <si>
    <t>Press command finished | energy_saving_mode=yes | threshold=50 | threshold_reached=yes | trigger_angle=40 | fsr_raw=74 | fsr_voltage=0.0596 | wifi_rssi_dbm=-58</t>
  </si>
  <si>
    <t>2026-06-21T19:30:07.214</t>
  </si>
  <si>
    <t>Press command finished | energy_saving_mode=yes | threshold=50 | threshold_reached=yes | trigger_angle=29 | fsr_raw=57 | fsr_voltage=0.0459 | wifi_rssi_dbm=-34</t>
  </si>
  <si>
    <t>2026-06-21T19:30:19.911</t>
  </si>
  <si>
    <t>Press command finished | energy_saving_mode=yes | threshold=50 | threshold_reached=yes | trigger_angle=29 | fsr_raw=54 | fsr_voltage=0.0435 | wifi_rssi_dbm=-37</t>
  </si>
  <si>
    <t>2026-06-21T19:30:32.159</t>
  </si>
  <si>
    <t>Press command finished | energy_saving_mode=yes | threshold=50 | threshold_reached=yes | trigger_angle=30 | fsr_raw=57 | fsr_voltage=0.0459 | wifi_rssi_dbm=-39</t>
  </si>
  <si>
    <t>2026-06-21T19:30:42.194</t>
  </si>
  <si>
    <t>Press command finished | energy_saving_mode=yes | threshold=50 | threshold_reached=yes | trigger_angle=30 | fsr_raw=58 | fsr_voltage=0.0467 | wifi_rssi_dbm=-38</t>
  </si>
  <si>
    <t>2026-06-21T19:31:15.990</t>
  </si>
  <si>
    <t>Press command finished | energy_saving_mode=yes | threshold=50 | threshold_reached=yes | trigger_angle=30 | fsr_raw=57 | fsr_voltage=0.0459 | wifi_rssi_dbm=-34</t>
  </si>
  <si>
    <t>2026-06-21T19:31:28.071</t>
  </si>
  <si>
    <t>Press command finished | energy_saving_mode=yes | threshold=50 | threshold_reached=yes | trigger_angle=30 | fsr_raw=62 | fsr_voltage=0.0500 | wifi_rssi_dbm=-46</t>
  </si>
  <si>
    <t>2026-06-21T19:31:42.120</t>
  </si>
  <si>
    <t>Press command finished | energy_saving_mode=yes | threshold=50 | threshold_reached=yes | trigger_angle=32 | fsr_raw=64 | fsr_voltage=0.0516 | wifi_rssi_dbm=-36</t>
  </si>
  <si>
    <t>2026-06-21T19:31:52.157</t>
  </si>
  <si>
    <t>Press command finished | energy_saving_mode=yes | threshold=50 | threshold_reached=yes | trigger_angle=32 | fsr_raw=56 | fsr_voltage=0.0451 | wifi_rssi_dbm=-38</t>
  </si>
  <si>
    <t>2026-06-21T19:32:03.339</t>
  </si>
  <si>
    <t>Press command finished | energy_saving_mode=yes | threshold=50 | threshold_reached=yes | trigger_angle=34 | fsr_raw=55 | fsr_voltage=0.0443 | wifi_rssi_dbm=-38</t>
  </si>
  <si>
    <t>2026-06-21T19:32:17.794</t>
  </si>
  <si>
    <t>Press command finished | energy_saving_mode=yes | threshold=50 | threshold_reached=yes | trigger_angle=31 | fsr_raw=62 | fsr_voltage=0.0500 | wifi_rssi_dbm=-37</t>
  </si>
  <si>
    <t>2026-06-21T19:33:13.923</t>
  </si>
  <si>
    <t>Press command finished | energy_saving_mode=yes | threshold=50 | threshold_reached=yes | trigger_angle=26 | fsr_raw=63 | fsr_voltage=0.0508 | wifi_rssi_dbm=-54</t>
  </si>
  <si>
    <t>2026-06-21T19:34:00.397</t>
  </si>
  <si>
    <t>Press command finished | energy_saving_mode=yes | threshold=50 | threshold_reached=yes | trigger_angle=26 | fsr_raw=56 | fsr_voltage=0.0451 | wifi_rssi_dbm=-55</t>
  </si>
  <si>
    <t>2026-06-21T19:34:11.333</t>
  </si>
  <si>
    <t>Press command finished | energy_saving_mode=yes | threshold=50 | threshold_reached=yes | trigger_angle=24 | fsr_raw=76 | fsr_voltage=0.0612 | wifi_rssi_dbm=-55</t>
  </si>
  <si>
    <t>2026-06-21T19:34:19.195</t>
  </si>
  <si>
    <t>Press command finished | energy_saving_mode=yes | threshold=50 | threshold_reached=yes | trigger_angle=27 | fsr_raw=56 | fsr_voltage=0.0451 | wifi_rssi_dbm=-57</t>
  </si>
  <si>
    <t>2026-06-21T19:34:27.352</t>
  </si>
  <si>
    <t>Press command finished | energy_saving_mode=yes | threshold=50 | threshold_reached=yes | trigger_angle=28 | fsr_raw=59 | fsr_voltage=0.0475 | wifi_rssi_dbm=-56</t>
  </si>
  <si>
    <t>2026-06-21T19:34:42.129</t>
  </si>
  <si>
    <t>Press command finished | energy_saving_mode=yes | threshold=50 | threshold_reached=yes | trigger_angle=22 | fsr_raw=55 | fsr_voltage=0.0443 | wifi_rssi_dbm=-55</t>
  </si>
  <si>
    <t>2026-06-21T19:34:50.243</t>
  </si>
  <si>
    <t>Press command finished | energy_saving_mode=yes | threshold=50 | threshold_reached=yes | trigger_angle=24 | fsr_raw=56 | fsr_voltage=0.0451 | wifi_rssi_dbm=-56</t>
  </si>
  <si>
    <t>2026-06-21T19:34:58.753</t>
  </si>
  <si>
    <t>Press command finished | energy_saving_mode=yes | threshold=50 | threshold_reached=yes | trigger_angle=16 | fsr_raw=55 | fsr_voltage=0.0443 | wifi_rssi_dbm=-56</t>
  </si>
  <si>
    <t>2026-06-21T19:35:09.846</t>
  </si>
  <si>
    <t>Press command finished | energy_saving_mode=yes | threshold=50 | threshold_reached=yes | trigger_angle=5 | fsr_raw=58 | fsr_voltage=0.0467 | wifi_rssi_dbm=-56</t>
  </si>
  <si>
    <t>2026-06-21T19:35:34.638</t>
  </si>
  <si>
    <t>Press command finished | energy_saving_mode=yes | threshold=50 | threshold_reached=yes | trigger_angle=20 | fsr_raw=58 | fsr_voltage=0.0467 | wifi_rssi_dbm=-55</t>
  </si>
  <si>
    <t>2026-06-21T19:35:43.428</t>
  </si>
  <si>
    <t>Press command finished | energy_saving_mode=yes | threshold=50 | threshold_reached=no | trigger_angle=0 | fsr_raw=29 | fsr_voltage=0.0234 | wifi_rssi_dbm=-57</t>
  </si>
  <si>
    <t>time_ms_start_of_recording</t>
  </si>
  <si>
    <t>Before calibration + No calibration run</t>
  </si>
  <si>
    <t>Start Voltage</t>
  </si>
  <si>
    <t>End Voltage</t>
  </si>
  <si>
    <t>V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</si>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</sst>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F400]h:mm:ss\ AM/PM"/>
    <numFmt numFmtId="165" formatCode="0.0000"/>
    <numFmt numFmtId="166" formatCode="0.0"/>
    <numFmt numFmtId="168" formatCode="[$-F400]h:mm:ss\ am/pm"/>
  </numFmts>
  <fonts count="2">
    <font>
      <sz val="11"/>
      <name val="Carlito"/>
    </font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1" applyFont="1">
      <extLst>
        <ext xmlns:xfpb="http://schemas.microsoft.com/office/spreadsheetml/2022/featurepropertybag" uri="{C7286773-470A-42A8-94C5-96B5CB345126}">
          <xfpb:xfComplement i="0"/>
        </ext>
      </extLst>
    </xf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9" fontId="0" fillId="0" borderId="0" xfId="2" applyFont="1"/>
    <xf numFmtId="22" fontId="0" fillId="0" borderId="0" xfId="0" applyNumberFormat="1"/>
    <xf numFmtId="168" fontId="0" fillId="0" borderId="0" xfId="0" applyNumberFormat="1"/>
  </cellXfs>
  <cellStyles count="3">
    <cellStyle name="Normal" xfId="1" xr:uid="{00000000-0005-0000-0000-000000000000}"/>
    <cellStyle name="Prozent" xfId="2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Desk drift pressure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desk_drift!$E$1</c:f>
              <c:strCache>
                <c:ptCount val="1"/>
                <c:pt idx="0">
                  <c:v>pressure_hPa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desk_drift!$B$2:$B$78</c:f>
              <c:numCache>
                <c:formatCode>General</c:formatCode>
                <c:ptCount val="77"/>
                <c:pt idx="0">
                  <c:v>43053</c:v>
                </c:pt>
                <c:pt idx="1">
                  <c:v>1057142</c:v>
                </c:pt>
                <c:pt idx="2">
                  <c:v>1085782</c:v>
                </c:pt>
                <c:pt idx="3">
                  <c:v>1086787</c:v>
                </c:pt>
                <c:pt idx="4">
                  <c:v>1087796</c:v>
                </c:pt>
                <c:pt idx="5">
                  <c:v>1088798</c:v>
                </c:pt>
                <c:pt idx="6">
                  <c:v>1089801</c:v>
                </c:pt>
                <c:pt idx="7">
                  <c:v>1090808</c:v>
                </c:pt>
                <c:pt idx="8">
                  <c:v>1091815</c:v>
                </c:pt>
                <c:pt idx="9">
                  <c:v>1092823</c:v>
                </c:pt>
                <c:pt idx="10">
                  <c:v>1093833</c:v>
                </c:pt>
                <c:pt idx="11">
                  <c:v>1094844</c:v>
                </c:pt>
                <c:pt idx="12">
                  <c:v>1095856</c:v>
                </c:pt>
                <c:pt idx="13">
                  <c:v>1096924</c:v>
                </c:pt>
                <c:pt idx="14">
                  <c:v>1097862</c:v>
                </c:pt>
                <c:pt idx="15">
                  <c:v>1098881</c:v>
                </c:pt>
                <c:pt idx="16">
                  <c:v>1099902</c:v>
                </c:pt>
                <c:pt idx="17">
                  <c:v>1100903</c:v>
                </c:pt>
                <c:pt idx="18">
                  <c:v>1101907</c:v>
                </c:pt>
                <c:pt idx="19">
                  <c:v>1102911</c:v>
                </c:pt>
                <c:pt idx="20">
                  <c:v>1103918</c:v>
                </c:pt>
                <c:pt idx="21">
                  <c:v>1104925</c:v>
                </c:pt>
                <c:pt idx="22">
                  <c:v>1105933</c:v>
                </c:pt>
                <c:pt idx="23">
                  <c:v>1106944</c:v>
                </c:pt>
                <c:pt idx="24">
                  <c:v>1107955</c:v>
                </c:pt>
                <c:pt idx="25">
                  <c:v>1108968</c:v>
                </c:pt>
                <c:pt idx="26">
                  <c:v>1109982</c:v>
                </c:pt>
                <c:pt idx="27">
                  <c:v>1110998</c:v>
                </c:pt>
                <c:pt idx="28">
                  <c:v>1112014</c:v>
                </c:pt>
                <c:pt idx="29">
                  <c:v>1113031</c:v>
                </c:pt>
                <c:pt idx="30">
                  <c:v>1114027</c:v>
                </c:pt>
                <c:pt idx="31">
                  <c:v>1115031</c:v>
                </c:pt>
                <c:pt idx="32">
                  <c:v>1116037</c:v>
                </c:pt>
                <c:pt idx="33">
                  <c:v>1117045</c:v>
                </c:pt>
                <c:pt idx="34">
                  <c:v>1118054</c:v>
                </c:pt>
                <c:pt idx="35">
                  <c:v>1119064</c:v>
                </c:pt>
                <c:pt idx="36">
                  <c:v>1120075</c:v>
                </c:pt>
                <c:pt idx="37">
                  <c:v>1121087</c:v>
                </c:pt>
                <c:pt idx="38">
                  <c:v>1122100</c:v>
                </c:pt>
                <c:pt idx="39">
                  <c:v>1123115</c:v>
                </c:pt>
                <c:pt idx="40">
                  <c:v>1124130</c:v>
                </c:pt>
                <c:pt idx="41">
                  <c:v>1125146</c:v>
                </c:pt>
                <c:pt idx="42">
                  <c:v>1126164</c:v>
                </c:pt>
                <c:pt idx="43">
                  <c:v>1127183</c:v>
                </c:pt>
                <c:pt idx="44">
                  <c:v>1128186</c:v>
                </c:pt>
                <c:pt idx="45">
                  <c:v>1129189</c:v>
                </c:pt>
                <c:pt idx="46">
                  <c:v>1130183</c:v>
                </c:pt>
                <c:pt idx="47">
                  <c:v>1131192</c:v>
                </c:pt>
                <c:pt idx="48">
                  <c:v>1132203</c:v>
                </c:pt>
                <c:pt idx="49">
                  <c:v>1133214</c:v>
                </c:pt>
                <c:pt idx="50">
                  <c:v>1183354</c:v>
                </c:pt>
                <c:pt idx="51">
                  <c:v>1184367</c:v>
                </c:pt>
                <c:pt idx="52">
                  <c:v>1185382</c:v>
                </c:pt>
                <c:pt idx="53">
                  <c:v>1186397</c:v>
                </c:pt>
                <c:pt idx="54">
                  <c:v>1187414</c:v>
                </c:pt>
                <c:pt idx="55">
                  <c:v>1188433</c:v>
                </c:pt>
                <c:pt idx="56">
                  <c:v>1189434</c:v>
                </c:pt>
                <c:pt idx="57">
                  <c:v>1190437</c:v>
                </c:pt>
                <c:pt idx="58">
                  <c:v>1191441</c:v>
                </c:pt>
                <c:pt idx="59">
                  <c:v>1192447</c:v>
                </c:pt>
                <c:pt idx="60">
                  <c:v>1193453</c:v>
                </c:pt>
                <c:pt idx="61">
                  <c:v>1194459</c:v>
                </c:pt>
                <c:pt idx="62">
                  <c:v>1195455</c:v>
                </c:pt>
                <c:pt idx="63">
                  <c:v>1196463</c:v>
                </c:pt>
                <c:pt idx="64">
                  <c:v>1197477</c:v>
                </c:pt>
                <c:pt idx="65">
                  <c:v>1198493</c:v>
                </c:pt>
                <c:pt idx="66">
                  <c:v>1199511</c:v>
                </c:pt>
                <c:pt idx="67">
                  <c:v>1200531</c:v>
                </c:pt>
                <c:pt idx="68">
                  <c:v>1201532</c:v>
                </c:pt>
                <c:pt idx="69">
                  <c:v>1202534</c:v>
                </c:pt>
                <c:pt idx="70">
                  <c:v>1203538</c:v>
                </c:pt>
                <c:pt idx="71">
                  <c:v>1204541</c:v>
                </c:pt>
                <c:pt idx="72">
                  <c:v>1205545</c:v>
                </c:pt>
                <c:pt idx="73">
                  <c:v>1206550</c:v>
                </c:pt>
                <c:pt idx="74">
                  <c:v>1207558</c:v>
                </c:pt>
                <c:pt idx="75">
                  <c:v>1208567</c:v>
                </c:pt>
                <c:pt idx="76">
                  <c:v>1209578</c:v>
                </c:pt>
              </c:numCache>
            </c:numRef>
          </c:xVal>
          <c:yVal>
            <c:numRef>
              <c:f>desk_drift!$E$2:$E$78</c:f>
              <c:numCache>
                <c:formatCode>General</c:formatCode>
                <c:ptCount val="77"/>
                <c:pt idx="0">
                  <c:v>1013.92</c:v>
                </c:pt>
                <c:pt idx="1">
                  <c:v>1013.94</c:v>
                </c:pt>
                <c:pt idx="2">
                  <c:v>1019.02</c:v>
                </c:pt>
                <c:pt idx="3">
                  <c:v>1019.03</c:v>
                </c:pt>
                <c:pt idx="4">
                  <c:v>1019.04</c:v>
                </c:pt>
                <c:pt idx="5">
                  <c:v>1019.04</c:v>
                </c:pt>
                <c:pt idx="6">
                  <c:v>1019.04</c:v>
                </c:pt>
                <c:pt idx="7">
                  <c:v>1019.03</c:v>
                </c:pt>
                <c:pt idx="8">
                  <c:v>1019.03</c:v>
                </c:pt>
                <c:pt idx="9">
                  <c:v>1019.04</c:v>
                </c:pt>
                <c:pt idx="10">
                  <c:v>1019.03</c:v>
                </c:pt>
                <c:pt idx="11">
                  <c:v>1019.03</c:v>
                </c:pt>
                <c:pt idx="12">
                  <c:v>1019.03</c:v>
                </c:pt>
                <c:pt idx="13">
                  <c:v>1019.03</c:v>
                </c:pt>
                <c:pt idx="14">
                  <c:v>1019.03</c:v>
                </c:pt>
                <c:pt idx="15">
                  <c:v>1019.04</c:v>
                </c:pt>
                <c:pt idx="16">
                  <c:v>1019.03</c:v>
                </c:pt>
                <c:pt idx="17">
                  <c:v>1019.03</c:v>
                </c:pt>
                <c:pt idx="18">
                  <c:v>1019.03</c:v>
                </c:pt>
                <c:pt idx="19">
                  <c:v>1019.02</c:v>
                </c:pt>
                <c:pt idx="20">
                  <c:v>1019.02</c:v>
                </c:pt>
                <c:pt idx="21">
                  <c:v>1019.02</c:v>
                </c:pt>
                <c:pt idx="22">
                  <c:v>1019.02</c:v>
                </c:pt>
                <c:pt idx="23">
                  <c:v>1019.02</c:v>
                </c:pt>
                <c:pt idx="24">
                  <c:v>1019.02</c:v>
                </c:pt>
                <c:pt idx="25">
                  <c:v>1019.02</c:v>
                </c:pt>
                <c:pt idx="26">
                  <c:v>1019.03</c:v>
                </c:pt>
                <c:pt idx="27">
                  <c:v>1019.02</c:v>
                </c:pt>
                <c:pt idx="28">
                  <c:v>1019.02</c:v>
                </c:pt>
                <c:pt idx="29">
                  <c:v>1019.01</c:v>
                </c:pt>
                <c:pt idx="30">
                  <c:v>1019.01</c:v>
                </c:pt>
                <c:pt idx="31">
                  <c:v>1019.01</c:v>
                </c:pt>
                <c:pt idx="32">
                  <c:v>1019.01</c:v>
                </c:pt>
                <c:pt idx="33">
                  <c:v>1019</c:v>
                </c:pt>
                <c:pt idx="34">
                  <c:v>1019.01</c:v>
                </c:pt>
                <c:pt idx="35">
                  <c:v>1019.02</c:v>
                </c:pt>
                <c:pt idx="36">
                  <c:v>1019.02</c:v>
                </c:pt>
                <c:pt idx="37">
                  <c:v>1019.02</c:v>
                </c:pt>
                <c:pt idx="38">
                  <c:v>1019.02</c:v>
                </c:pt>
                <c:pt idx="39">
                  <c:v>1019.03</c:v>
                </c:pt>
                <c:pt idx="40">
                  <c:v>1019.03</c:v>
                </c:pt>
                <c:pt idx="41">
                  <c:v>1019.03</c:v>
                </c:pt>
                <c:pt idx="42">
                  <c:v>1019.03</c:v>
                </c:pt>
                <c:pt idx="43">
                  <c:v>1019.03</c:v>
                </c:pt>
                <c:pt idx="44">
                  <c:v>1019.02</c:v>
                </c:pt>
                <c:pt idx="45">
                  <c:v>1019.02</c:v>
                </c:pt>
                <c:pt idx="46">
                  <c:v>1019.02</c:v>
                </c:pt>
                <c:pt idx="47">
                  <c:v>1019.02</c:v>
                </c:pt>
                <c:pt idx="48">
                  <c:v>1019.02</c:v>
                </c:pt>
                <c:pt idx="49">
                  <c:v>1019.03</c:v>
                </c:pt>
                <c:pt idx="50">
                  <c:v>1019.03</c:v>
                </c:pt>
                <c:pt idx="51">
                  <c:v>1019.03</c:v>
                </c:pt>
                <c:pt idx="52">
                  <c:v>1019.03</c:v>
                </c:pt>
                <c:pt idx="53">
                  <c:v>1019.03</c:v>
                </c:pt>
                <c:pt idx="54">
                  <c:v>1019.03</c:v>
                </c:pt>
                <c:pt idx="55">
                  <c:v>1019.03</c:v>
                </c:pt>
                <c:pt idx="56">
                  <c:v>1019.04</c:v>
                </c:pt>
                <c:pt idx="57">
                  <c:v>1019.04</c:v>
                </c:pt>
                <c:pt idx="58">
                  <c:v>1019.04</c:v>
                </c:pt>
                <c:pt idx="59">
                  <c:v>1019.04</c:v>
                </c:pt>
                <c:pt idx="60">
                  <c:v>1019.04</c:v>
                </c:pt>
                <c:pt idx="61">
                  <c:v>1019.05</c:v>
                </c:pt>
                <c:pt idx="62">
                  <c:v>1019.05</c:v>
                </c:pt>
                <c:pt idx="63">
                  <c:v>1019.05</c:v>
                </c:pt>
                <c:pt idx="64">
                  <c:v>1019.05</c:v>
                </c:pt>
                <c:pt idx="65">
                  <c:v>1019.04</c:v>
                </c:pt>
                <c:pt idx="66">
                  <c:v>1019.04</c:v>
                </c:pt>
                <c:pt idx="67">
                  <c:v>1019.03</c:v>
                </c:pt>
                <c:pt idx="68">
                  <c:v>1019.03</c:v>
                </c:pt>
                <c:pt idx="69">
                  <c:v>1019.02</c:v>
                </c:pt>
                <c:pt idx="70">
                  <c:v>1019.01</c:v>
                </c:pt>
                <c:pt idx="71">
                  <c:v>1019.01</c:v>
                </c:pt>
                <c:pt idx="72">
                  <c:v>1019.01</c:v>
                </c:pt>
                <c:pt idx="73">
                  <c:v>1019.01</c:v>
                </c:pt>
                <c:pt idx="74">
                  <c:v>1019.01</c:v>
                </c:pt>
                <c:pt idx="75">
                  <c:v>1019</c:v>
                </c:pt>
                <c:pt idx="76">
                  <c:v>1019.01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FE-4736-B1F0-0435812047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7305968"/>
        <c:axId val="2146120016"/>
      </c:scatterChart>
      <c:valAx>
        <c:axId val="1477305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AT"/>
                  <a:t>Time in ms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146120016"/>
        <c:crosses val="autoZero"/>
        <c:crossBetween val="midCat"/>
      </c:valAx>
      <c:valAx>
        <c:axId val="214612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AT"/>
                  <a:t>Pressuure</a:t>
                </a:r>
                <a:r>
                  <a:rPr lang="de-AT" baseline="0"/>
                  <a:t> in hPa</a:t>
                </a:r>
                <a:endParaRPr lang="de-A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477305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5</xdr:row>
      <xdr:rowOff>57150</xdr:rowOff>
    </xdr:from>
    <xdr:to>
      <xdr:col>16</xdr:col>
      <xdr:colOff>542925</xdr:colOff>
      <xdr:row>20</xdr:row>
      <xdr:rowOff>85725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1D0F061A-F2DF-B73E-2476-B8EE74738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6"/>
  <sheetViews>
    <sheetView topLeftCell="A16" workbookViewId="0">
      <selection activeCell="F2" sqref="F2"/>
    </sheetView>
  </sheetViews>
  <sheetFormatPr baseColWidth="10" defaultColWidth="9" defaultRowHeight="14.25"/>
  <cols>
    <col min="1" max="19" width="20.625" customWidth="1"/>
  </cols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457</v>
      </c>
      <c r="AB1" t="s">
        <v>458</v>
      </c>
    </row>
    <row r="2" spans="1:28">
      <c r="A2" t="s">
        <v>459</v>
      </c>
      <c r="B2" t="s">
        <v>26</v>
      </c>
      <c r="C2" t="s">
        <v>27</v>
      </c>
      <c r="D2" t="s">
        <v>50</v>
      </c>
      <c r="E2">
        <v>200</v>
      </c>
      <c r="F2">
        <v>1277.1099999999999</v>
      </c>
      <c r="G2">
        <v>147</v>
      </c>
      <c r="H2" t="s">
        <v>28</v>
      </c>
      <c r="I2" t="s">
        <v>28</v>
      </c>
      <c r="J2">
        <v>10</v>
      </c>
      <c r="K2" t="s">
        <v>28</v>
      </c>
      <c r="L2">
        <v>176</v>
      </c>
      <c r="M2">
        <v>27</v>
      </c>
      <c r="N2">
        <v>2.18E-2</v>
      </c>
      <c r="Z2">
        <v>-34</v>
      </c>
      <c r="AA2" t="s">
        <v>460</v>
      </c>
    </row>
    <row r="3" spans="1:28">
      <c r="A3" t="s">
        <v>461</v>
      </c>
      <c r="B3" t="s">
        <v>26</v>
      </c>
      <c r="C3" t="s">
        <v>27</v>
      </c>
      <c r="D3" t="s">
        <v>50</v>
      </c>
      <c r="E3">
        <v>200</v>
      </c>
      <c r="F3">
        <v>4374.4399999999996</v>
      </c>
      <c r="G3">
        <v>146</v>
      </c>
      <c r="H3" t="s">
        <v>28</v>
      </c>
      <c r="I3" t="s">
        <v>28</v>
      </c>
      <c r="J3">
        <v>10</v>
      </c>
      <c r="K3" t="s">
        <v>28</v>
      </c>
      <c r="L3">
        <v>98</v>
      </c>
      <c r="M3">
        <v>16</v>
      </c>
      <c r="N3">
        <v>1.29E-2</v>
      </c>
      <c r="Z3">
        <v>-36</v>
      </c>
      <c r="AA3" t="s">
        <v>462</v>
      </c>
    </row>
    <row r="4" spans="1:28">
      <c r="A4" t="s">
        <v>463</v>
      </c>
      <c r="B4" t="s">
        <v>26</v>
      </c>
      <c r="C4" t="s">
        <v>27</v>
      </c>
      <c r="D4" t="s">
        <v>50</v>
      </c>
      <c r="E4">
        <v>200</v>
      </c>
      <c r="F4">
        <v>1070.82</v>
      </c>
      <c r="G4">
        <v>147</v>
      </c>
      <c r="H4" t="s">
        <v>28</v>
      </c>
      <c r="I4" t="s">
        <v>28</v>
      </c>
      <c r="J4">
        <v>20</v>
      </c>
      <c r="K4" t="s">
        <v>28</v>
      </c>
      <c r="L4">
        <v>180</v>
      </c>
      <c r="M4">
        <v>20</v>
      </c>
      <c r="N4">
        <v>1.61E-2</v>
      </c>
      <c r="Z4">
        <v>-39</v>
      </c>
      <c r="AA4" t="s">
        <v>464</v>
      </c>
    </row>
    <row r="5" spans="1:28">
      <c r="A5" t="s">
        <v>465</v>
      </c>
      <c r="B5" t="s">
        <v>26</v>
      </c>
      <c r="C5" t="s">
        <v>27</v>
      </c>
      <c r="D5" t="s">
        <v>50</v>
      </c>
      <c r="E5">
        <v>200</v>
      </c>
      <c r="F5">
        <v>6504.3</v>
      </c>
      <c r="G5">
        <v>147</v>
      </c>
      <c r="H5" t="s">
        <v>28</v>
      </c>
      <c r="I5" t="s">
        <v>28</v>
      </c>
      <c r="J5">
        <v>50</v>
      </c>
      <c r="K5" t="s">
        <v>28</v>
      </c>
      <c r="L5">
        <v>45</v>
      </c>
      <c r="M5">
        <v>206</v>
      </c>
      <c r="N5">
        <v>0.16600000000000001</v>
      </c>
      <c r="Z5">
        <v>-36</v>
      </c>
      <c r="AA5" t="s">
        <v>466</v>
      </c>
    </row>
    <row r="6" spans="1:28">
      <c r="A6" t="s">
        <v>467</v>
      </c>
      <c r="B6" t="s">
        <v>26</v>
      </c>
      <c r="C6" t="s">
        <v>27</v>
      </c>
      <c r="D6" t="s">
        <v>50</v>
      </c>
      <c r="E6">
        <v>200</v>
      </c>
      <c r="F6">
        <v>6985.64</v>
      </c>
      <c r="G6">
        <v>147</v>
      </c>
      <c r="H6" t="s">
        <v>28</v>
      </c>
      <c r="I6" t="s">
        <v>28</v>
      </c>
      <c r="J6">
        <v>50</v>
      </c>
      <c r="K6" t="s">
        <v>28</v>
      </c>
      <c r="L6">
        <v>43</v>
      </c>
      <c r="M6">
        <v>158</v>
      </c>
      <c r="N6">
        <v>0.1273</v>
      </c>
      <c r="Z6">
        <v>-47</v>
      </c>
      <c r="AA6" t="s">
        <v>468</v>
      </c>
    </row>
    <row r="7" spans="1:28">
      <c r="A7" t="s">
        <v>469</v>
      </c>
      <c r="B7" t="s">
        <v>26</v>
      </c>
      <c r="C7" t="s">
        <v>27</v>
      </c>
      <c r="D7" t="s">
        <v>50</v>
      </c>
      <c r="E7">
        <v>200</v>
      </c>
      <c r="F7">
        <v>6512.91</v>
      </c>
      <c r="G7">
        <v>147</v>
      </c>
      <c r="H7" t="s">
        <v>28</v>
      </c>
      <c r="I7" t="s">
        <v>28</v>
      </c>
      <c r="J7">
        <v>50</v>
      </c>
      <c r="K7" t="s">
        <v>28</v>
      </c>
      <c r="L7">
        <v>44</v>
      </c>
      <c r="M7">
        <v>120</v>
      </c>
      <c r="N7">
        <v>9.6699999999999994E-2</v>
      </c>
      <c r="Z7">
        <v>-41</v>
      </c>
      <c r="AA7" t="s">
        <v>470</v>
      </c>
    </row>
    <row r="8" spans="1:28">
      <c r="A8" t="s">
        <v>471</v>
      </c>
      <c r="B8" t="s">
        <v>26</v>
      </c>
      <c r="C8" t="s">
        <v>27</v>
      </c>
      <c r="D8" t="s">
        <v>50</v>
      </c>
      <c r="E8">
        <v>200</v>
      </c>
      <c r="F8">
        <v>6680.63</v>
      </c>
      <c r="G8">
        <v>147</v>
      </c>
      <c r="H8" t="s">
        <v>28</v>
      </c>
      <c r="I8" t="s">
        <v>28</v>
      </c>
      <c r="J8">
        <v>50</v>
      </c>
      <c r="K8" t="s">
        <v>28</v>
      </c>
      <c r="L8">
        <v>45</v>
      </c>
      <c r="M8">
        <v>105</v>
      </c>
      <c r="N8">
        <v>8.4599999999999995E-2</v>
      </c>
      <c r="Z8">
        <v>-40</v>
      </c>
      <c r="AA8" t="s">
        <v>472</v>
      </c>
    </row>
    <row r="9" spans="1:28">
      <c r="A9" t="s">
        <v>473</v>
      </c>
      <c r="B9" t="s">
        <v>26</v>
      </c>
      <c r="C9" t="s">
        <v>27</v>
      </c>
      <c r="D9" t="s">
        <v>50</v>
      </c>
      <c r="E9">
        <v>200</v>
      </c>
      <c r="F9">
        <v>6751.25</v>
      </c>
      <c r="G9">
        <v>147</v>
      </c>
      <c r="H9" t="s">
        <v>28</v>
      </c>
      <c r="I9" t="s">
        <v>28</v>
      </c>
      <c r="J9">
        <v>50</v>
      </c>
      <c r="K9" t="s">
        <v>28</v>
      </c>
      <c r="L9">
        <v>44</v>
      </c>
      <c r="M9">
        <v>172</v>
      </c>
      <c r="N9">
        <v>0.1386</v>
      </c>
      <c r="Z9">
        <v>-43</v>
      </c>
      <c r="AA9" t="s">
        <v>474</v>
      </c>
    </row>
    <row r="10" spans="1:28">
      <c r="A10" t="s">
        <v>475</v>
      </c>
      <c r="B10" t="s">
        <v>26</v>
      </c>
      <c r="C10" t="s">
        <v>27</v>
      </c>
      <c r="D10" t="s">
        <v>50</v>
      </c>
      <c r="E10">
        <v>200</v>
      </c>
      <c r="F10">
        <v>6644.41</v>
      </c>
      <c r="G10">
        <v>147</v>
      </c>
      <c r="H10" t="s">
        <v>28</v>
      </c>
      <c r="I10" t="s">
        <v>28</v>
      </c>
      <c r="J10">
        <v>50</v>
      </c>
      <c r="K10" t="s">
        <v>28</v>
      </c>
      <c r="L10">
        <v>45</v>
      </c>
      <c r="M10">
        <v>166</v>
      </c>
      <c r="N10">
        <v>0.1338</v>
      </c>
      <c r="Z10">
        <v>-39</v>
      </c>
      <c r="AA10" t="s">
        <v>476</v>
      </c>
    </row>
    <row r="11" spans="1:28">
      <c r="A11" t="s">
        <v>477</v>
      </c>
      <c r="B11" t="s">
        <v>26</v>
      </c>
      <c r="C11" t="s">
        <v>27</v>
      </c>
      <c r="D11" t="s">
        <v>50</v>
      </c>
      <c r="E11">
        <v>200</v>
      </c>
      <c r="F11">
        <v>6540.67</v>
      </c>
      <c r="G11">
        <v>147</v>
      </c>
      <c r="H11" t="s">
        <v>28</v>
      </c>
      <c r="I11" t="s">
        <v>28</v>
      </c>
      <c r="J11">
        <v>50</v>
      </c>
      <c r="K11" t="s">
        <v>28</v>
      </c>
      <c r="L11">
        <v>45</v>
      </c>
      <c r="M11">
        <v>167</v>
      </c>
      <c r="N11">
        <v>0.1346</v>
      </c>
      <c r="Z11">
        <v>-45</v>
      </c>
      <c r="AA11" t="s">
        <v>478</v>
      </c>
    </row>
    <row r="12" spans="1:28">
      <c r="A12" t="s">
        <v>479</v>
      </c>
      <c r="B12" t="s">
        <v>26</v>
      </c>
      <c r="C12" t="s">
        <v>27</v>
      </c>
      <c r="D12" t="s">
        <v>50</v>
      </c>
      <c r="E12">
        <v>200</v>
      </c>
      <c r="F12">
        <v>6526.52</v>
      </c>
      <c r="G12">
        <v>147</v>
      </c>
      <c r="H12" t="s">
        <v>28</v>
      </c>
      <c r="I12" t="s">
        <v>28</v>
      </c>
      <c r="J12">
        <v>50</v>
      </c>
      <c r="K12" t="s">
        <v>28</v>
      </c>
      <c r="L12">
        <v>44</v>
      </c>
      <c r="M12">
        <v>158</v>
      </c>
      <c r="N12">
        <v>0.1273</v>
      </c>
      <c r="Z12">
        <v>-47</v>
      </c>
      <c r="AA12" t="s">
        <v>480</v>
      </c>
    </row>
    <row r="13" spans="1:28">
      <c r="A13" t="s">
        <v>481</v>
      </c>
      <c r="B13" t="s">
        <v>26</v>
      </c>
      <c r="C13" t="s">
        <v>27</v>
      </c>
      <c r="D13" t="s">
        <v>50</v>
      </c>
      <c r="E13">
        <v>200</v>
      </c>
      <c r="F13">
        <v>6517.65</v>
      </c>
      <c r="G13">
        <v>147</v>
      </c>
      <c r="H13" t="s">
        <v>28</v>
      </c>
      <c r="I13" t="s">
        <v>28</v>
      </c>
      <c r="J13">
        <v>50</v>
      </c>
      <c r="K13" t="s">
        <v>28</v>
      </c>
      <c r="L13">
        <v>44</v>
      </c>
      <c r="M13">
        <v>157</v>
      </c>
      <c r="N13">
        <v>0.1265</v>
      </c>
      <c r="Z13">
        <v>-50</v>
      </c>
      <c r="AA13" t="s">
        <v>482</v>
      </c>
    </row>
    <row r="14" spans="1:28">
      <c r="A14" t="s">
        <v>483</v>
      </c>
      <c r="B14" t="s">
        <v>26</v>
      </c>
      <c r="C14" t="s">
        <v>27</v>
      </c>
      <c r="D14" t="s">
        <v>50</v>
      </c>
      <c r="E14">
        <v>200</v>
      </c>
      <c r="F14">
        <v>6592.92</v>
      </c>
      <c r="G14">
        <v>147</v>
      </c>
      <c r="H14" t="s">
        <v>28</v>
      </c>
      <c r="I14" t="s">
        <v>28</v>
      </c>
      <c r="J14">
        <v>50</v>
      </c>
      <c r="K14" t="s">
        <v>28</v>
      </c>
      <c r="L14">
        <v>45</v>
      </c>
      <c r="M14">
        <v>125</v>
      </c>
      <c r="N14">
        <v>0.1007</v>
      </c>
      <c r="Z14">
        <v>-49</v>
      </c>
      <c r="AA14" t="s">
        <v>484</v>
      </c>
    </row>
    <row r="15" spans="1:28">
      <c r="A15" t="s">
        <v>485</v>
      </c>
      <c r="B15" t="s">
        <v>26</v>
      </c>
      <c r="C15" t="s">
        <v>27</v>
      </c>
      <c r="D15" t="s">
        <v>50</v>
      </c>
      <c r="E15">
        <v>200</v>
      </c>
      <c r="F15">
        <v>6498.64</v>
      </c>
      <c r="G15">
        <v>147</v>
      </c>
      <c r="H15" t="s">
        <v>28</v>
      </c>
      <c r="I15" t="s">
        <v>28</v>
      </c>
      <c r="J15">
        <v>50</v>
      </c>
      <c r="K15" t="s">
        <v>28</v>
      </c>
      <c r="L15">
        <v>45</v>
      </c>
      <c r="M15">
        <v>126</v>
      </c>
      <c r="N15">
        <v>0.10150000000000001</v>
      </c>
      <c r="Z15">
        <v>-50</v>
      </c>
      <c r="AA15" t="s">
        <v>486</v>
      </c>
    </row>
    <row r="16" spans="1:28">
      <c r="A16" t="s">
        <v>487</v>
      </c>
      <c r="B16" t="s">
        <v>26</v>
      </c>
      <c r="C16" t="s">
        <v>27</v>
      </c>
      <c r="D16" t="s">
        <v>50</v>
      </c>
      <c r="E16">
        <v>200</v>
      </c>
      <c r="F16">
        <v>6644.78</v>
      </c>
      <c r="G16">
        <v>146</v>
      </c>
      <c r="H16" t="s">
        <v>28</v>
      </c>
      <c r="I16" t="s">
        <v>28</v>
      </c>
      <c r="J16">
        <v>50</v>
      </c>
      <c r="K16" t="s">
        <v>28</v>
      </c>
      <c r="L16">
        <v>45</v>
      </c>
      <c r="M16">
        <v>76</v>
      </c>
      <c r="N16">
        <v>6.1199999999999997E-2</v>
      </c>
      <c r="Z16">
        <v>-47</v>
      </c>
      <c r="AA16" t="s">
        <v>488</v>
      </c>
    </row>
    <row r="17" spans="1:27">
      <c r="A17" t="s">
        <v>489</v>
      </c>
      <c r="B17" t="s">
        <v>26</v>
      </c>
      <c r="C17" t="s">
        <v>27</v>
      </c>
      <c r="D17" t="s">
        <v>50</v>
      </c>
      <c r="E17">
        <v>200</v>
      </c>
      <c r="F17">
        <v>6579.06</v>
      </c>
      <c r="G17">
        <v>146</v>
      </c>
      <c r="H17" t="s">
        <v>28</v>
      </c>
      <c r="I17" t="s">
        <v>28</v>
      </c>
      <c r="J17">
        <v>50</v>
      </c>
      <c r="K17" t="s">
        <v>28</v>
      </c>
      <c r="L17">
        <v>43</v>
      </c>
      <c r="M17">
        <v>79</v>
      </c>
      <c r="N17">
        <v>6.3700000000000007E-2</v>
      </c>
      <c r="Z17">
        <v>-38</v>
      </c>
      <c r="AA17" t="s">
        <v>490</v>
      </c>
    </row>
    <row r="18" spans="1:27">
      <c r="A18" t="s">
        <v>491</v>
      </c>
      <c r="B18" t="s">
        <v>26</v>
      </c>
      <c r="C18" t="s">
        <v>27</v>
      </c>
      <c r="D18" t="s">
        <v>50</v>
      </c>
      <c r="E18">
        <v>200</v>
      </c>
      <c r="F18">
        <v>6645.3</v>
      </c>
      <c r="G18">
        <v>146</v>
      </c>
      <c r="H18" t="s">
        <v>28</v>
      </c>
      <c r="I18" t="s">
        <v>28</v>
      </c>
      <c r="J18">
        <v>50</v>
      </c>
      <c r="K18" t="s">
        <v>28</v>
      </c>
      <c r="L18">
        <v>44</v>
      </c>
      <c r="M18">
        <v>78</v>
      </c>
      <c r="N18">
        <v>6.2899999999999998E-2</v>
      </c>
      <c r="Z18">
        <v>-37</v>
      </c>
      <c r="AA18" t="s">
        <v>492</v>
      </c>
    </row>
    <row r="19" spans="1:27">
      <c r="A19" t="s">
        <v>493</v>
      </c>
      <c r="B19" t="s">
        <v>26</v>
      </c>
      <c r="C19" t="s">
        <v>27</v>
      </c>
      <c r="D19" t="s">
        <v>50</v>
      </c>
      <c r="E19">
        <v>200</v>
      </c>
      <c r="F19">
        <v>6925.83</v>
      </c>
      <c r="G19">
        <v>147</v>
      </c>
      <c r="H19" t="s">
        <v>28</v>
      </c>
      <c r="I19" t="s">
        <v>28</v>
      </c>
      <c r="J19">
        <v>50</v>
      </c>
      <c r="K19" t="s">
        <v>28</v>
      </c>
      <c r="L19">
        <v>37</v>
      </c>
      <c r="M19">
        <v>207</v>
      </c>
      <c r="N19">
        <v>0.1668</v>
      </c>
      <c r="Z19">
        <v>-46</v>
      </c>
      <c r="AA19" t="s">
        <v>494</v>
      </c>
    </row>
    <row r="20" spans="1:27">
      <c r="A20" t="s">
        <v>495</v>
      </c>
      <c r="B20" t="s">
        <v>26</v>
      </c>
      <c r="C20" t="s">
        <v>27</v>
      </c>
      <c r="D20" t="s">
        <v>50</v>
      </c>
      <c r="E20">
        <v>200</v>
      </c>
      <c r="F20">
        <v>6951.44</v>
      </c>
      <c r="G20">
        <v>147</v>
      </c>
      <c r="H20" t="s">
        <v>28</v>
      </c>
      <c r="I20" t="s">
        <v>28</v>
      </c>
      <c r="J20">
        <v>50</v>
      </c>
      <c r="K20" t="s">
        <v>28</v>
      </c>
      <c r="L20">
        <v>37</v>
      </c>
      <c r="M20">
        <v>154</v>
      </c>
      <c r="N20">
        <v>0.1241</v>
      </c>
      <c r="Z20">
        <v>-55</v>
      </c>
      <c r="AA20" t="s">
        <v>496</v>
      </c>
    </row>
    <row r="21" spans="1:27">
      <c r="A21" t="s">
        <v>497</v>
      </c>
      <c r="B21" t="s">
        <v>26</v>
      </c>
      <c r="C21" t="s">
        <v>27</v>
      </c>
      <c r="D21" t="s">
        <v>50</v>
      </c>
      <c r="E21">
        <v>200</v>
      </c>
      <c r="F21">
        <v>6844.89</v>
      </c>
      <c r="G21">
        <v>146</v>
      </c>
      <c r="H21" t="s">
        <v>28</v>
      </c>
      <c r="I21" t="s">
        <v>28</v>
      </c>
      <c r="J21">
        <v>50</v>
      </c>
      <c r="K21" t="s">
        <v>28</v>
      </c>
      <c r="L21">
        <v>37</v>
      </c>
      <c r="M21">
        <v>74</v>
      </c>
      <c r="N21">
        <v>5.96E-2</v>
      </c>
      <c r="Z21">
        <v>-54</v>
      </c>
      <c r="AA21" t="s">
        <v>498</v>
      </c>
    </row>
    <row r="22" spans="1:27">
      <c r="A22" t="s">
        <v>499</v>
      </c>
      <c r="B22" t="s">
        <v>26</v>
      </c>
      <c r="C22" t="s">
        <v>27</v>
      </c>
      <c r="D22" t="s">
        <v>50</v>
      </c>
      <c r="E22">
        <v>200</v>
      </c>
      <c r="F22">
        <v>6891.17</v>
      </c>
      <c r="G22">
        <v>146</v>
      </c>
      <c r="H22" t="s">
        <v>28</v>
      </c>
      <c r="I22" t="s">
        <v>28</v>
      </c>
      <c r="J22">
        <v>50</v>
      </c>
      <c r="K22" t="s">
        <v>28</v>
      </c>
      <c r="L22">
        <v>38</v>
      </c>
      <c r="M22">
        <v>61</v>
      </c>
      <c r="N22">
        <v>4.9200000000000001E-2</v>
      </c>
      <c r="Z22">
        <v>-53</v>
      </c>
      <c r="AA22" t="s">
        <v>500</v>
      </c>
    </row>
    <row r="23" spans="1:27">
      <c r="A23" t="s">
        <v>501</v>
      </c>
      <c r="B23" t="s">
        <v>26</v>
      </c>
      <c r="C23" t="s">
        <v>27</v>
      </c>
      <c r="D23" t="s">
        <v>50</v>
      </c>
      <c r="E23">
        <v>200</v>
      </c>
      <c r="F23">
        <v>6923.39</v>
      </c>
      <c r="G23">
        <v>147</v>
      </c>
      <c r="H23" t="s">
        <v>28</v>
      </c>
      <c r="I23" t="s">
        <v>28</v>
      </c>
      <c r="J23">
        <v>50</v>
      </c>
      <c r="K23" t="s">
        <v>28</v>
      </c>
      <c r="L23">
        <v>37</v>
      </c>
      <c r="M23">
        <v>185</v>
      </c>
      <c r="N23">
        <v>0.14910000000000001</v>
      </c>
      <c r="Z23">
        <v>-38</v>
      </c>
      <c r="AA23" t="s">
        <v>502</v>
      </c>
    </row>
    <row r="24" spans="1:27">
      <c r="A24" t="s">
        <v>503</v>
      </c>
      <c r="B24" t="s">
        <v>26</v>
      </c>
      <c r="C24" t="s">
        <v>27</v>
      </c>
      <c r="D24" t="s">
        <v>50</v>
      </c>
      <c r="E24">
        <v>200</v>
      </c>
      <c r="F24">
        <v>6922.92</v>
      </c>
      <c r="G24">
        <v>147</v>
      </c>
      <c r="H24" t="s">
        <v>28</v>
      </c>
      <c r="I24" t="s">
        <v>28</v>
      </c>
      <c r="J24">
        <v>50</v>
      </c>
      <c r="K24" t="s">
        <v>28</v>
      </c>
      <c r="L24">
        <v>37</v>
      </c>
      <c r="M24">
        <v>167</v>
      </c>
      <c r="N24">
        <v>0.1346</v>
      </c>
      <c r="Z24">
        <v>-55</v>
      </c>
      <c r="AA24" t="s">
        <v>504</v>
      </c>
    </row>
    <row r="25" spans="1:27">
      <c r="A25" t="s">
        <v>505</v>
      </c>
      <c r="B25" t="s">
        <v>26</v>
      </c>
      <c r="C25" t="s">
        <v>27</v>
      </c>
      <c r="D25" t="s">
        <v>50</v>
      </c>
      <c r="E25">
        <v>200</v>
      </c>
      <c r="F25">
        <v>6927.6</v>
      </c>
      <c r="G25">
        <v>147</v>
      </c>
      <c r="H25" t="s">
        <v>28</v>
      </c>
      <c r="I25" t="s">
        <v>28</v>
      </c>
      <c r="J25">
        <v>50</v>
      </c>
      <c r="K25" t="s">
        <v>28</v>
      </c>
      <c r="L25">
        <v>36</v>
      </c>
      <c r="M25">
        <v>154</v>
      </c>
      <c r="N25">
        <v>0.1241</v>
      </c>
      <c r="Z25">
        <v>-53</v>
      </c>
      <c r="AA25" t="s">
        <v>506</v>
      </c>
    </row>
    <row r="26" spans="1:27">
      <c r="A26" t="s">
        <v>507</v>
      </c>
      <c r="B26" t="s">
        <v>26</v>
      </c>
      <c r="C26" t="s">
        <v>27</v>
      </c>
      <c r="D26" t="s">
        <v>50</v>
      </c>
      <c r="E26">
        <v>200</v>
      </c>
      <c r="F26">
        <v>7064.97</v>
      </c>
      <c r="G26">
        <v>147</v>
      </c>
      <c r="H26" t="s">
        <v>28</v>
      </c>
      <c r="I26" t="s">
        <v>28</v>
      </c>
      <c r="J26">
        <v>50</v>
      </c>
      <c r="K26" t="s">
        <v>28</v>
      </c>
      <c r="L26">
        <v>36</v>
      </c>
      <c r="M26">
        <v>106</v>
      </c>
      <c r="N26">
        <v>8.5400000000000004E-2</v>
      </c>
      <c r="Z26">
        <v>-54</v>
      </c>
      <c r="AA26" t="s">
        <v>508</v>
      </c>
    </row>
    <row r="27" spans="1:27">
      <c r="A27" t="s">
        <v>509</v>
      </c>
      <c r="B27" t="s">
        <v>26</v>
      </c>
      <c r="C27" t="s">
        <v>27</v>
      </c>
      <c r="D27" t="s">
        <v>50</v>
      </c>
      <c r="E27">
        <v>200</v>
      </c>
      <c r="F27">
        <v>8453.31</v>
      </c>
      <c r="G27">
        <v>143</v>
      </c>
      <c r="H27" t="s">
        <v>28</v>
      </c>
      <c r="I27" t="s">
        <v>28</v>
      </c>
      <c r="J27">
        <v>50</v>
      </c>
      <c r="K27" t="s">
        <v>29</v>
      </c>
      <c r="L27">
        <v>0</v>
      </c>
      <c r="M27">
        <v>5</v>
      </c>
      <c r="N27">
        <v>4.0000000000000001E-3</v>
      </c>
      <c r="Z27">
        <v>-52</v>
      </c>
      <c r="AA27" t="s">
        <v>510</v>
      </c>
    </row>
    <row r="28" spans="1:27">
      <c r="A28" t="s">
        <v>511</v>
      </c>
      <c r="B28" t="s">
        <v>26</v>
      </c>
      <c r="C28" t="s">
        <v>27</v>
      </c>
      <c r="D28" t="s">
        <v>50</v>
      </c>
      <c r="E28">
        <v>200</v>
      </c>
      <c r="F28">
        <v>7190.99</v>
      </c>
      <c r="G28">
        <v>147</v>
      </c>
      <c r="H28" t="s">
        <v>28</v>
      </c>
      <c r="I28" t="s">
        <v>28</v>
      </c>
      <c r="J28">
        <v>50</v>
      </c>
      <c r="K28" t="s">
        <v>28</v>
      </c>
      <c r="L28">
        <v>37</v>
      </c>
      <c r="M28">
        <v>152</v>
      </c>
      <c r="N28">
        <v>0.1225</v>
      </c>
      <c r="Z28">
        <v>-52</v>
      </c>
      <c r="AA28" t="s">
        <v>512</v>
      </c>
    </row>
    <row r="29" spans="1:27">
      <c r="A29" t="s">
        <v>513</v>
      </c>
      <c r="B29" t="s">
        <v>26</v>
      </c>
      <c r="C29" t="s">
        <v>27</v>
      </c>
      <c r="D29" t="s">
        <v>50</v>
      </c>
      <c r="E29">
        <v>200</v>
      </c>
      <c r="F29">
        <v>6958.9</v>
      </c>
      <c r="G29">
        <v>147</v>
      </c>
      <c r="H29" t="s">
        <v>28</v>
      </c>
      <c r="I29" t="s">
        <v>28</v>
      </c>
      <c r="J29">
        <v>50</v>
      </c>
      <c r="K29" t="s">
        <v>28</v>
      </c>
      <c r="L29">
        <v>37</v>
      </c>
      <c r="M29">
        <v>205</v>
      </c>
      <c r="N29">
        <v>0.16520000000000001</v>
      </c>
      <c r="Z29">
        <v>-37</v>
      </c>
      <c r="AA29" t="s">
        <v>514</v>
      </c>
    </row>
    <row r="30" spans="1:27">
      <c r="A30" t="s">
        <v>515</v>
      </c>
      <c r="B30" t="s">
        <v>26</v>
      </c>
      <c r="C30" t="s">
        <v>27</v>
      </c>
      <c r="D30" t="s">
        <v>50</v>
      </c>
      <c r="E30">
        <v>200</v>
      </c>
      <c r="F30">
        <v>6837.46</v>
      </c>
      <c r="G30">
        <v>146</v>
      </c>
      <c r="H30" t="s">
        <v>28</v>
      </c>
      <c r="I30" t="s">
        <v>28</v>
      </c>
      <c r="J30">
        <v>50</v>
      </c>
      <c r="K30" t="s">
        <v>28</v>
      </c>
      <c r="L30">
        <v>38</v>
      </c>
      <c r="M30">
        <v>77</v>
      </c>
      <c r="N30">
        <v>6.2100000000000002E-2</v>
      </c>
      <c r="Z30">
        <v>-53</v>
      </c>
      <c r="AA30" t="s">
        <v>516</v>
      </c>
    </row>
    <row r="31" spans="1:27">
      <c r="A31" t="s">
        <v>517</v>
      </c>
      <c r="B31" t="s">
        <v>26</v>
      </c>
      <c r="C31" t="s">
        <v>27</v>
      </c>
      <c r="D31" t="s">
        <v>50</v>
      </c>
      <c r="E31">
        <v>200</v>
      </c>
      <c r="F31">
        <v>6827.33</v>
      </c>
      <c r="G31">
        <v>147</v>
      </c>
      <c r="H31" t="s">
        <v>28</v>
      </c>
      <c r="I31" t="s">
        <v>28</v>
      </c>
      <c r="J31">
        <v>50</v>
      </c>
      <c r="K31" t="s">
        <v>28</v>
      </c>
      <c r="L31">
        <v>37</v>
      </c>
      <c r="M31">
        <v>220</v>
      </c>
      <c r="N31">
        <v>0.17730000000000001</v>
      </c>
      <c r="Z31">
        <v>-55</v>
      </c>
      <c r="AA31" t="s">
        <v>518</v>
      </c>
    </row>
    <row r="32" spans="1:27">
      <c r="A32" t="s">
        <v>519</v>
      </c>
      <c r="B32" t="s">
        <v>26</v>
      </c>
      <c r="C32" t="s">
        <v>27</v>
      </c>
      <c r="D32" t="s">
        <v>50</v>
      </c>
      <c r="E32">
        <v>200</v>
      </c>
      <c r="F32">
        <v>6925.2</v>
      </c>
      <c r="G32">
        <v>147</v>
      </c>
      <c r="H32" t="s">
        <v>28</v>
      </c>
      <c r="I32" t="s">
        <v>28</v>
      </c>
      <c r="J32">
        <v>50</v>
      </c>
      <c r="K32" t="s">
        <v>28</v>
      </c>
      <c r="L32">
        <v>38</v>
      </c>
      <c r="M32">
        <v>111</v>
      </c>
      <c r="N32">
        <v>8.9499999999999996E-2</v>
      </c>
      <c r="Z32">
        <v>-50</v>
      </c>
      <c r="AA32" t="s">
        <v>520</v>
      </c>
    </row>
    <row r="33" spans="1:27">
      <c r="A33" t="s">
        <v>521</v>
      </c>
      <c r="B33" t="s">
        <v>26</v>
      </c>
      <c r="C33" t="s">
        <v>27</v>
      </c>
      <c r="D33" t="s">
        <v>50</v>
      </c>
      <c r="E33">
        <v>200</v>
      </c>
      <c r="F33">
        <v>6903.92</v>
      </c>
      <c r="G33">
        <v>147</v>
      </c>
      <c r="H33" t="s">
        <v>28</v>
      </c>
      <c r="I33" t="s">
        <v>28</v>
      </c>
      <c r="J33">
        <v>50</v>
      </c>
      <c r="K33" t="s">
        <v>28</v>
      </c>
      <c r="L33">
        <v>37</v>
      </c>
      <c r="M33">
        <v>235</v>
      </c>
      <c r="N33">
        <v>0.18940000000000001</v>
      </c>
      <c r="Z33">
        <v>-53</v>
      </c>
      <c r="AA33" t="s">
        <v>522</v>
      </c>
    </row>
    <row r="34" spans="1:27">
      <c r="A34" t="s">
        <v>523</v>
      </c>
      <c r="B34" t="s">
        <v>26</v>
      </c>
      <c r="C34" t="s">
        <v>27</v>
      </c>
      <c r="D34" t="s">
        <v>50</v>
      </c>
      <c r="E34">
        <v>200</v>
      </c>
      <c r="F34">
        <v>8339.15</v>
      </c>
      <c r="G34">
        <v>143</v>
      </c>
      <c r="H34" t="s">
        <v>28</v>
      </c>
      <c r="I34" t="s">
        <v>28</v>
      </c>
      <c r="J34">
        <v>50</v>
      </c>
      <c r="K34" t="s">
        <v>29</v>
      </c>
      <c r="L34">
        <v>0</v>
      </c>
      <c r="M34">
        <v>8</v>
      </c>
      <c r="N34">
        <v>6.4000000000000003E-3</v>
      </c>
      <c r="Z34">
        <v>-39</v>
      </c>
      <c r="AA34" t="s">
        <v>524</v>
      </c>
    </row>
    <row r="35" spans="1:27">
      <c r="A35" t="s">
        <v>525</v>
      </c>
      <c r="B35" t="s">
        <v>26</v>
      </c>
      <c r="C35" t="s">
        <v>27</v>
      </c>
      <c r="D35" t="s">
        <v>50</v>
      </c>
      <c r="E35">
        <v>200</v>
      </c>
      <c r="F35">
        <v>6758.94</v>
      </c>
      <c r="G35">
        <v>146</v>
      </c>
      <c r="H35" t="s">
        <v>28</v>
      </c>
      <c r="I35" t="s">
        <v>28</v>
      </c>
      <c r="J35">
        <v>50</v>
      </c>
      <c r="K35" t="s">
        <v>28</v>
      </c>
      <c r="L35">
        <v>40</v>
      </c>
      <c r="M35">
        <v>74</v>
      </c>
      <c r="N35">
        <v>5.96E-2</v>
      </c>
      <c r="Z35">
        <v>-58</v>
      </c>
      <c r="AA35" t="s">
        <v>526</v>
      </c>
    </row>
    <row r="36" spans="1:27">
      <c r="A36" t="s">
        <v>527</v>
      </c>
      <c r="B36" t="s">
        <v>26</v>
      </c>
      <c r="C36" t="s">
        <v>27</v>
      </c>
      <c r="D36" t="s">
        <v>50</v>
      </c>
      <c r="E36">
        <v>200</v>
      </c>
      <c r="F36">
        <v>7291.46</v>
      </c>
      <c r="G36">
        <v>146</v>
      </c>
      <c r="H36" t="s">
        <v>28</v>
      </c>
      <c r="I36" t="s">
        <v>28</v>
      </c>
      <c r="J36">
        <v>50</v>
      </c>
      <c r="K36" t="s">
        <v>28</v>
      </c>
      <c r="L36">
        <v>29</v>
      </c>
      <c r="M36">
        <v>57</v>
      </c>
      <c r="N36">
        <v>4.5900000000000003E-2</v>
      </c>
      <c r="Z36">
        <v>-34</v>
      </c>
      <c r="AA36" t="s">
        <v>528</v>
      </c>
    </row>
    <row r="37" spans="1:27">
      <c r="A37" t="s">
        <v>529</v>
      </c>
      <c r="B37" t="s">
        <v>26</v>
      </c>
      <c r="C37" t="s">
        <v>27</v>
      </c>
      <c r="D37" t="s">
        <v>50</v>
      </c>
      <c r="E37">
        <v>200</v>
      </c>
      <c r="F37">
        <v>7240.61</v>
      </c>
      <c r="G37">
        <v>146</v>
      </c>
      <c r="H37" t="s">
        <v>28</v>
      </c>
      <c r="I37" t="s">
        <v>28</v>
      </c>
      <c r="J37">
        <v>50</v>
      </c>
      <c r="K37" t="s">
        <v>28</v>
      </c>
      <c r="L37">
        <v>29</v>
      </c>
      <c r="M37">
        <v>54</v>
      </c>
      <c r="N37">
        <v>4.3499999999999997E-2</v>
      </c>
      <c r="Z37">
        <v>-37</v>
      </c>
      <c r="AA37" t="s">
        <v>530</v>
      </c>
    </row>
    <row r="38" spans="1:27">
      <c r="A38" t="s">
        <v>531</v>
      </c>
      <c r="B38" t="s">
        <v>26</v>
      </c>
      <c r="C38" t="s">
        <v>27</v>
      </c>
      <c r="D38" t="s">
        <v>50</v>
      </c>
      <c r="E38">
        <v>200</v>
      </c>
      <c r="F38">
        <v>7231.37</v>
      </c>
      <c r="G38">
        <v>146</v>
      </c>
      <c r="H38" t="s">
        <v>28</v>
      </c>
      <c r="I38" t="s">
        <v>28</v>
      </c>
      <c r="J38">
        <v>50</v>
      </c>
      <c r="K38" t="s">
        <v>28</v>
      </c>
      <c r="L38">
        <v>30</v>
      </c>
      <c r="M38">
        <v>57</v>
      </c>
      <c r="N38">
        <v>4.5900000000000003E-2</v>
      </c>
      <c r="Z38">
        <v>-39</v>
      </c>
      <c r="AA38" t="s">
        <v>532</v>
      </c>
    </row>
    <row r="39" spans="1:27">
      <c r="A39" t="s">
        <v>533</v>
      </c>
      <c r="B39" t="s">
        <v>26</v>
      </c>
      <c r="C39" t="s">
        <v>27</v>
      </c>
      <c r="D39" t="s">
        <v>50</v>
      </c>
      <c r="E39">
        <v>200</v>
      </c>
      <c r="F39">
        <v>7264.17</v>
      </c>
      <c r="G39">
        <v>146</v>
      </c>
      <c r="H39" t="s">
        <v>28</v>
      </c>
      <c r="I39" t="s">
        <v>28</v>
      </c>
      <c r="J39">
        <v>50</v>
      </c>
      <c r="K39" t="s">
        <v>28</v>
      </c>
      <c r="L39">
        <v>30</v>
      </c>
      <c r="M39">
        <v>58</v>
      </c>
      <c r="N39">
        <v>4.6699999999999998E-2</v>
      </c>
      <c r="Z39">
        <v>-38</v>
      </c>
      <c r="AA39" t="s">
        <v>534</v>
      </c>
    </row>
    <row r="40" spans="1:27">
      <c r="A40" t="s">
        <v>535</v>
      </c>
      <c r="B40" t="s">
        <v>26</v>
      </c>
      <c r="C40" t="s">
        <v>27</v>
      </c>
      <c r="D40" t="s">
        <v>50</v>
      </c>
      <c r="E40">
        <v>200</v>
      </c>
      <c r="F40">
        <v>7194.48</v>
      </c>
      <c r="G40">
        <v>146</v>
      </c>
      <c r="H40" t="s">
        <v>28</v>
      </c>
      <c r="I40" t="s">
        <v>28</v>
      </c>
      <c r="J40">
        <v>50</v>
      </c>
      <c r="K40" t="s">
        <v>28</v>
      </c>
      <c r="L40">
        <v>30</v>
      </c>
      <c r="M40">
        <v>57</v>
      </c>
      <c r="N40">
        <v>4.5900000000000003E-2</v>
      </c>
      <c r="Z40">
        <v>-34</v>
      </c>
      <c r="AA40" t="s">
        <v>536</v>
      </c>
    </row>
    <row r="41" spans="1:27">
      <c r="A41" t="s">
        <v>537</v>
      </c>
      <c r="B41" t="s">
        <v>26</v>
      </c>
      <c r="C41" t="s">
        <v>27</v>
      </c>
      <c r="D41" t="s">
        <v>50</v>
      </c>
      <c r="E41">
        <v>200</v>
      </c>
      <c r="F41">
        <v>7132.74</v>
      </c>
      <c r="G41">
        <v>146</v>
      </c>
      <c r="H41" t="s">
        <v>28</v>
      </c>
      <c r="I41" t="s">
        <v>28</v>
      </c>
      <c r="J41">
        <v>50</v>
      </c>
      <c r="K41" t="s">
        <v>28</v>
      </c>
      <c r="L41">
        <v>30</v>
      </c>
      <c r="M41">
        <v>62</v>
      </c>
      <c r="N41">
        <v>0.05</v>
      </c>
      <c r="Z41">
        <v>-46</v>
      </c>
      <c r="AA41" t="s">
        <v>538</v>
      </c>
    </row>
    <row r="42" spans="1:27">
      <c r="A42" t="s">
        <v>539</v>
      </c>
      <c r="B42" t="s">
        <v>26</v>
      </c>
      <c r="C42" t="s">
        <v>27</v>
      </c>
      <c r="D42" t="s">
        <v>50</v>
      </c>
      <c r="E42">
        <v>200</v>
      </c>
      <c r="F42">
        <v>7114.26</v>
      </c>
      <c r="G42">
        <v>146</v>
      </c>
      <c r="H42" t="s">
        <v>28</v>
      </c>
      <c r="I42" t="s">
        <v>28</v>
      </c>
      <c r="J42">
        <v>50</v>
      </c>
      <c r="K42" t="s">
        <v>28</v>
      </c>
      <c r="L42">
        <v>32</v>
      </c>
      <c r="M42">
        <v>64</v>
      </c>
      <c r="N42">
        <v>5.16E-2</v>
      </c>
      <c r="Z42">
        <v>-36</v>
      </c>
      <c r="AA42" t="s">
        <v>540</v>
      </c>
    </row>
    <row r="43" spans="1:27">
      <c r="A43" t="s">
        <v>541</v>
      </c>
      <c r="B43" t="s">
        <v>26</v>
      </c>
      <c r="C43" t="s">
        <v>27</v>
      </c>
      <c r="D43" t="s">
        <v>50</v>
      </c>
      <c r="E43">
        <v>200</v>
      </c>
      <c r="F43">
        <v>7176.29</v>
      </c>
      <c r="G43">
        <v>146</v>
      </c>
      <c r="H43" t="s">
        <v>28</v>
      </c>
      <c r="I43" t="s">
        <v>28</v>
      </c>
      <c r="J43">
        <v>50</v>
      </c>
      <c r="K43" t="s">
        <v>28</v>
      </c>
      <c r="L43">
        <v>32</v>
      </c>
      <c r="M43">
        <v>56</v>
      </c>
      <c r="N43">
        <v>4.5100000000000001E-2</v>
      </c>
      <c r="Z43">
        <v>-38</v>
      </c>
      <c r="AA43" t="s">
        <v>542</v>
      </c>
    </row>
    <row r="44" spans="1:27">
      <c r="A44" t="s">
        <v>543</v>
      </c>
      <c r="B44" t="s">
        <v>26</v>
      </c>
      <c r="C44" t="s">
        <v>27</v>
      </c>
      <c r="D44" t="s">
        <v>50</v>
      </c>
      <c r="E44">
        <v>200</v>
      </c>
      <c r="F44">
        <v>6904.85</v>
      </c>
      <c r="G44">
        <v>146</v>
      </c>
      <c r="H44" t="s">
        <v>28</v>
      </c>
      <c r="I44" t="s">
        <v>28</v>
      </c>
      <c r="J44">
        <v>50</v>
      </c>
      <c r="K44" t="s">
        <v>28</v>
      </c>
      <c r="L44">
        <v>34</v>
      </c>
      <c r="M44">
        <v>55</v>
      </c>
      <c r="N44">
        <v>4.4299999999999999E-2</v>
      </c>
      <c r="Z44">
        <v>-38</v>
      </c>
      <c r="AA44" t="s">
        <v>544</v>
      </c>
    </row>
    <row r="45" spans="1:27">
      <c r="A45" t="s">
        <v>545</v>
      </c>
      <c r="B45" t="s">
        <v>26</v>
      </c>
      <c r="C45" t="s">
        <v>27</v>
      </c>
      <c r="D45" t="s">
        <v>50</v>
      </c>
      <c r="E45">
        <v>200</v>
      </c>
      <c r="F45">
        <v>7162.67</v>
      </c>
      <c r="G45">
        <v>146</v>
      </c>
      <c r="H45" t="s">
        <v>28</v>
      </c>
      <c r="I45" t="s">
        <v>28</v>
      </c>
      <c r="J45">
        <v>50</v>
      </c>
      <c r="K45" t="s">
        <v>28</v>
      </c>
      <c r="L45">
        <v>31</v>
      </c>
      <c r="M45">
        <v>62</v>
      </c>
      <c r="N45">
        <v>0.05</v>
      </c>
      <c r="Z45">
        <v>-37</v>
      </c>
      <c r="AA45" t="s">
        <v>546</v>
      </c>
    </row>
    <row r="46" spans="1:27">
      <c r="A46" t="s">
        <v>547</v>
      </c>
      <c r="B46" t="s">
        <v>26</v>
      </c>
      <c r="C46" t="s">
        <v>27</v>
      </c>
      <c r="D46" t="s">
        <v>50</v>
      </c>
      <c r="E46">
        <v>200</v>
      </c>
      <c r="F46">
        <v>7216.59</v>
      </c>
      <c r="G46">
        <v>146</v>
      </c>
      <c r="H46" t="s">
        <v>28</v>
      </c>
      <c r="I46" t="s">
        <v>28</v>
      </c>
      <c r="J46">
        <v>50</v>
      </c>
      <c r="K46" t="s">
        <v>28</v>
      </c>
      <c r="L46">
        <v>26</v>
      </c>
      <c r="M46">
        <v>63</v>
      </c>
      <c r="N46">
        <v>5.0799999999999998E-2</v>
      </c>
      <c r="Z46">
        <v>-54</v>
      </c>
      <c r="AA46" t="s">
        <v>548</v>
      </c>
    </row>
    <row r="47" spans="1:27">
      <c r="A47" t="s">
        <v>549</v>
      </c>
      <c r="B47" t="s">
        <v>26</v>
      </c>
      <c r="C47" t="s">
        <v>27</v>
      </c>
      <c r="D47" t="s">
        <v>50</v>
      </c>
      <c r="E47">
        <v>200</v>
      </c>
      <c r="F47">
        <v>7367.5</v>
      </c>
      <c r="G47">
        <v>146</v>
      </c>
      <c r="H47" t="s">
        <v>28</v>
      </c>
      <c r="I47" t="s">
        <v>28</v>
      </c>
      <c r="J47">
        <v>50</v>
      </c>
      <c r="K47" t="s">
        <v>28</v>
      </c>
      <c r="L47">
        <v>26</v>
      </c>
      <c r="M47">
        <v>56</v>
      </c>
      <c r="N47">
        <v>4.5100000000000001E-2</v>
      </c>
      <c r="Z47">
        <v>-55</v>
      </c>
      <c r="AA47" t="s">
        <v>550</v>
      </c>
    </row>
    <row r="48" spans="1:27">
      <c r="A48" t="s">
        <v>551</v>
      </c>
      <c r="B48" t="s">
        <v>26</v>
      </c>
      <c r="C48" t="s">
        <v>27</v>
      </c>
      <c r="D48" t="s">
        <v>50</v>
      </c>
      <c r="E48">
        <v>200</v>
      </c>
      <c r="F48">
        <v>7336.5</v>
      </c>
      <c r="G48">
        <v>146</v>
      </c>
      <c r="H48" t="s">
        <v>28</v>
      </c>
      <c r="I48" t="s">
        <v>28</v>
      </c>
      <c r="J48">
        <v>50</v>
      </c>
      <c r="K48" t="s">
        <v>28</v>
      </c>
      <c r="L48">
        <v>24</v>
      </c>
      <c r="M48">
        <v>76</v>
      </c>
      <c r="N48">
        <v>6.1199999999999997E-2</v>
      </c>
      <c r="Z48">
        <v>-55</v>
      </c>
      <c r="AA48" t="s">
        <v>552</v>
      </c>
    </row>
    <row r="49" spans="1:27">
      <c r="A49" t="s">
        <v>553</v>
      </c>
      <c r="B49" t="s">
        <v>26</v>
      </c>
      <c r="C49" t="s">
        <v>27</v>
      </c>
      <c r="D49" t="s">
        <v>50</v>
      </c>
      <c r="E49">
        <v>200</v>
      </c>
      <c r="F49">
        <v>7309.88</v>
      </c>
      <c r="G49">
        <v>146</v>
      </c>
      <c r="H49" t="s">
        <v>28</v>
      </c>
      <c r="I49" t="s">
        <v>28</v>
      </c>
      <c r="J49">
        <v>50</v>
      </c>
      <c r="K49" t="s">
        <v>28</v>
      </c>
      <c r="L49">
        <v>27</v>
      </c>
      <c r="M49">
        <v>56</v>
      </c>
      <c r="N49">
        <v>4.5100000000000001E-2</v>
      </c>
      <c r="Z49">
        <v>-57</v>
      </c>
      <c r="AA49" t="s">
        <v>554</v>
      </c>
    </row>
    <row r="50" spans="1:27">
      <c r="A50" t="s">
        <v>555</v>
      </c>
      <c r="B50" t="s">
        <v>26</v>
      </c>
      <c r="C50" t="s">
        <v>27</v>
      </c>
      <c r="D50" t="s">
        <v>50</v>
      </c>
      <c r="E50">
        <v>200</v>
      </c>
      <c r="F50">
        <v>7340.46</v>
      </c>
      <c r="G50">
        <v>146</v>
      </c>
      <c r="H50" t="s">
        <v>28</v>
      </c>
      <c r="I50" t="s">
        <v>28</v>
      </c>
      <c r="J50">
        <v>50</v>
      </c>
      <c r="K50" t="s">
        <v>28</v>
      </c>
      <c r="L50">
        <v>28</v>
      </c>
      <c r="M50">
        <v>59</v>
      </c>
      <c r="N50">
        <v>4.7500000000000001E-2</v>
      </c>
      <c r="Z50">
        <v>-56</v>
      </c>
      <c r="AA50" t="s">
        <v>556</v>
      </c>
    </row>
    <row r="51" spans="1:27">
      <c r="A51" t="s">
        <v>557</v>
      </c>
      <c r="B51" t="s">
        <v>26</v>
      </c>
      <c r="C51" t="s">
        <v>27</v>
      </c>
      <c r="D51" t="s">
        <v>50</v>
      </c>
      <c r="E51">
        <v>200</v>
      </c>
      <c r="F51">
        <v>7532.6</v>
      </c>
      <c r="G51">
        <v>146</v>
      </c>
      <c r="H51" t="s">
        <v>28</v>
      </c>
      <c r="I51" t="s">
        <v>28</v>
      </c>
      <c r="J51">
        <v>50</v>
      </c>
      <c r="K51" t="s">
        <v>28</v>
      </c>
      <c r="L51">
        <v>22</v>
      </c>
      <c r="M51">
        <v>55</v>
      </c>
      <c r="N51">
        <v>4.4299999999999999E-2</v>
      </c>
      <c r="Z51">
        <v>-55</v>
      </c>
      <c r="AA51" t="s">
        <v>558</v>
      </c>
    </row>
    <row r="52" spans="1:27">
      <c r="A52" t="s">
        <v>559</v>
      </c>
      <c r="B52" t="s">
        <v>26</v>
      </c>
      <c r="C52" t="s">
        <v>27</v>
      </c>
      <c r="D52" t="s">
        <v>50</v>
      </c>
      <c r="E52">
        <v>200</v>
      </c>
      <c r="F52">
        <v>7442.21</v>
      </c>
      <c r="G52">
        <v>146</v>
      </c>
      <c r="H52" t="s">
        <v>28</v>
      </c>
      <c r="I52" t="s">
        <v>28</v>
      </c>
      <c r="J52">
        <v>50</v>
      </c>
      <c r="K52" t="s">
        <v>28</v>
      </c>
      <c r="L52">
        <v>24</v>
      </c>
      <c r="M52">
        <v>56</v>
      </c>
      <c r="N52">
        <v>4.5100000000000001E-2</v>
      </c>
      <c r="Z52">
        <v>-56</v>
      </c>
      <c r="AA52" t="s">
        <v>560</v>
      </c>
    </row>
    <row r="53" spans="1:27">
      <c r="A53" t="s">
        <v>561</v>
      </c>
      <c r="B53" t="s">
        <v>26</v>
      </c>
      <c r="C53" t="s">
        <v>27</v>
      </c>
      <c r="D53" t="s">
        <v>50</v>
      </c>
      <c r="E53">
        <v>200</v>
      </c>
      <c r="F53">
        <v>7804.08</v>
      </c>
      <c r="G53">
        <v>146</v>
      </c>
      <c r="H53" t="s">
        <v>28</v>
      </c>
      <c r="I53" t="s">
        <v>28</v>
      </c>
      <c r="J53">
        <v>50</v>
      </c>
      <c r="K53" t="s">
        <v>28</v>
      </c>
      <c r="L53">
        <v>16</v>
      </c>
      <c r="M53">
        <v>55</v>
      </c>
      <c r="N53">
        <v>4.4299999999999999E-2</v>
      </c>
      <c r="Z53">
        <v>-56</v>
      </c>
      <c r="AA53" t="s">
        <v>562</v>
      </c>
    </row>
    <row r="54" spans="1:27">
      <c r="A54" t="s">
        <v>563</v>
      </c>
      <c r="B54" t="s">
        <v>26</v>
      </c>
      <c r="C54" t="s">
        <v>27</v>
      </c>
      <c r="D54" t="s">
        <v>50</v>
      </c>
      <c r="E54">
        <v>200</v>
      </c>
      <c r="F54">
        <v>8137.36</v>
      </c>
      <c r="G54">
        <v>145</v>
      </c>
      <c r="H54" t="s">
        <v>28</v>
      </c>
      <c r="I54" t="s">
        <v>28</v>
      </c>
      <c r="J54">
        <v>50</v>
      </c>
      <c r="K54" t="s">
        <v>28</v>
      </c>
      <c r="L54">
        <v>5</v>
      </c>
      <c r="M54">
        <v>58</v>
      </c>
      <c r="N54">
        <v>4.6699999999999998E-2</v>
      </c>
      <c r="Z54">
        <v>-56</v>
      </c>
      <c r="AA54" t="s">
        <v>564</v>
      </c>
    </row>
    <row r="55" spans="1:27">
      <c r="A55" t="s">
        <v>565</v>
      </c>
      <c r="B55" t="s">
        <v>26</v>
      </c>
      <c r="C55" t="s">
        <v>27</v>
      </c>
      <c r="D55" t="s">
        <v>50</v>
      </c>
      <c r="E55">
        <v>200</v>
      </c>
      <c r="F55">
        <v>7662.88</v>
      </c>
      <c r="G55">
        <v>146</v>
      </c>
      <c r="H55" t="s">
        <v>28</v>
      </c>
      <c r="I55" t="s">
        <v>28</v>
      </c>
      <c r="J55">
        <v>50</v>
      </c>
      <c r="K55" t="s">
        <v>28</v>
      </c>
      <c r="L55">
        <v>20</v>
      </c>
      <c r="M55">
        <v>58</v>
      </c>
      <c r="N55">
        <v>4.6699999999999998E-2</v>
      </c>
      <c r="Z55">
        <v>-55</v>
      </c>
      <c r="AA55" t="s">
        <v>566</v>
      </c>
    </row>
    <row r="56" spans="1:27">
      <c r="A56" t="s">
        <v>567</v>
      </c>
      <c r="B56" t="s">
        <v>26</v>
      </c>
      <c r="C56" t="s">
        <v>27</v>
      </c>
      <c r="D56" t="s">
        <v>50</v>
      </c>
      <c r="E56">
        <v>200</v>
      </c>
      <c r="F56">
        <v>8294.69</v>
      </c>
      <c r="G56">
        <v>144</v>
      </c>
      <c r="H56" t="s">
        <v>28</v>
      </c>
      <c r="I56" t="s">
        <v>28</v>
      </c>
      <c r="J56">
        <v>50</v>
      </c>
      <c r="K56" t="s">
        <v>29</v>
      </c>
      <c r="L56">
        <v>0</v>
      </c>
      <c r="M56">
        <v>29</v>
      </c>
      <c r="N56">
        <v>2.3400000000000001E-2</v>
      </c>
      <c r="Z56">
        <v>-57</v>
      </c>
      <c r="AA56" t="s">
        <v>568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55"/>
  <sheetViews>
    <sheetView workbookViewId="0">
      <selection activeCell="A4" sqref="A4"/>
    </sheetView>
  </sheetViews>
  <sheetFormatPr baseColWidth="10" defaultColWidth="9" defaultRowHeight="14.25"/>
  <cols>
    <col min="1" max="1" width="25.375" customWidth="1"/>
  </cols>
  <sheetData>
    <row r="1" spans="1:23">
      <c r="A1" t="s">
        <v>0</v>
      </c>
      <c r="B1" t="s">
        <v>1</v>
      </c>
      <c r="C1" t="s">
        <v>30</v>
      </c>
      <c r="D1" t="s">
        <v>31</v>
      </c>
      <c r="E1" t="s">
        <v>3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  <c r="M1" t="s">
        <v>39</v>
      </c>
      <c r="N1" t="s">
        <v>40</v>
      </c>
      <c r="O1" t="s">
        <v>41</v>
      </c>
      <c r="P1" t="s">
        <v>42</v>
      </c>
      <c r="Q1" t="s">
        <v>43</v>
      </c>
      <c r="R1" t="s">
        <v>44</v>
      </c>
      <c r="S1" t="s">
        <v>45</v>
      </c>
      <c r="T1" t="s">
        <v>46</v>
      </c>
      <c r="U1" t="s">
        <v>7</v>
      </c>
      <c r="V1" t="s">
        <v>9</v>
      </c>
      <c r="W1" t="s">
        <v>10</v>
      </c>
    </row>
    <row r="2" spans="1:23">
      <c r="A2" t="s">
        <v>403</v>
      </c>
      <c r="B2" t="s">
        <v>47</v>
      </c>
      <c r="C2" t="s">
        <v>48</v>
      </c>
      <c r="D2" t="s">
        <v>49</v>
      </c>
      <c r="E2" t="s">
        <v>50</v>
      </c>
      <c r="F2">
        <v>6091.18</v>
      </c>
      <c r="G2">
        <v>-64</v>
      </c>
      <c r="H2">
        <v>-68.83</v>
      </c>
      <c r="I2">
        <v>-76</v>
      </c>
      <c r="J2">
        <v>-64</v>
      </c>
      <c r="K2">
        <v>6</v>
      </c>
      <c r="L2">
        <v>2457.12</v>
      </c>
      <c r="M2">
        <v>169.55</v>
      </c>
      <c r="N2">
        <v>1.72</v>
      </c>
      <c r="O2">
        <v>88.82</v>
      </c>
      <c r="P2">
        <v>9164.44</v>
      </c>
      <c r="Q2">
        <v>2218.6999999999998</v>
      </c>
      <c r="R2">
        <v>20108.12</v>
      </c>
      <c r="S2">
        <v>19</v>
      </c>
      <c r="T2">
        <v>10</v>
      </c>
      <c r="U2" t="s">
        <v>28</v>
      </c>
      <c r="V2">
        <v>50</v>
      </c>
      <c r="W2" t="s">
        <v>28</v>
      </c>
    </row>
    <row r="3" spans="1:23">
      <c r="A3" t="s">
        <v>404</v>
      </c>
      <c r="B3" t="s">
        <v>47</v>
      </c>
      <c r="C3" t="s">
        <v>48</v>
      </c>
      <c r="D3" t="s">
        <v>49</v>
      </c>
      <c r="E3" t="s">
        <v>50</v>
      </c>
      <c r="F3">
        <v>6034.84</v>
      </c>
      <c r="G3">
        <v>-75</v>
      </c>
      <c r="H3">
        <v>-68.89</v>
      </c>
      <c r="I3">
        <v>-77</v>
      </c>
      <c r="J3">
        <v>-57</v>
      </c>
      <c r="K3">
        <v>9</v>
      </c>
      <c r="L3">
        <v>1379.94</v>
      </c>
      <c r="M3">
        <v>172.76</v>
      </c>
      <c r="N3">
        <v>1.06</v>
      </c>
      <c r="O3">
        <v>134.09</v>
      </c>
      <c r="P3">
        <v>9209.8799999999992</v>
      </c>
      <c r="Q3">
        <v>2219.61</v>
      </c>
      <c r="R3">
        <v>19020.939999999999</v>
      </c>
      <c r="S3">
        <v>18</v>
      </c>
      <c r="T3">
        <v>9</v>
      </c>
      <c r="U3" t="s">
        <v>28</v>
      </c>
      <c r="V3">
        <v>50</v>
      </c>
      <c r="W3" t="s">
        <v>28</v>
      </c>
    </row>
    <row r="4" spans="1:23">
      <c r="A4" t="s">
        <v>405</v>
      </c>
      <c r="B4" t="s">
        <v>47</v>
      </c>
      <c r="C4" t="s">
        <v>48</v>
      </c>
      <c r="D4" t="s">
        <v>49</v>
      </c>
      <c r="E4" t="s">
        <v>50</v>
      </c>
      <c r="F4">
        <v>6080.28</v>
      </c>
      <c r="G4">
        <v>-64</v>
      </c>
      <c r="H4">
        <v>-65.83</v>
      </c>
      <c r="I4">
        <v>-74</v>
      </c>
      <c r="J4">
        <v>-58</v>
      </c>
      <c r="K4">
        <v>12</v>
      </c>
      <c r="L4">
        <v>3887.16</v>
      </c>
      <c r="M4">
        <v>173.2</v>
      </c>
      <c r="N4">
        <v>1.06</v>
      </c>
      <c r="O4">
        <v>134.09</v>
      </c>
      <c r="P4">
        <v>9210.9500000000007</v>
      </c>
      <c r="Q4">
        <v>2759.26</v>
      </c>
      <c r="R4">
        <v>22114.6</v>
      </c>
      <c r="S4">
        <v>19</v>
      </c>
      <c r="T4">
        <v>10</v>
      </c>
      <c r="U4" t="s">
        <v>28</v>
      </c>
      <c r="V4">
        <v>50</v>
      </c>
      <c r="W4" t="s">
        <v>28</v>
      </c>
    </row>
    <row r="5" spans="1:23">
      <c r="A5" t="s">
        <v>406</v>
      </c>
      <c r="B5" t="s">
        <v>47</v>
      </c>
      <c r="C5" t="s">
        <v>48</v>
      </c>
      <c r="D5" t="s">
        <v>49</v>
      </c>
      <c r="E5" t="s">
        <v>50</v>
      </c>
      <c r="F5">
        <v>6042.38</v>
      </c>
      <c r="G5">
        <v>-70</v>
      </c>
      <c r="H5">
        <v>-68.819999999999993</v>
      </c>
      <c r="I5">
        <v>-75</v>
      </c>
      <c r="J5">
        <v>-60</v>
      </c>
      <c r="K5">
        <v>11</v>
      </c>
      <c r="L5">
        <v>1545.55</v>
      </c>
      <c r="M5">
        <v>173.1</v>
      </c>
      <c r="N5">
        <v>1.03</v>
      </c>
      <c r="O5">
        <v>89.12</v>
      </c>
      <c r="P5">
        <v>9165.3700000000008</v>
      </c>
      <c r="Q5">
        <v>2128.9499999999998</v>
      </c>
      <c r="R5">
        <v>19059.060000000001</v>
      </c>
      <c r="S5">
        <v>19</v>
      </c>
      <c r="T5">
        <v>10</v>
      </c>
      <c r="U5" t="s">
        <v>28</v>
      </c>
      <c r="V5">
        <v>50</v>
      </c>
      <c r="W5" t="s">
        <v>28</v>
      </c>
    </row>
    <row r="6" spans="1:23">
      <c r="A6" t="s">
        <v>407</v>
      </c>
      <c r="B6" t="s">
        <v>47</v>
      </c>
      <c r="C6" t="s">
        <v>48</v>
      </c>
      <c r="D6" t="s">
        <v>49</v>
      </c>
      <c r="E6" t="s">
        <v>50</v>
      </c>
      <c r="F6">
        <v>6048.05</v>
      </c>
      <c r="G6">
        <v>-72</v>
      </c>
      <c r="H6">
        <v>-69.22</v>
      </c>
      <c r="I6">
        <v>-79</v>
      </c>
      <c r="J6">
        <v>-65</v>
      </c>
      <c r="K6">
        <v>9</v>
      </c>
      <c r="L6">
        <v>2271.4299999999998</v>
      </c>
      <c r="M6">
        <v>173.7</v>
      </c>
      <c r="N6">
        <v>0.99</v>
      </c>
      <c r="O6">
        <v>88.88</v>
      </c>
      <c r="P6">
        <v>9120.02</v>
      </c>
      <c r="Q6">
        <v>1859.62</v>
      </c>
      <c r="R6">
        <v>19476.3</v>
      </c>
      <c r="S6">
        <v>18</v>
      </c>
      <c r="T6">
        <v>9</v>
      </c>
      <c r="U6" t="s">
        <v>28</v>
      </c>
      <c r="V6">
        <v>50</v>
      </c>
      <c r="W6" t="s">
        <v>28</v>
      </c>
    </row>
    <row r="7" spans="1:23">
      <c r="A7" t="s">
        <v>408</v>
      </c>
      <c r="B7" t="s">
        <v>47</v>
      </c>
      <c r="C7" t="s">
        <v>48</v>
      </c>
      <c r="D7" t="s">
        <v>49</v>
      </c>
      <c r="E7" t="s">
        <v>50</v>
      </c>
      <c r="F7">
        <v>6026.89</v>
      </c>
      <c r="G7">
        <v>-85</v>
      </c>
      <c r="H7">
        <v>-73.599999999999994</v>
      </c>
      <c r="I7">
        <v>-85</v>
      </c>
      <c r="J7">
        <v>-64</v>
      </c>
      <c r="K7">
        <v>10</v>
      </c>
      <c r="L7">
        <v>1741</v>
      </c>
      <c r="M7">
        <v>174.45</v>
      </c>
      <c r="N7">
        <v>1.43</v>
      </c>
      <c r="O7">
        <v>133.38</v>
      </c>
      <c r="P7">
        <v>9209.34</v>
      </c>
      <c r="Q7">
        <v>2264.86</v>
      </c>
      <c r="R7">
        <v>19420.52</v>
      </c>
      <c r="S7">
        <v>19</v>
      </c>
      <c r="T7">
        <v>10</v>
      </c>
      <c r="U7" t="s">
        <v>28</v>
      </c>
      <c r="V7">
        <v>50</v>
      </c>
      <c r="W7" t="s">
        <v>28</v>
      </c>
    </row>
    <row r="8" spans="1:23">
      <c r="A8" t="s">
        <v>409</v>
      </c>
      <c r="B8" t="s">
        <v>47</v>
      </c>
      <c r="C8" t="s">
        <v>48</v>
      </c>
      <c r="D8" t="s">
        <v>49</v>
      </c>
      <c r="E8" t="s">
        <v>50</v>
      </c>
      <c r="F8">
        <v>6059.66</v>
      </c>
      <c r="G8">
        <v>-61</v>
      </c>
      <c r="H8">
        <v>-63.75</v>
      </c>
      <c r="I8">
        <v>-72</v>
      </c>
      <c r="J8">
        <v>-59</v>
      </c>
      <c r="K8">
        <v>8</v>
      </c>
      <c r="L8">
        <v>1657.16</v>
      </c>
      <c r="M8">
        <v>174.05</v>
      </c>
      <c r="N8">
        <v>1.41</v>
      </c>
      <c r="O8">
        <v>88.26</v>
      </c>
      <c r="P8">
        <v>9163.76</v>
      </c>
      <c r="Q8">
        <v>2264.15</v>
      </c>
      <c r="R8">
        <v>19322.63</v>
      </c>
      <c r="S8">
        <v>19</v>
      </c>
      <c r="T8">
        <v>10</v>
      </c>
      <c r="U8" t="s">
        <v>28</v>
      </c>
      <c r="V8">
        <v>50</v>
      </c>
      <c r="W8" t="s">
        <v>28</v>
      </c>
    </row>
    <row r="9" spans="1:23">
      <c r="A9" t="s">
        <v>410</v>
      </c>
      <c r="B9" t="s">
        <v>47</v>
      </c>
      <c r="C9" t="s">
        <v>48</v>
      </c>
      <c r="D9" t="s">
        <v>49</v>
      </c>
      <c r="E9" t="s">
        <v>51</v>
      </c>
      <c r="F9">
        <v>6029.61</v>
      </c>
      <c r="G9">
        <v>-66</v>
      </c>
      <c r="H9">
        <v>-64.11</v>
      </c>
      <c r="I9">
        <v>-74</v>
      </c>
      <c r="J9">
        <v>-59</v>
      </c>
      <c r="K9">
        <v>9</v>
      </c>
      <c r="L9">
        <v>1377.6</v>
      </c>
      <c r="M9">
        <v>173.41</v>
      </c>
      <c r="N9">
        <v>1.04</v>
      </c>
      <c r="O9">
        <v>89.25</v>
      </c>
      <c r="P9">
        <v>15306.54</v>
      </c>
      <c r="Q9">
        <v>2691.77</v>
      </c>
      <c r="R9">
        <v>25583.53</v>
      </c>
      <c r="S9">
        <v>23</v>
      </c>
      <c r="T9">
        <v>11</v>
      </c>
      <c r="U9" t="s">
        <v>29</v>
      </c>
      <c r="V9">
        <v>50</v>
      </c>
      <c r="W9" t="s">
        <v>28</v>
      </c>
    </row>
    <row r="10" spans="1:23">
      <c r="A10" t="s">
        <v>411</v>
      </c>
      <c r="B10" t="s">
        <v>47</v>
      </c>
      <c r="C10" t="s">
        <v>48</v>
      </c>
      <c r="D10" t="s">
        <v>49</v>
      </c>
      <c r="E10" t="s">
        <v>50</v>
      </c>
      <c r="F10">
        <v>6024.62</v>
      </c>
      <c r="G10">
        <v>-70</v>
      </c>
      <c r="H10">
        <v>-70.2</v>
      </c>
      <c r="I10">
        <v>-77</v>
      </c>
      <c r="J10">
        <v>-66</v>
      </c>
      <c r="K10">
        <v>10</v>
      </c>
      <c r="L10">
        <v>4266.08</v>
      </c>
      <c r="M10">
        <v>174.47</v>
      </c>
      <c r="N10">
        <v>2.41</v>
      </c>
      <c r="O10">
        <v>87.44</v>
      </c>
      <c r="P10">
        <v>9162.23</v>
      </c>
      <c r="Q10">
        <v>2759.13</v>
      </c>
      <c r="R10">
        <v>22391.85</v>
      </c>
      <c r="S10">
        <v>19</v>
      </c>
      <c r="T10">
        <v>10</v>
      </c>
      <c r="U10" t="s">
        <v>28</v>
      </c>
      <c r="V10">
        <v>50</v>
      </c>
      <c r="W10" t="s">
        <v>28</v>
      </c>
    </row>
    <row r="11" spans="1:23">
      <c r="A11" t="s">
        <v>412</v>
      </c>
      <c r="B11" t="s">
        <v>47</v>
      </c>
      <c r="C11" t="s">
        <v>48</v>
      </c>
      <c r="D11" t="s">
        <v>49</v>
      </c>
      <c r="E11" t="s">
        <v>50</v>
      </c>
      <c r="F11">
        <v>6038.3</v>
      </c>
      <c r="G11">
        <v>-61</v>
      </c>
      <c r="H11">
        <v>-67.8</v>
      </c>
      <c r="I11">
        <v>-78</v>
      </c>
      <c r="J11">
        <v>-60</v>
      </c>
      <c r="K11">
        <v>10</v>
      </c>
      <c r="L11">
        <v>1802.44</v>
      </c>
      <c r="M11">
        <v>174.2</v>
      </c>
      <c r="N11">
        <v>1.0900000000000001</v>
      </c>
      <c r="O11">
        <v>88.64</v>
      </c>
      <c r="P11">
        <v>9119.73</v>
      </c>
      <c r="Q11">
        <v>2757.66</v>
      </c>
      <c r="R11">
        <v>19896.939999999999</v>
      </c>
      <c r="S11">
        <v>19</v>
      </c>
      <c r="T11">
        <v>10</v>
      </c>
      <c r="U11" t="s">
        <v>28</v>
      </c>
      <c r="V11">
        <v>50</v>
      </c>
      <c r="W11" t="s">
        <v>28</v>
      </c>
    </row>
    <row r="12" spans="1:23">
      <c r="A12" t="s">
        <v>413</v>
      </c>
      <c r="B12" t="s">
        <v>47</v>
      </c>
      <c r="C12" t="s">
        <v>48</v>
      </c>
      <c r="D12" t="s">
        <v>49</v>
      </c>
      <c r="E12" t="s">
        <v>50</v>
      </c>
      <c r="F12">
        <v>6037.12</v>
      </c>
      <c r="G12">
        <v>-63</v>
      </c>
      <c r="H12">
        <v>-67</v>
      </c>
      <c r="I12">
        <v>-72</v>
      </c>
      <c r="J12">
        <v>-62</v>
      </c>
      <c r="K12">
        <v>11</v>
      </c>
      <c r="L12">
        <v>1416.6</v>
      </c>
      <c r="M12">
        <v>173.7</v>
      </c>
      <c r="N12">
        <v>1.04</v>
      </c>
      <c r="O12">
        <v>89.17</v>
      </c>
      <c r="P12">
        <v>9165.32</v>
      </c>
      <c r="Q12">
        <v>2309.31</v>
      </c>
      <c r="R12">
        <v>19106.400000000001</v>
      </c>
      <c r="S12">
        <v>19</v>
      </c>
      <c r="T12">
        <v>10</v>
      </c>
      <c r="U12" t="s">
        <v>28</v>
      </c>
      <c r="V12">
        <v>50</v>
      </c>
      <c r="W12" t="s">
        <v>28</v>
      </c>
    </row>
    <row r="13" spans="1:23">
      <c r="A13" t="s">
        <v>414</v>
      </c>
      <c r="B13" t="s">
        <v>47</v>
      </c>
      <c r="C13" t="s">
        <v>48</v>
      </c>
      <c r="D13" t="s">
        <v>49</v>
      </c>
      <c r="E13" t="s">
        <v>50</v>
      </c>
      <c r="F13">
        <v>6085.02</v>
      </c>
      <c r="G13">
        <v>-63</v>
      </c>
      <c r="H13">
        <v>-64.75</v>
      </c>
      <c r="I13">
        <v>-73</v>
      </c>
      <c r="J13">
        <v>-60</v>
      </c>
      <c r="K13">
        <v>12</v>
      </c>
      <c r="L13">
        <v>1258.58</v>
      </c>
      <c r="M13">
        <v>173.62</v>
      </c>
      <c r="N13">
        <v>1.1000000000000001</v>
      </c>
      <c r="O13">
        <v>89.13</v>
      </c>
      <c r="P13">
        <v>9121.15</v>
      </c>
      <c r="Q13">
        <v>2397.25</v>
      </c>
      <c r="R13">
        <v>19040.07</v>
      </c>
      <c r="S13">
        <v>19</v>
      </c>
      <c r="T13">
        <v>10</v>
      </c>
      <c r="U13" t="s">
        <v>28</v>
      </c>
      <c r="V13">
        <v>50</v>
      </c>
      <c r="W13" t="s">
        <v>28</v>
      </c>
    </row>
    <row r="14" spans="1:23">
      <c r="A14" t="s">
        <v>415</v>
      </c>
      <c r="B14" t="s">
        <v>47</v>
      </c>
      <c r="C14" t="s">
        <v>48</v>
      </c>
      <c r="D14" t="s">
        <v>49</v>
      </c>
      <c r="E14" t="s">
        <v>50</v>
      </c>
      <c r="F14">
        <v>6116.42</v>
      </c>
      <c r="G14">
        <v>-62</v>
      </c>
      <c r="H14">
        <v>-65.75</v>
      </c>
      <c r="I14">
        <v>-71</v>
      </c>
      <c r="J14">
        <v>-57</v>
      </c>
      <c r="K14">
        <v>12</v>
      </c>
      <c r="L14">
        <v>1740.57</v>
      </c>
      <c r="M14">
        <v>174.03</v>
      </c>
      <c r="N14">
        <v>1.1399999999999999</v>
      </c>
      <c r="O14">
        <v>89.1</v>
      </c>
      <c r="P14">
        <v>9120.1299999999992</v>
      </c>
      <c r="Q14">
        <v>1858.88</v>
      </c>
      <c r="R14">
        <v>19014.080000000002</v>
      </c>
      <c r="S14">
        <v>19</v>
      </c>
      <c r="T14">
        <v>10</v>
      </c>
      <c r="U14" t="s">
        <v>28</v>
      </c>
      <c r="V14">
        <v>50</v>
      </c>
      <c r="W14" t="s">
        <v>28</v>
      </c>
    </row>
    <row r="15" spans="1:23">
      <c r="A15" t="s">
        <v>416</v>
      </c>
      <c r="B15" t="s">
        <v>47</v>
      </c>
      <c r="C15" t="s">
        <v>48</v>
      </c>
      <c r="D15" t="s">
        <v>49</v>
      </c>
      <c r="E15" t="s">
        <v>50</v>
      </c>
      <c r="F15">
        <v>6067.82</v>
      </c>
      <c r="G15">
        <v>-69</v>
      </c>
      <c r="H15">
        <v>-68.64</v>
      </c>
      <c r="I15">
        <v>-78</v>
      </c>
      <c r="J15">
        <v>-62</v>
      </c>
      <c r="K15">
        <v>11</v>
      </c>
      <c r="L15">
        <v>1350.26</v>
      </c>
      <c r="M15">
        <v>173.92</v>
      </c>
      <c r="N15">
        <v>1.08</v>
      </c>
      <c r="O15">
        <v>88.65</v>
      </c>
      <c r="P15">
        <v>9119.33</v>
      </c>
      <c r="Q15">
        <v>2308.66</v>
      </c>
      <c r="R15">
        <v>19023.72</v>
      </c>
      <c r="S15">
        <v>19</v>
      </c>
      <c r="T15">
        <v>10</v>
      </c>
      <c r="U15" t="s">
        <v>28</v>
      </c>
      <c r="V15">
        <v>50</v>
      </c>
      <c r="W15" t="s">
        <v>28</v>
      </c>
    </row>
    <row r="16" spans="1:23">
      <c r="A16" t="s">
        <v>417</v>
      </c>
      <c r="B16" t="s">
        <v>47</v>
      </c>
      <c r="C16" t="s">
        <v>48</v>
      </c>
      <c r="D16" t="s">
        <v>49</v>
      </c>
      <c r="E16" t="s">
        <v>50</v>
      </c>
      <c r="F16">
        <v>6046.68</v>
      </c>
      <c r="G16">
        <v>-72</v>
      </c>
      <c r="H16">
        <v>-64.75</v>
      </c>
      <c r="I16">
        <v>-73</v>
      </c>
      <c r="J16">
        <v>-57</v>
      </c>
      <c r="K16">
        <v>12</v>
      </c>
      <c r="L16">
        <v>1472.37</v>
      </c>
      <c r="M16">
        <v>173.79</v>
      </c>
      <c r="N16">
        <v>1.1299999999999999</v>
      </c>
      <c r="O16">
        <v>89.16</v>
      </c>
      <c r="P16">
        <v>9120.59</v>
      </c>
      <c r="Q16">
        <v>1902.83</v>
      </c>
      <c r="R16">
        <v>18720.02</v>
      </c>
      <c r="S16">
        <v>19</v>
      </c>
      <c r="T16">
        <v>10</v>
      </c>
      <c r="U16" t="s">
        <v>28</v>
      </c>
      <c r="V16">
        <v>50</v>
      </c>
      <c r="W16" t="s">
        <v>28</v>
      </c>
    </row>
    <row r="17" spans="1:23">
      <c r="A17" t="s">
        <v>418</v>
      </c>
      <c r="B17" t="s">
        <v>47</v>
      </c>
      <c r="C17" t="s">
        <v>48</v>
      </c>
      <c r="D17" t="s">
        <v>49</v>
      </c>
      <c r="E17" t="s">
        <v>50</v>
      </c>
      <c r="F17">
        <v>6052.58</v>
      </c>
      <c r="G17">
        <v>-64</v>
      </c>
      <c r="H17">
        <v>-64.91</v>
      </c>
      <c r="I17">
        <v>-68</v>
      </c>
      <c r="J17">
        <v>-62</v>
      </c>
      <c r="K17">
        <v>11</v>
      </c>
      <c r="L17">
        <v>1489.35</v>
      </c>
      <c r="M17">
        <v>174.23</v>
      </c>
      <c r="N17">
        <v>1.1299999999999999</v>
      </c>
      <c r="O17">
        <v>88.95</v>
      </c>
      <c r="P17">
        <v>9164.7800000000007</v>
      </c>
      <c r="Q17">
        <v>2354.35</v>
      </c>
      <c r="R17">
        <v>19239.38</v>
      </c>
      <c r="S17">
        <v>19</v>
      </c>
      <c r="T17">
        <v>10</v>
      </c>
      <c r="U17" t="s">
        <v>28</v>
      </c>
      <c r="V17">
        <v>50</v>
      </c>
      <c r="W17" t="s">
        <v>28</v>
      </c>
    </row>
    <row r="18" spans="1:23">
      <c r="A18" t="s">
        <v>419</v>
      </c>
      <c r="B18" t="s">
        <v>47</v>
      </c>
      <c r="C18" t="s">
        <v>48</v>
      </c>
      <c r="D18" t="s">
        <v>49</v>
      </c>
      <c r="E18" t="s">
        <v>50</v>
      </c>
      <c r="F18">
        <v>6062.42</v>
      </c>
      <c r="G18">
        <v>-77</v>
      </c>
      <c r="H18">
        <v>-70.900000000000006</v>
      </c>
      <c r="I18">
        <v>-82</v>
      </c>
      <c r="J18">
        <v>-62</v>
      </c>
      <c r="K18">
        <v>10</v>
      </c>
      <c r="L18">
        <v>1708.27</v>
      </c>
      <c r="M18">
        <v>174.23</v>
      </c>
      <c r="N18">
        <v>1.35</v>
      </c>
      <c r="O18">
        <v>88.68</v>
      </c>
      <c r="P18">
        <v>9119.85</v>
      </c>
      <c r="Q18">
        <v>2308.88</v>
      </c>
      <c r="R18">
        <v>19377.77</v>
      </c>
      <c r="S18">
        <v>19</v>
      </c>
      <c r="T18">
        <v>10</v>
      </c>
      <c r="U18" t="s">
        <v>28</v>
      </c>
      <c r="V18">
        <v>50</v>
      </c>
      <c r="W18" t="s">
        <v>28</v>
      </c>
    </row>
    <row r="19" spans="1:23">
      <c r="A19" t="s">
        <v>420</v>
      </c>
      <c r="B19" t="s">
        <v>47</v>
      </c>
      <c r="C19" t="s">
        <v>48</v>
      </c>
      <c r="D19" t="s">
        <v>49</v>
      </c>
      <c r="E19" t="s">
        <v>50</v>
      </c>
      <c r="F19">
        <v>6051.21</v>
      </c>
      <c r="G19">
        <v>-85</v>
      </c>
      <c r="H19">
        <v>-71.08</v>
      </c>
      <c r="I19">
        <v>-85</v>
      </c>
      <c r="J19">
        <v>-63</v>
      </c>
      <c r="K19">
        <v>12</v>
      </c>
      <c r="L19">
        <v>2586.41</v>
      </c>
      <c r="M19">
        <v>173.66</v>
      </c>
      <c r="N19">
        <v>1.24</v>
      </c>
      <c r="O19">
        <v>88.08</v>
      </c>
      <c r="P19">
        <v>9074.14</v>
      </c>
      <c r="Q19">
        <v>2445.33</v>
      </c>
      <c r="R19">
        <v>20334.43</v>
      </c>
      <c r="S19">
        <v>18</v>
      </c>
      <c r="T19">
        <v>9</v>
      </c>
      <c r="U19" t="s">
        <v>28</v>
      </c>
      <c r="V19">
        <v>50</v>
      </c>
      <c r="W19" t="s">
        <v>28</v>
      </c>
    </row>
    <row r="20" spans="1:23">
      <c r="A20" t="s">
        <v>421</v>
      </c>
      <c r="B20" t="s">
        <v>47</v>
      </c>
      <c r="C20" t="s">
        <v>48</v>
      </c>
      <c r="D20" t="s">
        <v>49</v>
      </c>
      <c r="E20" t="s">
        <v>50</v>
      </c>
      <c r="F20">
        <v>6116.37</v>
      </c>
      <c r="G20">
        <v>-70</v>
      </c>
      <c r="H20">
        <v>-72.400000000000006</v>
      </c>
      <c r="I20">
        <v>-79</v>
      </c>
      <c r="J20">
        <v>-67</v>
      </c>
      <c r="K20">
        <v>10</v>
      </c>
      <c r="L20">
        <v>1448.47</v>
      </c>
      <c r="M20">
        <v>174.13</v>
      </c>
      <c r="N20">
        <v>1.04</v>
      </c>
      <c r="O20">
        <v>89.01</v>
      </c>
      <c r="P20">
        <v>9120.8700000000008</v>
      </c>
      <c r="Q20">
        <v>1857.54</v>
      </c>
      <c r="R20">
        <v>18721.47</v>
      </c>
      <c r="S20">
        <v>19</v>
      </c>
      <c r="T20">
        <v>10</v>
      </c>
      <c r="U20" t="s">
        <v>28</v>
      </c>
      <c r="V20">
        <v>50</v>
      </c>
      <c r="W20" t="s">
        <v>28</v>
      </c>
    </row>
    <row r="21" spans="1:23">
      <c r="A21" t="s">
        <v>422</v>
      </c>
      <c r="B21" t="s">
        <v>47</v>
      </c>
      <c r="C21" t="s">
        <v>48</v>
      </c>
      <c r="D21" t="s">
        <v>49</v>
      </c>
      <c r="E21" t="s">
        <v>50</v>
      </c>
      <c r="F21">
        <v>6073.87</v>
      </c>
      <c r="G21">
        <v>-61</v>
      </c>
      <c r="H21">
        <v>-64.819999999999993</v>
      </c>
      <c r="I21">
        <v>-73</v>
      </c>
      <c r="J21">
        <v>-60</v>
      </c>
      <c r="K21">
        <v>11</v>
      </c>
      <c r="L21">
        <v>1648.69</v>
      </c>
      <c r="M21">
        <v>174.6</v>
      </c>
      <c r="N21">
        <v>2.14</v>
      </c>
      <c r="O21">
        <v>86.95</v>
      </c>
      <c r="P21">
        <v>9117.9500000000007</v>
      </c>
      <c r="Q21">
        <v>1859.28</v>
      </c>
      <c r="R21">
        <v>18879.099999999999</v>
      </c>
      <c r="S21">
        <v>19</v>
      </c>
      <c r="T21">
        <v>10</v>
      </c>
      <c r="U21" t="s">
        <v>28</v>
      </c>
      <c r="V21">
        <v>50</v>
      </c>
      <c r="W21" t="s">
        <v>28</v>
      </c>
    </row>
    <row r="22" spans="1:23">
      <c r="A22" t="s">
        <v>423</v>
      </c>
      <c r="B22" t="s">
        <v>47</v>
      </c>
      <c r="C22" t="s">
        <v>48</v>
      </c>
      <c r="D22" t="s">
        <v>49</v>
      </c>
      <c r="E22" t="s">
        <v>50</v>
      </c>
      <c r="F22">
        <v>6038.74</v>
      </c>
      <c r="G22">
        <v>-70</v>
      </c>
      <c r="H22">
        <v>-68.64</v>
      </c>
      <c r="I22">
        <v>-77</v>
      </c>
      <c r="J22">
        <v>-64</v>
      </c>
      <c r="K22">
        <v>11</v>
      </c>
      <c r="L22">
        <v>1411.95</v>
      </c>
      <c r="M22">
        <v>173.68</v>
      </c>
      <c r="N22">
        <v>0.99</v>
      </c>
      <c r="O22">
        <v>89.04</v>
      </c>
      <c r="P22">
        <v>9120.84</v>
      </c>
      <c r="Q22">
        <v>1813.58</v>
      </c>
      <c r="R22">
        <v>18562.5</v>
      </c>
      <c r="S22">
        <v>19</v>
      </c>
      <c r="T22">
        <v>10</v>
      </c>
      <c r="U22" t="s">
        <v>28</v>
      </c>
      <c r="V22">
        <v>50</v>
      </c>
      <c r="W22" t="s">
        <v>28</v>
      </c>
    </row>
    <row r="23" spans="1:23">
      <c r="A23" t="s">
        <v>424</v>
      </c>
      <c r="B23" t="s">
        <v>47</v>
      </c>
      <c r="C23" t="s">
        <v>48</v>
      </c>
      <c r="D23" t="s">
        <v>49</v>
      </c>
      <c r="E23" t="s">
        <v>50</v>
      </c>
      <c r="F23">
        <v>6064.65</v>
      </c>
      <c r="G23">
        <v>-70</v>
      </c>
      <c r="H23">
        <v>-66.45</v>
      </c>
      <c r="I23">
        <v>-76</v>
      </c>
      <c r="J23">
        <v>-60</v>
      </c>
      <c r="K23">
        <v>11</v>
      </c>
      <c r="L23">
        <v>1514.21</v>
      </c>
      <c r="M23">
        <v>173.87</v>
      </c>
      <c r="N23">
        <v>1.08</v>
      </c>
      <c r="O23">
        <v>88.73</v>
      </c>
      <c r="P23">
        <v>9119.84</v>
      </c>
      <c r="Q23">
        <v>2354.9</v>
      </c>
      <c r="R23">
        <v>19231.310000000001</v>
      </c>
      <c r="S23">
        <v>19</v>
      </c>
      <c r="T23">
        <v>10</v>
      </c>
      <c r="U23" t="s">
        <v>28</v>
      </c>
      <c r="V23">
        <v>50</v>
      </c>
      <c r="W23" t="s">
        <v>28</v>
      </c>
    </row>
    <row r="24" spans="1:23">
      <c r="A24" t="s">
        <v>425</v>
      </c>
      <c r="B24" t="s">
        <v>47</v>
      </c>
      <c r="C24" t="s">
        <v>48</v>
      </c>
      <c r="D24" t="s">
        <v>49</v>
      </c>
      <c r="E24" t="s">
        <v>50</v>
      </c>
      <c r="F24">
        <v>6124.21</v>
      </c>
      <c r="G24">
        <v>-76</v>
      </c>
      <c r="H24">
        <v>-67.73</v>
      </c>
      <c r="I24">
        <v>-76</v>
      </c>
      <c r="J24">
        <v>-63</v>
      </c>
      <c r="K24">
        <v>11</v>
      </c>
      <c r="L24">
        <v>1358.04</v>
      </c>
      <c r="M24">
        <v>172.66</v>
      </c>
      <c r="N24">
        <v>1.1499999999999999</v>
      </c>
      <c r="O24">
        <v>88.43</v>
      </c>
      <c r="P24">
        <v>9074.59</v>
      </c>
      <c r="Q24">
        <v>2443.77</v>
      </c>
      <c r="R24">
        <v>19177.04</v>
      </c>
      <c r="S24">
        <v>18</v>
      </c>
      <c r="T24">
        <v>9</v>
      </c>
      <c r="U24" t="s">
        <v>28</v>
      </c>
      <c r="V24">
        <v>50</v>
      </c>
      <c r="W24" t="s">
        <v>28</v>
      </c>
    </row>
    <row r="25" spans="1:23">
      <c r="A25" t="s">
        <v>426</v>
      </c>
      <c r="B25" t="s">
        <v>47</v>
      </c>
      <c r="C25" t="s">
        <v>48</v>
      </c>
      <c r="D25" t="s">
        <v>49</v>
      </c>
      <c r="E25" t="s">
        <v>50</v>
      </c>
      <c r="F25">
        <v>6027.79</v>
      </c>
      <c r="G25">
        <v>-66</v>
      </c>
      <c r="H25">
        <v>-67.5</v>
      </c>
      <c r="I25">
        <v>-76</v>
      </c>
      <c r="J25">
        <v>-62</v>
      </c>
      <c r="K25">
        <v>12</v>
      </c>
      <c r="L25">
        <v>1437.06</v>
      </c>
      <c r="M25">
        <v>172.81</v>
      </c>
      <c r="N25">
        <v>1.2</v>
      </c>
      <c r="O25">
        <v>88.73</v>
      </c>
      <c r="P25">
        <v>9120.57</v>
      </c>
      <c r="Q25">
        <v>1858.61</v>
      </c>
      <c r="R25">
        <v>18620.669999999998</v>
      </c>
      <c r="S25">
        <v>19</v>
      </c>
      <c r="T25">
        <v>10</v>
      </c>
      <c r="U25" t="s">
        <v>28</v>
      </c>
      <c r="V25">
        <v>50</v>
      </c>
      <c r="W25" t="s">
        <v>28</v>
      </c>
    </row>
    <row r="26" spans="1:23">
      <c r="A26" t="s">
        <v>427</v>
      </c>
      <c r="B26" t="s">
        <v>47</v>
      </c>
      <c r="C26" t="s">
        <v>48</v>
      </c>
      <c r="D26" t="s">
        <v>49</v>
      </c>
      <c r="E26" t="s">
        <v>50</v>
      </c>
      <c r="F26">
        <v>6090.18</v>
      </c>
      <c r="G26">
        <v>-63</v>
      </c>
      <c r="H26">
        <v>-65.900000000000006</v>
      </c>
      <c r="I26">
        <v>-70</v>
      </c>
      <c r="J26">
        <v>-63</v>
      </c>
      <c r="K26">
        <v>10</v>
      </c>
      <c r="L26">
        <v>1746.88</v>
      </c>
      <c r="M26">
        <v>173.99</v>
      </c>
      <c r="N26">
        <v>1.5</v>
      </c>
      <c r="O26">
        <v>88.27</v>
      </c>
      <c r="P26">
        <v>9119.5300000000007</v>
      </c>
      <c r="Q26">
        <v>2758.75</v>
      </c>
      <c r="R26">
        <v>19893.8</v>
      </c>
      <c r="S26">
        <v>19</v>
      </c>
      <c r="T26">
        <v>10</v>
      </c>
      <c r="U26" t="s">
        <v>28</v>
      </c>
      <c r="V26">
        <v>50</v>
      </c>
      <c r="W26" t="s">
        <v>28</v>
      </c>
    </row>
    <row r="27" spans="1:23">
      <c r="A27" t="s">
        <v>428</v>
      </c>
      <c r="B27" t="s">
        <v>47</v>
      </c>
      <c r="C27" t="s">
        <v>48</v>
      </c>
      <c r="D27" t="s">
        <v>49</v>
      </c>
      <c r="E27" t="s">
        <v>50</v>
      </c>
      <c r="F27">
        <v>6078.08</v>
      </c>
      <c r="G27">
        <v>-51</v>
      </c>
      <c r="H27">
        <v>-49.5</v>
      </c>
      <c r="I27">
        <v>-51</v>
      </c>
      <c r="J27">
        <v>-47</v>
      </c>
      <c r="K27">
        <v>6</v>
      </c>
      <c r="L27">
        <v>3115.13</v>
      </c>
      <c r="M27">
        <v>345.62</v>
      </c>
      <c r="N27">
        <v>1.1599999999999999</v>
      </c>
      <c r="O27">
        <v>133.94999999999999</v>
      </c>
      <c r="P27">
        <v>9029.35</v>
      </c>
      <c r="Q27">
        <v>2174.19</v>
      </c>
      <c r="R27">
        <v>20746.259999999998</v>
      </c>
      <c r="S27">
        <v>19</v>
      </c>
      <c r="T27">
        <v>10</v>
      </c>
      <c r="U27" t="s">
        <v>28</v>
      </c>
      <c r="V27">
        <v>50</v>
      </c>
      <c r="W27" t="s">
        <v>28</v>
      </c>
    </row>
    <row r="28" spans="1:23">
      <c r="A28" t="s">
        <v>429</v>
      </c>
      <c r="B28" t="s">
        <v>47</v>
      </c>
      <c r="C28" t="s">
        <v>48</v>
      </c>
      <c r="D28" t="s">
        <v>49</v>
      </c>
      <c r="E28" t="s">
        <v>50</v>
      </c>
      <c r="F28">
        <v>6031.31</v>
      </c>
      <c r="G28">
        <v>-68</v>
      </c>
      <c r="H28">
        <v>-59.33</v>
      </c>
      <c r="I28">
        <v>-68</v>
      </c>
      <c r="J28">
        <v>-53</v>
      </c>
      <c r="K28">
        <v>12</v>
      </c>
      <c r="L28">
        <v>1659.35</v>
      </c>
      <c r="M28">
        <v>173.57</v>
      </c>
      <c r="N28">
        <v>1.21</v>
      </c>
      <c r="O28">
        <v>88.73</v>
      </c>
      <c r="P28">
        <v>8939.57</v>
      </c>
      <c r="Q28">
        <v>2038.46</v>
      </c>
      <c r="R28">
        <v>18846.650000000001</v>
      </c>
      <c r="S28">
        <v>19</v>
      </c>
      <c r="T28">
        <v>10</v>
      </c>
      <c r="U28" t="s">
        <v>28</v>
      </c>
      <c r="V28">
        <v>50</v>
      </c>
      <c r="W28" t="s">
        <v>28</v>
      </c>
    </row>
    <row r="29" spans="1:23">
      <c r="A29" t="s">
        <v>430</v>
      </c>
      <c r="B29" t="s">
        <v>47</v>
      </c>
      <c r="C29" t="s">
        <v>48</v>
      </c>
      <c r="D29" t="s">
        <v>49</v>
      </c>
      <c r="E29" t="s">
        <v>50</v>
      </c>
      <c r="F29">
        <v>6031.61</v>
      </c>
      <c r="G29">
        <v>-62</v>
      </c>
      <c r="H29">
        <v>-58.58</v>
      </c>
      <c r="I29">
        <v>-65</v>
      </c>
      <c r="J29">
        <v>-51</v>
      </c>
      <c r="K29">
        <v>12</v>
      </c>
      <c r="L29">
        <v>1547.36</v>
      </c>
      <c r="M29">
        <v>173.31</v>
      </c>
      <c r="N29">
        <v>1.1200000000000001</v>
      </c>
      <c r="O29">
        <v>88.83</v>
      </c>
      <c r="P29">
        <v>8984.9500000000007</v>
      </c>
      <c r="Q29">
        <v>2039.67</v>
      </c>
      <c r="R29">
        <v>18781.07</v>
      </c>
      <c r="S29">
        <v>19</v>
      </c>
      <c r="T29">
        <v>10</v>
      </c>
      <c r="U29" t="s">
        <v>28</v>
      </c>
      <c r="V29">
        <v>50</v>
      </c>
      <c r="W29" t="s">
        <v>28</v>
      </c>
    </row>
    <row r="30" spans="1:23">
      <c r="A30" t="s">
        <v>431</v>
      </c>
      <c r="B30" t="s">
        <v>47</v>
      </c>
      <c r="C30" t="s">
        <v>48</v>
      </c>
      <c r="D30" t="s">
        <v>49</v>
      </c>
      <c r="E30" t="s">
        <v>50</v>
      </c>
      <c r="F30">
        <v>6025.78</v>
      </c>
      <c r="G30">
        <v>-59</v>
      </c>
      <c r="H30">
        <v>-56.92</v>
      </c>
      <c r="I30">
        <v>-60</v>
      </c>
      <c r="J30">
        <v>-53</v>
      </c>
      <c r="K30">
        <v>12</v>
      </c>
      <c r="L30">
        <v>1368.8</v>
      </c>
      <c r="M30">
        <v>173.35</v>
      </c>
      <c r="N30">
        <v>1.36</v>
      </c>
      <c r="O30">
        <v>89</v>
      </c>
      <c r="P30">
        <v>8984.8700000000008</v>
      </c>
      <c r="Q30">
        <v>2443.56</v>
      </c>
      <c r="R30">
        <v>19000.900000000001</v>
      </c>
      <c r="S30">
        <v>19</v>
      </c>
      <c r="T30">
        <v>10</v>
      </c>
      <c r="U30" t="s">
        <v>28</v>
      </c>
      <c r="V30">
        <v>50</v>
      </c>
      <c r="W30" t="s">
        <v>28</v>
      </c>
    </row>
    <row r="31" spans="1:23">
      <c r="A31" t="s">
        <v>432</v>
      </c>
      <c r="B31" t="s">
        <v>47</v>
      </c>
      <c r="C31" t="s">
        <v>48</v>
      </c>
      <c r="D31" t="s">
        <v>49</v>
      </c>
      <c r="E31" t="s">
        <v>50</v>
      </c>
      <c r="F31">
        <v>6037.18</v>
      </c>
      <c r="G31">
        <v>-51</v>
      </c>
      <c r="H31">
        <v>-52.33</v>
      </c>
      <c r="I31">
        <v>-55</v>
      </c>
      <c r="J31">
        <v>-47</v>
      </c>
      <c r="K31">
        <v>12</v>
      </c>
      <c r="L31">
        <v>1711.56</v>
      </c>
      <c r="M31">
        <v>172.93</v>
      </c>
      <c r="N31">
        <v>1.05</v>
      </c>
      <c r="O31">
        <v>88.93</v>
      </c>
      <c r="P31">
        <v>8940.56</v>
      </c>
      <c r="Q31">
        <v>2082</v>
      </c>
      <c r="R31">
        <v>18948.52</v>
      </c>
      <c r="S31">
        <v>19</v>
      </c>
      <c r="T31">
        <v>10</v>
      </c>
      <c r="U31" t="s">
        <v>28</v>
      </c>
      <c r="V31">
        <v>50</v>
      </c>
      <c r="W31" t="s">
        <v>28</v>
      </c>
    </row>
    <row r="32" spans="1:23">
      <c r="A32" t="s">
        <v>433</v>
      </c>
      <c r="B32" t="s">
        <v>47</v>
      </c>
      <c r="C32" t="s">
        <v>48</v>
      </c>
      <c r="D32" t="s">
        <v>49</v>
      </c>
      <c r="E32" t="s">
        <v>51</v>
      </c>
      <c r="F32">
        <v>6050.38</v>
      </c>
      <c r="G32">
        <v>-53</v>
      </c>
      <c r="H32">
        <v>-56.73</v>
      </c>
      <c r="I32">
        <v>-63</v>
      </c>
      <c r="J32">
        <v>-53</v>
      </c>
      <c r="K32">
        <v>11</v>
      </c>
      <c r="L32">
        <v>1753.54</v>
      </c>
      <c r="M32">
        <v>174.57</v>
      </c>
      <c r="N32">
        <v>1.7</v>
      </c>
      <c r="O32">
        <v>133.43</v>
      </c>
      <c r="P32">
        <v>15307.38</v>
      </c>
      <c r="Q32">
        <v>2148.9899999999998</v>
      </c>
      <c r="R32">
        <v>25440.29</v>
      </c>
      <c r="S32">
        <v>23</v>
      </c>
      <c r="T32">
        <v>11</v>
      </c>
      <c r="U32" t="s">
        <v>29</v>
      </c>
      <c r="V32">
        <v>50</v>
      </c>
      <c r="W32" t="s">
        <v>28</v>
      </c>
    </row>
    <row r="33" spans="1:23">
      <c r="A33" t="s">
        <v>434</v>
      </c>
      <c r="B33" t="s">
        <v>47</v>
      </c>
      <c r="C33" t="s">
        <v>48</v>
      </c>
      <c r="D33" t="s">
        <v>49</v>
      </c>
      <c r="E33" t="s">
        <v>50</v>
      </c>
      <c r="F33">
        <v>6112.61</v>
      </c>
      <c r="G33">
        <v>-43</v>
      </c>
      <c r="H33">
        <v>-51.5</v>
      </c>
      <c r="I33">
        <v>-60</v>
      </c>
      <c r="J33">
        <v>-43</v>
      </c>
      <c r="K33">
        <v>12</v>
      </c>
      <c r="L33">
        <v>1388.74</v>
      </c>
      <c r="M33">
        <v>173.85</v>
      </c>
      <c r="N33">
        <v>1.33</v>
      </c>
      <c r="O33">
        <v>88.68</v>
      </c>
      <c r="P33">
        <v>8940.2199999999993</v>
      </c>
      <c r="Q33">
        <v>1993.75</v>
      </c>
      <c r="R33">
        <v>18613.14</v>
      </c>
      <c r="S33">
        <v>19</v>
      </c>
      <c r="T33">
        <v>10</v>
      </c>
      <c r="U33" t="s">
        <v>28</v>
      </c>
      <c r="V33">
        <v>50</v>
      </c>
      <c r="W33" t="s">
        <v>28</v>
      </c>
    </row>
    <row r="34" spans="1:23">
      <c r="A34" t="s">
        <v>435</v>
      </c>
      <c r="B34" t="s">
        <v>47</v>
      </c>
      <c r="C34" t="s">
        <v>48</v>
      </c>
      <c r="D34" t="s">
        <v>49</v>
      </c>
      <c r="E34" t="s">
        <v>50</v>
      </c>
      <c r="F34">
        <v>6092.3</v>
      </c>
      <c r="G34">
        <v>-51</v>
      </c>
      <c r="H34">
        <v>-55.17</v>
      </c>
      <c r="I34">
        <v>-60</v>
      </c>
      <c r="J34">
        <v>-51</v>
      </c>
      <c r="K34">
        <v>12</v>
      </c>
      <c r="L34">
        <v>1305.17</v>
      </c>
      <c r="M34">
        <v>174.78</v>
      </c>
      <c r="N34">
        <v>1.75</v>
      </c>
      <c r="O34">
        <v>88.32</v>
      </c>
      <c r="P34">
        <v>8939.34</v>
      </c>
      <c r="Q34">
        <v>1994.63</v>
      </c>
      <c r="R34">
        <v>18510.650000000001</v>
      </c>
      <c r="S34">
        <v>19</v>
      </c>
      <c r="T34">
        <v>10</v>
      </c>
      <c r="U34" t="s">
        <v>28</v>
      </c>
      <c r="V34">
        <v>50</v>
      </c>
      <c r="W34" t="s">
        <v>28</v>
      </c>
    </row>
    <row r="35" spans="1:23">
      <c r="A35" t="s">
        <v>436</v>
      </c>
      <c r="B35" t="s">
        <v>47</v>
      </c>
      <c r="C35" t="s">
        <v>48</v>
      </c>
      <c r="D35" t="s">
        <v>49</v>
      </c>
      <c r="E35" t="s">
        <v>50</v>
      </c>
      <c r="F35">
        <v>6045.87</v>
      </c>
      <c r="G35">
        <v>-51</v>
      </c>
      <c r="H35">
        <v>-58.17</v>
      </c>
      <c r="I35">
        <v>-67</v>
      </c>
      <c r="J35">
        <v>-50</v>
      </c>
      <c r="K35">
        <v>12</v>
      </c>
      <c r="L35">
        <v>1298.31</v>
      </c>
      <c r="M35">
        <v>174.35</v>
      </c>
      <c r="N35">
        <v>1.91</v>
      </c>
      <c r="O35">
        <v>87.94</v>
      </c>
      <c r="P35">
        <v>8938.48</v>
      </c>
      <c r="Q35">
        <v>2084.61</v>
      </c>
      <c r="R35">
        <v>18546.14</v>
      </c>
      <c r="S35">
        <v>19</v>
      </c>
      <c r="T35">
        <v>10</v>
      </c>
      <c r="U35" t="s">
        <v>28</v>
      </c>
      <c r="V35">
        <v>50</v>
      </c>
      <c r="W35" t="s">
        <v>28</v>
      </c>
    </row>
    <row r="36" spans="1:23">
      <c r="A36" t="s">
        <v>437</v>
      </c>
      <c r="B36" t="s">
        <v>47</v>
      </c>
      <c r="C36" t="s">
        <v>48</v>
      </c>
      <c r="D36" t="s">
        <v>49</v>
      </c>
      <c r="E36" t="s">
        <v>50</v>
      </c>
      <c r="F36">
        <v>6087.73</v>
      </c>
      <c r="G36">
        <v>-57</v>
      </c>
      <c r="H36">
        <v>-56.9</v>
      </c>
      <c r="I36">
        <v>-72</v>
      </c>
      <c r="J36">
        <v>-49</v>
      </c>
      <c r="K36">
        <v>10</v>
      </c>
      <c r="L36">
        <v>1599.29</v>
      </c>
      <c r="M36">
        <v>171.77</v>
      </c>
      <c r="N36">
        <v>1.39</v>
      </c>
      <c r="O36">
        <v>88.78</v>
      </c>
      <c r="P36">
        <v>8940.0400000000009</v>
      </c>
      <c r="Q36">
        <v>2038.89</v>
      </c>
      <c r="R36">
        <v>18842.23</v>
      </c>
      <c r="S36">
        <v>18</v>
      </c>
      <c r="T36">
        <v>9</v>
      </c>
      <c r="U36" t="s">
        <v>28</v>
      </c>
      <c r="V36">
        <v>50</v>
      </c>
      <c r="W36" t="s">
        <v>29</v>
      </c>
    </row>
    <row r="37" spans="1:23">
      <c r="A37" t="s">
        <v>438</v>
      </c>
      <c r="B37" t="s">
        <v>47</v>
      </c>
      <c r="C37" t="s">
        <v>48</v>
      </c>
      <c r="D37" t="s">
        <v>49</v>
      </c>
      <c r="E37" t="s">
        <v>50</v>
      </c>
      <c r="F37">
        <v>6063.1</v>
      </c>
      <c r="G37">
        <v>-52</v>
      </c>
      <c r="H37">
        <v>-54.42</v>
      </c>
      <c r="I37">
        <v>-59</v>
      </c>
      <c r="J37">
        <v>-46</v>
      </c>
      <c r="K37">
        <v>12</v>
      </c>
      <c r="L37">
        <v>1563.78</v>
      </c>
      <c r="M37">
        <v>173.91</v>
      </c>
      <c r="N37">
        <v>1.08</v>
      </c>
      <c r="O37">
        <v>88.46</v>
      </c>
      <c r="P37">
        <v>8939.42</v>
      </c>
      <c r="Q37">
        <v>2084.08</v>
      </c>
      <c r="R37">
        <v>18828.060000000001</v>
      </c>
      <c r="S37">
        <v>19</v>
      </c>
      <c r="T37">
        <v>10</v>
      </c>
      <c r="U37" t="s">
        <v>28</v>
      </c>
      <c r="V37">
        <v>50</v>
      </c>
      <c r="W37" t="s">
        <v>28</v>
      </c>
    </row>
    <row r="38" spans="1:23">
      <c r="A38" t="s">
        <v>439</v>
      </c>
      <c r="B38" t="s">
        <v>47</v>
      </c>
      <c r="C38" t="s">
        <v>48</v>
      </c>
      <c r="D38" t="s">
        <v>49</v>
      </c>
      <c r="E38" t="s">
        <v>50</v>
      </c>
      <c r="F38">
        <v>6025.74</v>
      </c>
      <c r="G38">
        <v>-51</v>
      </c>
      <c r="H38">
        <v>-54.18</v>
      </c>
      <c r="I38">
        <v>-61</v>
      </c>
      <c r="J38">
        <v>-46</v>
      </c>
      <c r="K38">
        <v>11</v>
      </c>
      <c r="L38">
        <v>1284.51</v>
      </c>
      <c r="M38">
        <v>173.75</v>
      </c>
      <c r="N38">
        <v>1.1399999999999999</v>
      </c>
      <c r="O38">
        <v>89.03</v>
      </c>
      <c r="P38">
        <v>8940.2900000000009</v>
      </c>
      <c r="Q38">
        <v>2038.4</v>
      </c>
      <c r="R38">
        <v>18466.96</v>
      </c>
      <c r="S38">
        <v>19</v>
      </c>
      <c r="T38">
        <v>10</v>
      </c>
      <c r="U38" t="s">
        <v>28</v>
      </c>
      <c r="V38">
        <v>50</v>
      </c>
      <c r="W38" t="s">
        <v>28</v>
      </c>
    </row>
    <row r="39" spans="1:23">
      <c r="A39" t="s">
        <v>440</v>
      </c>
      <c r="B39" t="s">
        <v>47</v>
      </c>
      <c r="C39" t="s">
        <v>48</v>
      </c>
      <c r="D39" t="s">
        <v>49</v>
      </c>
      <c r="E39" t="s">
        <v>50</v>
      </c>
      <c r="F39">
        <v>6088.41</v>
      </c>
      <c r="G39">
        <v>-56</v>
      </c>
      <c r="H39">
        <v>-56.25</v>
      </c>
      <c r="I39">
        <v>-71</v>
      </c>
      <c r="J39">
        <v>-50</v>
      </c>
      <c r="K39">
        <v>12</v>
      </c>
      <c r="L39">
        <v>1685.38</v>
      </c>
      <c r="M39">
        <v>174.72</v>
      </c>
      <c r="N39">
        <v>1.4</v>
      </c>
      <c r="O39">
        <v>88.19</v>
      </c>
      <c r="P39">
        <v>8939.0300000000007</v>
      </c>
      <c r="Q39">
        <v>1993.77</v>
      </c>
      <c r="R39">
        <v>18885.810000000001</v>
      </c>
      <c r="S39">
        <v>18</v>
      </c>
      <c r="T39">
        <v>9</v>
      </c>
      <c r="U39" t="s">
        <v>28</v>
      </c>
      <c r="V39">
        <v>50</v>
      </c>
      <c r="W39" t="s">
        <v>28</v>
      </c>
    </row>
    <row r="40" spans="1:23">
      <c r="A40" t="s">
        <v>441</v>
      </c>
      <c r="B40" t="s">
        <v>47</v>
      </c>
      <c r="C40" t="s">
        <v>48</v>
      </c>
      <c r="D40" t="s">
        <v>49</v>
      </c>
      <c r="E40" t="s">
        <v>50</v>
      </c>
      <c r="F40">
        <v>6033.05</v>
      </c>
      <c r="G40">
        <v>-52</v>
      </c>
      <c r="H40">
        <v>-55.18</v>
      </c>
      <c r="I40">
        <v>-75</v>
      </c>
      <c r="J40">
        <v>-46</v>
      </c>
      <c r="K40">
        <v>11</v>
      </c>
      <c r="L40">
        <v>1741.31</v>
      </c>
      <c r="M40">
        <v>174.29</v>
      </c>
      <c r="N40">
        <v>1.1299999999999999</v>
      </c>
      <c r="O40">
        <v>89.01</v>
      </c>
      <c r="P40">
        <v>8939.7900000000009</v>
      </c>
      <c r="Q40">
        <v>1995.09</v>
      </c>
      <c r="R40">
        <v>18887.88</v>
      </c>
      <c r="S40">
        <v>19</v>
      </c>
      <c r="T40">
        <v>10</v>
      </c>
      <c r="U40" t="s">
        <v>28</v>
      </c>
      <c r="V40">
        <v>50</v>
      </c>
      <c r="W40" t="s">
        <v>28</v>
      </c>
    </row>
    <row r="41" spans="1:23">
      <c r="A41" t="s">
        <v>442</v>
      </c>
      <c r="B41" t="s">
        <v>47</v>
      </c>
      <c r="C41" t="s">
        <v>48</v>
      </c>
      <c r="D41" t="s">
        <v>49</v>
      </c>
      <c r="E41" t="s">
        <v>50</v>
      </c>
      <c r="F41">
        <v>6030.35</v>
      </c>
      <c r="G41">
        <v>-56</v>
      </c>
      <c r="H41">
        <v>-53</v>
      </c>
      <c r="I41">
        <v>-56</v>
      </c>
      <c r="J41">
        <v>-50</v>
      </c>
      <c r="K41">
        <v>6</v>
      </c>
      <c r="L41">
        <v>2897.59</v>
      </c>
      <c r="M41">
        <v>390.54</v>
      </c>
      <c r="N41">
        <v>1.27</v>
      </c>
      <c r="O41">
        <v>88.79</v>
      </c>
      <c r="P41">
        <v>9119.5400000000009</v>
      </c>
      <c r="Q41">
        <v>2489.16</v>
      </c>
      <c r="R41">
        <v>20931.12</v>
      </c>
      <c r="S41">
        <v>19</v>
      </c>
      <c r="T41">
        <v>10</v>
      </c>
      <c r="U41" t="s">
        <v>28</v>
      </c>
      <c r="V41">
        <v>50</v>
      </c>
      <c r="W41" t="s">
        <v>28</v>
      </c>
    </row>
    <row r="42" spans="1:23">
      <c r="A42" t="s">
        <v>443</v>
      </c>
      <c r="B42" t="s">
        <v>47</v>
      </c>
      <c r="C42" t="s">
        <v>48</v>
      </c>
      <c r="D42" t="s">
        <v>49</v>
      </c>
      <c r="E42" t="s">
        <v>50</v>
      </c>
      <c r="F42">
        <v>6073.94</v>
      </c>
      <c r="G42">
        <v>-52</v>
      </c>
      <c r="H42">
        <v>-53.5</v>
      </c>
      <c r="I42">
        <v>-61</v>
      </c>
      <c r="J42">
        <v>-44</v>
      </c>
      <c r="K42">
        <v>12</v>
      </c>
      <c r="L42">
        <v>1351.76</v>
      </c>
      <c r="M42">
        <v>173.93</v>
      </c>
      <c r="N42">
        <v>1.38</v>
      </c>
      <c r="O42">
        <v>88.85</v>
      </c>
      <c r="P42">
        <v>9164.7900000000009</v>
      </c>
      <c r="Q42">
        <v>1813.46</v>
      </c>
      <c r="R42">
        <v>18582.7</v>
      </c>
      <c r="S42">
        <v>19</v>
      </c>
      <c r="T42">
        <v>10</v>
      </c>
      <c r="U42" t="s">
        <v>28</v>
      </c>
      <c r="V42">
        <v>50</v>
      </c>
      <c r="W42" t="s">
        <v>28</v>
      </c>
    </row>
    <row r="43" spans="1:23">
      <c r="A43" t="s">
        <v>444</v>
      </c>
      <c r="B43" t="s">
        <v>47</v>
      </c>
      <c r="C43" t="s">
        <v>48</v>
      </c>
      <c r="D43" t="s">
        <v>49</v>
      </c>
      <c r="E43" t="s">
        <v>50</v>
      </c>
      <c r="F43">
        <v>6068.8</v>
      </c>
      <c r="G43">
        <v>-50</v>
      </c>
      <c r="H43">
        <v>-53</v>
      </c>
      <c r="I43">
        <v>-57</v>
      </c>
      <c r="J43">
        <v>-50</v>
      </c>
      <c r="K43">
        <v>11</v>
      </c>
      <c r="L43">
        <v>1299.79</v>
      </c>
      <c r="M43">
        <v>173.11</v>
      </c>
      <c r="N43">
        <v>0.99</v>
      </c>
      <c r="O43">
        <v>89.26</v>
      </c>
      <c r="P43">
        <v>9119.75</v>
      </c>
      <c r="Q43">
        <v>2354.62</v>
      </c>
      <c r="R43">
        <v>19019.599999999999</v>
      </c>
      <c r="S43">
        <v>19</v>
      </c>
      <c r="T43">
        <v>10</v>
      </c>
      <c r="U43" t="s">
        <v>28</v>
      </c>
      <c r="V43">
        <v>50</v>
      </c>
      <c r="W43" t="s">
        <v>28</v>
      </c>
    </row>
    <row r="44" spans="1:23">
      <c r="A44" t="s">
        <v>445</v>
      </c>
      <c r="B44" t="s">
        <v>47</v>
      </c>
      <c r="C44" t="s">
        <v>48</v>
      </c>
      <c r="D44" t="s">
        <v>49</v>
      </c>
      <c r="E44" t="s">
        <v>50</v>
      </c>
      <c r="F44">
        <v>6023.17</v>
      </c>
      <c r="G44">
        <v>-55</v>
      </c>
      <c r="H44">
        <v>-58.17</v>
      </c>
      <c r="I44">
        <v>-69</v>
      </c>
      <c r="J44">
        <v>-53</v>
      </c>
      <c r="K44">
        <v>12</v>
      </c>
      <c r="L44">
        <v>1688.77</v>
      </c>
      <c r="M44">
        <v>173.71</v>
      </c>
      <c r="N44">
        <v>2.0499999999999998</v>
      </c>
      <c r="O44">
        <v>87.61</v>
      </c>
      <c r="P44">
        <v>9073.5400000000009</v>
      </c>
      <c r="Q44">
        <v>1949.39</v>
      </c>
      <c r="R44">
        <v>18913.259999999998</v>
      </c>
      <c r="S44">
        <v>19</v>
      </c>
      <c r="T44">
        <v>10</v>
      </c>
      <c r="U44" t="s">
        <v>28</v>
      </c>
      <c r="V44">
        <v>50</v>
      </c>
      <c r="W44" t="s">
        <v>28</v>
      </c>
    </row>
    <row r="45" spans="1:23">
      <c r="A45" t="s">
        <v>446</v>
      </c>
      <c r="B45" t="s">
        <v>47</v>
      </c>
      <c r="C45" t="s">
        <v>48</v>
      </c>
      <c r="D45" t="s">
        <v>49</v>
      </c>
      <c r="E45" t="s">
        <v>50</v>
      </c>
      <c r="F45">
        <v>6059.6</v>
      </c>
      <c r="G45">
        <v>-51</v>
      </c>
      <c r="H45">
        <v>-53.27</v>
      </c>
      <c r="I45">
        <v>-57</v>
      </c>
      <c r="J45">
        <v>-51</v>
      </c>
      <c r="K45">
        <v>11</v>
      </c>
      <c r="L45">
        <v>1652.71</v>
      </c>
      <c r="M45">
        <v>173.34</v>
      </c>
      <c r="N45">
        <v>1.24</v>
      </c>
      <c r="O45">
        <v>88.74</v>
      </c>
      <c r="P45">
        <v>9119.26</v>
      </c>
      <c r="Q45">
        <v>1814.56</v>
      </c>
      <c r="R45">
        <v>18823.52</v>
      </c>
      <c r="S45">
        <v>19</v>
      </c>
      <c r="T45">
        <v>10</v>
      </c>
      <c r="U45" t="s">
        <v>28</v>
      </c>
      <c r="V45">
        <v>50</v>
      </c>
      <c r="W45" t="s">
        <v>28</v>
      </c>
    </row>
    <row r="46" spans="1:23">
      <c r="A46" t="s">
        <v>447</v>
      </c>
      <c r="B46" t="s">
        <v>47</v>
      </c>
      <c r="C46" t="s">
        <v>48</v>
      </c>
      <c r="D46" t="s">
        <v>49</v>
      </c>
      <c r="E46" t="s">
        <v>50</v>
      </c>
      <c r="F46">
        <v>6049.66</v>
      </c>
      <c r="G46">
        <v>-64</v>
      </c>
      <c r="H46">
        <v>-55</v>
      </c>
      <c r="I46">
        <v>-64</v>
      </c>
      <c r="J46">
        <v>-51</v>
      </c>
      <c r="K46">
        <v>12</v>
      </c>
      <c r="L46">
        <v>1279.73</v>
      </c>
      <c r="M46">
        <v>173.28</v>
      </c>
      <c r="N46">
        <v>1.22</v>
      </c>
      <c r="O46">
        <v>87.98</v>
      </c>
      <c r="P46">
        <v>9119.58</v>
      </c>
      <c r="Q46">
        <v>2398.16</v>
      </c>
      <c r="R46">
        <v>19025.78</v>
      </c>
      <c r="S46">
        <v>19</v>
      </c>
      <c r="T46">
        <v>10</v>
      </c>
      <c r="U46" t="s">
        <v>28</v>
      </c>
      <c r="V46">
        <v>50</v>
      </c>
      <c r="W46" t="s">
        <v>28</v>
      </c>
    </row>
    <row r="47" spans="1:23">
      <c r="A47" t="s">
        <v>448</v>
      </c>
      <c r="B47" t="s">
        <v>47</v>
      </c>
      <c r="C47" t="s">
        <v>48</v>
      </c>
      <c r="D47" t="s">
        <v>49</v>
      </c>
      <c r="E47" t="s">
        <v>50</v>
      </c>
      <c r="F47">
        <v>6080.14</v>
      </c>
      <c r="G47">
        <v>-53</v>
      </c>
      <c r="H47">
        <v>-58.9</v>
      </c>
      <c r="I47">
        <v>-75</v>
      </c>
      <c r="J47">
        <v>-51</v>
      </c>
      <c r="K47">
        <v>10</v>
      </c>
      <c r="L47">
        <v>1342.08</v>
      </c>
      <c r="M47">
        <v>172.74</v>
      </c>
      <c r="N47">
        <v>1.3</v>
      </c>
      <c r="O47">
        <v>88.63</v>
      </c>
      <c r="P47">
        <v>9075.18</v>
      </c>
      <c r="Q47">
        <v>2398.7199999999998</v>
      </c>
      <c r="R47">
        <v>19073.12</v>
      </c>
      <c r="S47">
        <v>19</v>
      </c>
      <c r="T47">
        <v>10</v>
      </c>
      <c r="U47" t="s">
        <v>28</v>
      </c>
      <c r="V47">
        <v>50</v>
      </c>
      <c r="W47" t="s">
        <v>28</v>
      </c>
    </row>
    <row r="48" spans="1:23">
      <c r="A48" t="s">
        <v>449</v>
      </c>
      <c r="B48" t="s">
        <v>47</v>
      </c>
      <c r="C48" t="s">
        <v>48</v>
      </c>
      <c r="D48" t="s">
        <v>49</v>
      </c>
      <c r="E48" t="s">
        <v>50</v>
      </c>
      <c r="F48">
        <v>6097.86</v>
      </c>
      <c r="G48">
        <v>-51</v>
      </c>
      <c r="H48">
        <v>-53.91</v>
      </c>
      <c r="I48">
        <v>-56</v>
      </c>
      <c r="J48">
        <v>-51</v>
      </c>
      <c r="K48">
        <v>11</v>
      </c>
      <c r="L48">
        <v>1413.17</v>
      </c>
      <c r="M48">
        <v>173.3</v>
      </c>
      <c r="N48">
        <v>1.08</v>
      </c>
      <c r="O48">
        <v>89.41</v>
      </c>
      <c r="P48">
        <v>9120.1200000000008</v>
      </c>
      <c r="Q48">
        <v>1858.22</v>
      </c>
      <c r="R48">
        <v>18666.439999999999</v>
      </c>
      <c r="S48">
        <v>19</v>
      </c>
      <c r="T48">
        <v>10</v>
      </c>
      <c r="U48" t="s">
        <v>28</v>
      </c>
      <c r="V48">
        <v>50</v>
      </c>
      <c r="W48" t="s">
        <v>28</v>
      </c>
    </row>
    <row r="49" spans="1:23">
      <c r="A49" t="s">
        <v>450</v>
      </c>
      <c r="B49" t="s">
        <v>47</v>
      </c>
      <c r="C49" t="s">
        <v>48</v>
      </c>
      <c r="D49" t="s">
        <v>49</v>
      </c>
      <c r="E49" t="s">
        <v>50</v>
      </c>
      <c r="F49">
        <v>6061.19</v>
      </c>
      <c r="G49">
        <v>-43</v>
      </c>
      <c r="H49">
        <v>-54</v>
      </c>
      <c r="I49">
        <v>-61</v>
      </c>
      <c r="J49">
        <v>-43</v>
      </c>
      <c r="K49">
        <v>12</v>
      </c>
      <c r="L49">
        <v>1678.67</v>
      </c>
      <c r="M49">
        <v>173.55</v>
      </c>
      <c r="N49">
        <v>1.1100000000000001</v>
      </c>
      <c r="O49">
        <v>88.27</v>
      </c>
      <c r="P49">
        <v>9120.23</v>
      </c>
      <c r="Q49">
        <v>1858.15</v>
      </c>
      <c r="R49">
        <v>18895.41</v>
      </c>
      <c r="S49">
        <v>19</v>
      </c>
      <c r="T49">
        <v>10</v>
      </c>
      <c r="U49" t="s">
        <v>28</v>
      </c>
      <c r="V49">
        <v>50</v>
      </c>
      <c r="W49" t="s">
        <v>28</v>
      </c>
    </row>
    <row r="50" spans="1:23">
      <c r="A50" t="s">
        <v>451</v>
      </c>
      <c r="B50" t="s">
        <v>47</v>
      </c>
      <c r="C50" t="s">
        <v>48</v>
      </c>
      <c r="D50" t="s">
        <v>49</v>
      </c>
      <c r="E50" t="s">
        <v>50</v>
      </c>
      <c r="F50">
        <v>6067.5</v>
      </c>
      <c r="G50">
        <v>-51</v>
      </c>
      <c r="H50">
        <v>-56.92</v>
      </c>
      <c r="I50">
        <v>-63</v>
      </c>
      <c r="J50">
        <v>-51</v>
      </c>
      <c r="K50">
        <v>12</v>
      </c>
      <c r="L50">
        <v>2658.19</v>
      </c>
      <c r="M50">
        <v>172.85</v>
      </c>
      <c r="N50">
        <v>1.1599999999999999</v>
      </c>
      <c r="O50">
        <v>89.06</v>
      </c>
      <c r="P50">
        <v>9120.94</v>
      </c>
      <c r="Q50">
        <v>2308.94</v>
      </c>
      <c r="R50">
        <v>20331.919999999998</v>
      </c>
      <c r="S50">
        <v>19</v>
      </c>
      <c r="T50">
        <v>10</v>
      </c>
      <c r="U50" t="s">
        <v>28</v>
      </c>
      <c r="V50">
        <v>50</v>
      </c>
      <c r="W50" t="s">
        <v>28</v>
      </c>
    </row>
    <row r="51" spans="1:23">
      <c r="A51" t="s">
        <v>452</v>
      </c>
      <c r="B51" t="s">
        <v>47</v>
      </c>
      <c r="C51" t="s">
        <v>48</v>
      </c>
      <c r="D51" t="s">
        <v>49</v>
      </c>
      <c r="E51" t="s">
        <v>50</v>
      </c>
      <c r="F51">
        <v>6056.56</v>
      </c>
      <c r="G51">
        <v>-44</v>
      </c>
      <c r="H51">
        <v>-50.67</v>
      </c>
      <c r="I51">
        <v>-62</v>
      </c>
      <c r="J51">
        <v>-43</v>
      </c>
      <c r="K51">
        <v>12</v>
      </c>
      <c r="L51">
        <v>1587.77</v>
      </c>
      <c r="M51">
        <v>174.24</v>
      </c>
      <c r="N51">
        <v>1.1299999999999999</v>
      </c>
      <c r="O51">
        <v>88.38</v>
      </c>
      <c r="P51">
        <v>9119.6200000000008</v>
      </c>
      <c r="Q51">
        <v>1814.94</v>
      </c>
      <c r="R51">
        <v>18756.95</v>
      </c>
      <c r="S51">
        <v>19</v>
      </c>
      <c r="T51">
        <v>10</v>
      </c>
      <c r="U51" t="s">
        <v>28</v>
      </c>
      <c r="V51">
        <v>50</v>
      </c>
      <c r="W51" t="s">
        <v>28</v>
      </c>
    </row>
    <row r="52" spans="1:23">
      <c r="A52" t="s">
        <v>453</v>
      </c>
      <c r="B52" t="s">
        <v>47</v>
      </c>
      <c r="C52" t="s">
        <v>48</v>
      </c>
      <c r="D52" t="s">
        <v>49</v>
      </c>
      <c r="E52" t="s">
        <v>50</v>
      </c>
      <c r="F52">
        <v>6116.97</v>
      </c>
      <c r="G52">
        <v>-44</v>
      </c>
      <c r="H52">
        <v>-58.82</v>
      </c>
      <c r="I52">
        <v>-69</v>
      </c>
      <c r="J52">
        <v>-44</v>
      </c>
      <c r="K52">
        <v>11</v>
      </c>
      <c r="L52">
        <v>1339.62</v>
      </c>
      <c r="M52">
        <v>172.98</v>
      </c>
      <c r="N52">
        <v>1.1000000000000001</v>
      </c>
      <c r="O52">
        <v>89.39</v>
      </c>
      <c r="P52">
        <v>9074.8799999999992</v>
      </c>
      <c r="Q52">
        <v>2444.56</v>
      </c>
      <c r="R52">
        <v>19152.830000000002</v>
      </c>
      <c r="S52">
        <v>19</v>
      </c>
      <c r="T52">
        <v>10</v>
      </c>
      <c r="U52" t="s">
        <v>28</v>
      </c>
      <c r="V52">
        <v>50</v>
      </c>
      <c r="W52" t="s">
        <v>28</v>
      </c>
    </row>
    <row r="53" spans="1:23">
      <c r="A53" t="s">
        <v>454</v>
      </c>
      <c r="B53" t="s">
        <v>47</v>
      </c>
      <c r="C53" t="s">
        <v>48</v>
      </c>
      <c r="D53" t="s">
        <v>49</v>
      </c>
      <c r="E53" t="s">
        <v>50</v>
      </c>
      <c r="F53">
        <v>6042.18</v>
      </c>
      <c r="G53">
        <v>-46</v>
      </c>
      <c r="H53">
        <v>-57.42</v>
      </c>
      <c r="I53">
        <v>-71</v>
      </c>
      <c r="J53">
        <v>-45</v>
      </c>
      <c r="K53">
        <v>12</v>
      </c>
      <c r="L53">
        <v>1457.77</v>
      </c>
      <c r="M53">
        <v>172.66</v>
      </c>
      <c r="N53">
        <v>1.39</v>
      </c>
      <c r="O53">
        <v>88.12</v>
      </c>
      <c r="P53">
        <v>9119.36</v>
      </c>
      <c r="Q53">
        <v>2353.21</v>
      </c>
      <c r="R53">
        <v>19149.849999999999</v>
      </c>
      <c r="S53">
        <v>19</v>
      </c>
      <c r="T53">
        <v>10</v>
      </c>
      <c r="U53" t="s">
        <v>28</v>
      </c>
      <c r="V53">
        <v>50</v>
      </c>
      <c r="W53" t="s">
        <v>28</v>
      </c>
    </row>
    <row r="54" spans="1:23">
      <c r="A54" t="s">
        <v>455</v>
      </c>
      <c r="B54" t="s">
        <v>47</v>
      </c>
      <c r="C54" t="s">
        <v>48</v>
      </c>
      <c r="D54" t="s">
        <v>49</v>
      </c>
      <c r="E54" t="s">
        <v>50</v>
      </c>
      <c r="F54">
        <v>6080.67</v>
      </c>
      <c r="G54">
        <v>-53</v>
      </c>
      <c r="H54">
        <v>-58.92</v>
      </c>
      <c r="I54">
        <v>-79</v>
      </c>
      <c r="J54">
        <v>-43</v>
      </c>
      <c r="K54">
        <v>12</v>
      </c>
      <c r="L54">
        <v>1623.11</v>
      </c>
      <c r="M54">
        <v>173.76</v>
      </c>
      <c r="N54">
        <v>1.39</v>
      </c>
      <c r="O54">
        <v>88.32</v>
      </c>
      <c r="P54">
        <v>9119.5400000000009</v>
      </c>
      <c r="Q54">
        <v>2399.3000000000002</v>
      </c>
      <c r="R54">
        <v>19400.849999999999</v>
      </c>
      <c r="S54">
        <v>19</v>
      </c>
      <c r="T54">
        <v>10</v>
      </c>
      <c r="U54" t="s">
        <v>28</v>
      </c>
      <c r="V54">
        <v>50</v>
      </c>
      <c r="W54" t="s">
        <v>28</v>
      </c>
    </row>
    <row r="55" spans="1:23">
      <c r="A55" t="s">
        <v>456</v>
      </c>
      <c r="B55" t="s">
        <v>47</v>
      </c>
      <c r="C55" t="s">
        <v>48</v>
      </c>
      <c r="D55" t="s">
        <v>49</v>
      </c>
      <c r="E55" t="s">
        <v>50</v>
      </c>
      <c r="F55">
        <v>6087.82</v>
      </c>
      <c r="G55">
        <v>-50</v>
      </c>
      <c r="H55">
        <v>-50.82</v>
      </c>
      <c r="I55">
        <v>-56</v>
      </c>
      <c r="J55">
        <v>-43</v>
      </c>
      <c r="K55">
        <v>11</v>
      </c>
      <c r="L55">
        <v>1625.98</v>
      </c>
      <c r="M55">
        <v>173.59</v>
      </c>
      <c r="N55">
        <v>1.1299999999999999</v>
      </c>
      <c r="O55">
        <v>88.84</v>
      </c>
      <c r="P55">
        <v>9119.52</v>
      </c>
      <c r="Q55">
        <v>2399.69</v>
      </c>
      <c r="R55">
        <v>19410.22</v>
      </c>
      <c r="S55">
        <v>19</v>
      </c>
      <c r="T55">
        <v>10</v>
      </c>
      <c r="U55" t="s">
        <v>28</v>
      </c>
      <c r="V55">
        <v>50</v>
      </c>
      <c r="W55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36"/>
  <sheetViews>
    <sheetView topLeftCell="A13" workbookViewId="0">
      <selection activeCell="H1" sqref="H1"/>
    </sheetView>
  </sheetViews>
  <sheetFormatPr baseColWidth="10" defaultColWidth="9" defaultRowHeight="14.25"/>
  <sheetData>
    <row r="1" spans="1:31">
      <c r="A1" t="s">
        <v>52</v>
      </c>
      <c r="B1" t="s">
        <v>53</v>
      </c>
      <c r="C1" t="s">
        <v>0</v>
      </c>
      <c r="D1" t="s">
        <v>54</v>
      </c>
      <c r="E1" t="s">
        <v>55</v>
      </c>
      <c r="F1" t="s">
        <v>2</v>
      </c>
      <c r="G1" t="s">
        <v>3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  <c r="S1" t="s">
        <v>67</v>
      </c>
      <c r="T1" t="s">
        <v>68</v>
      </c>
      <c r="U1" t="s">
        <v>4</v>
      </c>
      <c r="V1" t="s">
        <v>6</v>
      </c>
      <c r="W1" t="s">
        <v>7</v>
      </c>
      <c r="X1" t="s">
        <v>9</v>
      </c>
      <c r="Y1" t="s">
        <v>10</v>
      </c>
      <c r="Z1" t="s">
        <v>11</v>
      </c>
      <c r="AA1" t="s">
        <v>12</v>
      </c>
      <c r="AB1" t="s">
        <v>13</v>
      </c>
      <c r="AC1" t="s">
        <v>69</v>
      </c>
      <c r="AD1" t="s">
        <v>70</v>
      </c>
      <c r="AE1" t="s">
        <v>71</v>
      </c>
    </row>
    <row r="2" spans="1:31">
      <c r="A2" t="s">
        <v>72</v>
      </c>
      <c r="B2">
        <v>1</v>
      </c>
      <c r="C2" t="s">
        <v>73</v>
      </c>
      <c r="D2">
        <v>1</v>
      </c>
      <c r="E2">
        <v>1</v>
      </c>
      <c r="F2" t="s">
        <v>27</v>
      </c>
      <c r="G2" s="1" t="b">
        <v>1</v>
      </c>
      <c r="H2" t="s">
        <v>74</v>
      </c>
      <c r="I2" t="s">
        <v>73</v>
      </c>
      <c r="J2">
        <v>8306.6200000000008</v>
      </c>
      <c r="K2" s="1" t="b">
        <v>1</v>
      </c>
      <c r="L2">
        <v>24.97</v>
      </c>
      <c r="N2" t="s">
        <v>75</v>
      </c>
      <c r="O2" t="s">
        <v>76</v>
      </c>
      <c r="P2" t="s">
        <v>77</v>
      </c>
      <c r="Q2">
        <v>8260.7199999999993</v>
      </c>
      <c r="R2">
        <v>2.15</v>
      </c>
      <c r="S2">
        <v>8262.9</v>
      </c>
      <c r="T2">
        <v>8288.0300000000007</v>
      </c>
      <c r="U2">
        <v>200</v>
      </c>
      <c r="V2">
        <v>144</v>
      </c>
      <c r="W2" t="s">
        <v>28</v>
      </c>
      <c r="X2">
        <v>100</v>
      </c>
      <c r="Y2" t="s">
        <v>29</v>
      </c>
      <c r="Z2">
        <v>0</v>
      </c>
      <c r="AA2">
        <v>0</v>
      </c>
      <c r="AB2">
        <v>0</v>
      </c>
      <c r="AC2">
        <v>-66</v>
      </c>
      <c r="AD2">
        <v>-68</v>
      </c>
      <c r="AE2">
        <v>-68</v>
      </c>
    </row>
    <row r="3" spans="1:31">
      <c r="A3" t="s">
        <v>72</v>
      </c>
      <c r="B3">
        <v>1</v>
      </c>
      <c r="C3" t="s">
        <v>78</v>
      </c>
      <c r="D3">
        <v>2</v>
      </c>
      <c r="E3">
        <v>1</v>
      </c>
      <c r="F3" t="s">
        <v>27</v>
      </c>
      <c r="G3" s="1" t="b">
        <v>1</v>
      </c>
      <c r="H3" t="s">
        <v>79</v>
      </c>
      <c r="I3" t="s">
        <v>78</v>
      </c>
      <c r="J3">
        <v>8343.5400000000009</v>
      </c>
      <c r="K3" s="1" t="b">
        <v>1</v>
      </c>
      <c r="L3">
        <v>51.23</v>
      </c>
      <c r="N3" t="s">
        <v>80</v>
      </c>
      <c r="O3" t="s">
        <v>81</v>
      </c>
      <c r="P3" t="s">
        <v>82</v>
      </c>
      <c r="Q3">
        <v>8274.69</v>
      </c>
      <c r="R3">
        <v>0.34</v>
      </c>
      <c r="S3">
        <v>8275.0499999999993</v>
      </c>
      <c r="T3">
        <v>8326.48</v>
      </c>
      <c r="U3">
        <v>200</v>
      </c>
      <c r="V3">
        <v>144</v>
      </c>
      <c r="W3" t="s">
        <v>28</v>
      </c>
      <c r="X3">
        <v>100</v>
      </c>
      <c r="Y3" t="s">
        <v>29</v>
      </c>
      <c r="Z3">
        <v>0</v>
      </c>
      <c r="AA3">
        <v>0</v>
      </c>
      <c r="AB3">
        <v>0</v>
      </c>
      <c r="AC3">
        <v>-71</v>
      </c>
      <c r="AD3">
        <v>-68</v>
      </c>
      <c r="AE3">
        <v>-68</v>
      </c>
    </row>
    <row r="4" spans="1:31">
      <c r="A4" t="s">
        <v>72</v>
      </c>
      <c r="B4">
        <v>1</v>
      </c>
      <c r="C4" t="s">
        <v>83</v>
      </c>
      <c r="D4">
        <v>3</v>
      </c>
      <c r="E4">
        <v>1</v>
      </c>
      <c r="F4" t="s">
        <v>27</v>
      </c>
      <c r="G4" s="1" t="b">
        <v>1</v>
      </c>
      <c r="H4" t="s">
        <v>84</v>
      </c>
      <c r="I4" t="s">
        <v>83</v>
      </c>
      <c r="J4">
        <v>8737.6</v>
      </c>
      <c r="K4" s="1" t="b">
        <v>1</v>
      </c>
      <c r="L4">
        <v>271.67</v>
      </c>
      <c r="N4" t="s">
        <v>85</v>
      </c>
      <c r="O4" t="s">
        <v>86</v>
      </c>
      <c r="P4" t="s">
        <v>87</v>
      </c>
      <c r="Q4">
        <v>8411.59</v>
      </c>
      <c r="R4">
        <v>38.65</v>
      </c>
      <c r="S4">
        <v>8450.2900000000009</v>
      </c>
      <c r="T4">
        <v>8722.16</v>
      </c>
      <c r="U4">
        <v>200</v>
      </c>
      <c r="V4">
        <v>144</v>
      </c>
      <c r="W4" t="s">
        <v>28</v>
      </c>
      <c r="X4">
        <v>100</v>
      </c>
      <c r="Y4" t="s">
        <v>29</v>
      </c>
      <c r="Z4">
        <v>0</v>
      </c>
      <c r="AA4">
        <v>1</v>
      </c>
      <c r="AB4">
        <v>8.0000000000000004E-4</v>
      </c>
      <c r="AC4">
        <v>-73</v>
      </c>
      <c r="AD4">
        <v>-67</v>
      </c>
      <c r="AE4">
        <v>-68</v>
      </c>
    </row>
    <row r="5" spans="1:31">
      <c r="A5" t="s">
        <v>72</v>
      </c>
      <c r="B5">
        <v>1</v>
      </c>
      <c r="C5" t="s">
        <v>88</v>
      </c>
      <c r="D5">
        <v>4</v>
      </c>
      <c r="E5">
        <v>1</v>
      </c>
      <c r="F5" t="s">
        <v>27</v>
      </c>
      <c r="G5" s="1" t="b">
        <v>1</v>
      </c>
      <c r="H5" t="s">
        <v>89</v>
      </c>
      <c r="I5" t="s">
        <v>88</v>
      </c>
      <c r="J5">
        <v>8549.6</v>
      </c>
      <c r="K5" s="1" t="b">
        <v>1</v>
      </c>
      <c r="L5">
        <v>98.15</v>
      </c>
      <c r="N5" t="s">
        <v>90</v>
      </c>
      <c r="O5" t="s">
        <v>91</v>
      </c>
      <c r="P5" t="s">
        <v>92</v>
      </c>
      <c r="Q5">
        <v>8406.93</v>
      </c>
      <c r="R5">
        <v>29.19</v>
      </c>
      <c r="S5">
        <v>8436.17</v>
      </c>
      <c r="T5">
        <v>8534.52</v>
      </c>
      <c r="U5">
        <v>200</v>
      </c>
      <c r="V5">
        <v>144</v>
      </c>
      <c r="W5" t="s">
        <v>28</v>
      </c>
      <c r="X5">
        <v>100</v>
      </c>
      <c r="Y5" t="s">
        <v>29</v>
      </c>
      <c r="Z5">
        <v>0</v>
      </c>
      <c r="AA5">
        <v>0</v>
      </c>
      <c r="AB5">
        <v>0</v>
      </c>
      <c r="AC5">
        <v>-76</v>
      </c>
      <c r="AD5">
        <v>-68</v>
      </c>
      <c r="AE5">
        <v>-68</v>
      </c>
    </row>
    <row r="6" spans="1:31">
      <c r="A6" t="s">
        <v>72</v>
      </c>
      <c r="B6">
        <v>1</v>
      </c>
      <c r="C6" t="s">
        <v>93</v>
      </c>
      <c r="D6">
        <v>5</v>
      </c>
      <c r="E6">
        <v>1</v>
      </c>
      <c r="F6" t="s">
        <v>27</v>
      </c>
      <c r="G6" s="1" t="b">
        <v>1</v>
      </c>
      <c r="H6" t="s">
        <v>94</v>
      </c>
      <c r="I6" t="s">
        <v>93</v>
      </c>
      <c r="J6">
        <v>8495.85</v>
      </c>
      <c r="K6" s="1" t="b">
        <v>1</v>
      </c>
      <c r="L6">
        <v>197.11</v>
      </c>
      <c r="N6" t="s">
        <v>95</v>
      </c>
      <c r="O6" t="s">
        <v>96</v>
      </c>
      <c r="P6" t="s">
        <v>97</v>
      </c>
      <c r="Q6">
        <v>8270.7000000000007</v>
      </c>
      <c r="R6">
        <v>12.21</v>
      </c>
      <c r="S6">
        <v>8282.94</v>
      </c>
      <c r="T6">
        <v>8480.26</v>
      </c>
      <c r="U6">
        <v>200</v>
      </c>
      <c r="V6">
        <v>144</v>
      </c>
      <c r="W6" t="s">
        <v>28</v>
      </c>
      <c r="X6">
        <v>100</v>
      </c>
      <c r="Y6" t="s">
        <v>29</v>
      </c>
      <c r="Z6">
        <v>0</v>
      </c>
      <c r="AA6">
        <v>0</v>
      </c>
      <c r="AB6">
        <v>0</v>
      </c>
      <c r="AC6">
        <v>-71</v>
      </c>
      <c r="AD6">
        <v>-68</v>
      </c>
      <c r="AE6">
        <v>-68</v>
      </c>
    </row>
    <row r="7" spans="1:31">
      <c r="A7" t="s">
        <v>72</v>
      </c>
      <c r="B7">
        <v>1</v>
      </c>
      <c r="C7" t="s">
        <v>98</v>
      </c>
      <c r="D7">
        <v>6</v>
      </c>
      <c r="E7">
        <v>1</v>
      </c>
      <c r="F7" t="s">
        <v>27</v>
      </c>
      <c r="G7" s="1" t="b">
        <v>1</v>
      </c>
      <c r="H7" t="s">
        <v>99</v>
      </c>
      <c r="I7" t="s">
        <v>98</v>
      </c>
      <c r="J7">
        <v>8349.89</v>
      </c>
      <c r="K7" s="1" t="b">
        <v>1</v>
      </c>
      <c r="L7">
        <v>54.73</v>
      </c>
      <c r="N7" t="s">
        <v>100</v>
      </c>
      <c r="O7" t="s">
        <v>101</v>
      </c>
      <c r="P7" t="s">
        <v>101</v>
      </c>
      <c r="Q7">
        <v>8278.92</v>
      </c>
      <c r="R7">
        <v>0.62</v>
      </c>
      <c r="S7">
        <v>8279.58</v>
      </c>
      <c r="T7">
        <v>8334.51</v>
      </c>
      <c r="U7">
        <v>200</v>
      </c>
      <c r="V7">
        <v>144</v>
      </c>
      <c r="W7" t="s">
        <v>28</v>
      </c>
      <c r="X7">
        <v>100</v>
      </c>
      <c r="Y7" t="s">
        <v>29</v>
      </c>
      <c r="Z7">
        <v>0</v>
      </c>
      <c r="AA7">
        <v>0</v>
      </c>
      <c r="AB7">
        <v>0</v>
      </c>
      <c r="AC7">
        <v>-73</v>
      </c>
      <c r="AD7">
        <v>-68</v>
      </c>
      <c r="AE7">
        <v>-68</v>
      </c>
    </row>
    <row r="8" spans="1:31">
      <c r="A8" t="s">
        <v>72</v>
      </c>
      <c r="B8">
        <v>1</v>
      </c>
      <c r="C8" t="s">
        <v>102</v>
      </c>
      <c r="D8">
        <v>7</v>
      </c>
      <c r="E8">
        <v>1</v>
      </c>
      <c r="F8" t="s">
        <v>27</v>
      </c>
      <c r="G8" s="1" t="b">
        <v>1</v>
      </c>
      <c r="H8" t="s">
        <v>103</v>
      </c>
      <c r="I8" t="s">
        <v>102</v>
      </c>
      <c r="J8">
        <v>8591.0400000000009</v>
      </c>
      <c r="K8" s="1" t="b">
        <v>1</v>
      </c>
      <c r="L8">
        <v>102.22</v>
      </c>
      <c r="N8" t="s">
        <v>104</v>
      </c>
      <c r="O8" t="s">
        <v>105</v>
      </c>
      <c r="P8" t="s">
        <v>106</v>
      </c>
      <c r="Q8">
        <v>8426.57</v>
      </c>
      <c r="R8">
        <v>44.68</v>
      </c>
      <c r="S8">
        <v>8471.2900000000009</v>
      </c>
      <c r="T8">
        <v>8573.68</v>
      </c>
      <c r="U8">
        <v>200</v>
      </c>
      <c r="V8">
        <v>144</v>
      </c>
      <c r="W8" t="s">
        <v>28</v>
      </c>
      <c r="X8">
        <v>100</v>
      </c>
      <c r="Y8" t="s">
        <v>29</v>
      </c>
      <c r="Z8">
        <v>0</v>
      </c>
      <c r="AA8">
        <v>0</v>
      </c>
      <c r="AB8">
        <v>0</v>
      </c>
      <c r="AC8">
        <v>-78</v>
      </c>
      <c r="AD8">
        <v>-68</v>
      </c>
      <c r="AE8">
        <v>-68</v>
      </c>
    </row>
    <row r="9" spans="1:31">
      <c r="A9" t="s">
        <v>72</v>
      </c>
      <c r="B9">
        <v>1</v>
      </c>
      <c r="C9" t="s">
        <v>107</v>
      </c>
      <c r="D9">
        <v>8</v>
      </c>
      <c r="E9">
        <v>1</v>
      </c>
      <c r="F9" t="s">
        <v>27</v>
      </c>
      <c r="G9" s="1" t="b">
        <v>1</v>
      </c>
      <c r="H9" t="s">
        <v>108</v>
      </c>
      <c r="I9" t="s">
        <v>107</v>
      </c>
      <c r="J9">
        <v>8622.69</v>
      </c>
      <c r="K9" s="1" t="b">
        <v>1</v>
      </c>
      <c r="L9">
        <v>109.21</v>
      </c>
      <c r="N9" t="s">
        <v>109</v>
      </c>
      <c r="O9" t="s">
        <v>110</v>
      </c>
      <c r="P9" t="s">
        <v>111</v>
      </c>
      <c r="Q9">
        <v>8447.94</v>
      </c>
      <c r="R9">
        <v>47.5</v>
      </c>
      <c r="S9">
        <v>8495.48</v>
      </c>
      <c r="T9">
        <v>8604.8700000000008</v>
      </c>
      <c r="U9">
        <v>200</v>
      </c>
      <c r="V9">
        <v>144</v>
      </c>
      <c r="W9" t="s">
        <v>28</v>
      </c>
      <c r="X9">
        <v>100</v>
      </c>
      <c r="Y9" t="s">
        <v>29</v>
      </c>
      <c r="Z9">
        <v>0</v>
      </c>
      <c r="AA9">
        <v>0</v>
      </c>
      <c r="AB9">
        <v>0</v>
      </c>
      <c r="AC9">
        <v>-76</v>
      </c>
      <c r="AD9">
        <v>-68</v>
      </c>
      <c r="AE9">
        <v>-68</v>
      </c>
    </row>
    <row r="10" spans="1:31">
      <c r="A10" t="s">
        <v>72</v>
      </c>
      <c r="B10">
        <v>1</v>
      </c>
      <c r="C10" t="s">
        <v>112</v>
      </c>
      <c r="D10">
        <v>9</v>
      </c>
      <c r="E10">
        <v>1</v>
      </c>
      <c r="F10" t="s">
        <v>27</v>
      </c>
      <c r="G10" s="1" t="b">
        <v>0</v>
      </c>
      <c r="H10" t="s">
        <v>113</v>
      </c>
      <c r="I10" t="s">
        <v>112</v>
      </c>
      <c r="J10">
        <v>15303.89</v>
      </c>
      <c r="K10" s="1" t="b">
        <v>1</v>
      </c>
      <c r="L10">
        <v>140.1</v>
      </c>
      <c r="N10" t="s">
        <v>114</v>
      </c>
      <c r="P10" t="s">
        <v>115</v>
      </c>
      <c r="S10">
        <v>15146.3</v>
      </c>
      <c r="T10">
        <v>15286.62</v>
      </c>
      <c r="W10" t="s">
        <v>29</v>
      </c>
      <c r="AD10">
        <v>-68</v>
      </c>
      <c r="AE10">
        <v>-68</v>
      </c>
    </row>
    <row r="11" spans="1:31">
      <c r="A11" t="s">
        <v>72</v>
      </c>
      <c r="B11">
        <v>1</v>
      </c>
      <c r="C11" t="s">
        <v>116</v>
      </c>
      <c r="D11">
        <v>10</v>
      </c>
      <c r="E11">
        <v>1</v>
      </c>
      <c r="F11" t="s">
        <v>27</v>
      </c>
      <c r="G11" s="1" t="b">
        <v>0</v>
      </c>
      <c r="H11" t="s">
        <v>117</v>
      </c>
      <c r="I11" t="s">
        <v>116</v>
      </c>
      <c r="J11">
        <v>7189.48</v>
      </c>
      <c r="K11" s="1" t="b">
        <v>0</v>
      </c>
      <c r="L11">
        <v>4100.2299999999996</v>
      </c>
      <c r="M11" t="s">
        <v>118</v>
      </c>
      <c r="N11" t="s">
        <v>119</v>
      </c>
      <c r="P11" t="s">
        <v>120</v>
      </c>
      <c r="S11">
        <v>3072.3</v>
      </c>
      <c r="T11">
        <v>7172.65</v>
      </c>
      <c r="W11" t="s">
        <v>29</v>
      </c>
      <c r="AD11">
        <v>-68</v>
      </c>
      <c r="AE11">
        <v>-68</v>
      </c>
    </row>
    <row r="12" spans="1:31">
      <c r="A12" t="s">
        <v>121</v>
      </c>
      <c r="B12">
        <v>2</v>
      </c>
      <c r="C12" t="s">
        <v>122</v>
      </c>
      <c r="D12">
        <v>1</v>
      </c>
      <c r="E12">
        <v>1</v>
      </c>
      <c r="F12" t="s">
        <v>27</v>
      </c>
      <c r="G12" s="1" t="b">
        <v>1</v>
      </c>
      <c r="H12" t="s">
        <v>123</v>
      </c>
      <c r="I12" t="s">
        <v>122</v>
      </c>
      <c r="J12">
        <v>8442.6299999999992</v>
      </c>
      <c r="K12" s="1" t="b">
        <v>1</v>
      </c>
      <c r="L12">
        <v>167.63</v>
      </c>
      <c r="N12" t="s">
        <v>124</v>
      </c>
      <c r="O12" t="s">
        <v>125</v>
      </c>
      <c r="P12" t="s">
        <v>125</v>
      </c>
      <c r="Q12">
        <v>8258.0400000000009</v>
      </c>
      <c r="R12">
        <v>0.33</v>
      </c>
      <c r="S12">
        <v>8258.39</v>
      </c>
      <c r="T12">
        <v>8426.2000000000007</v>
      </c>
      <c r="U12">
        <v>200</v>
      </c>
      <c r="V12">
        <v>144</v>
      </c>
      <c r="W12" t="s">
        <v>28</v>
      </c>
      <c r="X12">
        <v>100</v>
      </c>
      <c r="Y12" t="s">
        <v>29</v>
      </c>
      <c r="Z12">
        <v>0</v>
      </c>
      <c r="AA12">
        <v>0</v>
      </c>
      <c r="AB12">
        <v>0</v>
      </c>
      <c r="AC12">
        <v>-69</v>
      </c>
      <c r="AD12">
        <v>-68</v>
      </c>
      <c r="AE12">
        <v>-68</v>
      </c>
    </row>
    <row r="13" spans="1:31">
      <c r="A13" t="s">
        <v>121</v>
      </c>
      <c r="B13">
        <v>2</v>
      </c>
      <c r="C13" t="s">
        <v>126</v>
      </c>
      <c r="D13">
        <v>2</v>
      </c>
      <c r="E13">
        <v>1</v>
      </c>
      <c r="F13" t="s">
        <v>27</v>
      </c>
      <c r="G13" s="1" t="b">
        <v>1</v>
      </c>
      <c r="H13" t="s">
        <v>127</v>
      </c>
      <c r="I13" t="s">
        <v>126</v>
      </c>
      <c r="J13">
        <v>8315.2800000000007</v>
      </c>
      <c r="K13" s="1" t="b">
        <v>1</v>
      </c>
      <c r="L13">
        <v>39.39</v>
      </c>
      <c r="N13" t="s">
        <v>128</v>
      </c>
      <c r="O13" t="s">
        <v>129</v>
      </c>
      <c r="P13" t="s">
        <v>129</v>
      </c>
      <c r="Q13">
        <v>8257.64</v>
      </c>
      <c r="R13">
        <v>0.28000000000000003</v>
      </c>
      <c r="S13">
        <v>8257.94</v>
      </c>
      <c r="T13">
        <v>8297.5</v>
      </c>
      <c r="U13">
        <v>200</v>
      </c>
      <c r="V13">
        <v>144</v>
      </c>
      <c r="W13" t="s">
        <v>28</v>
      </c>
      <c r="X13">
        <v>100</v>
      </c>
      <c r="Y13" t="s">
        <v>29</v>
      </c>
      <c r="Z13">
        <v>0</v>
      </c>
      <c r="AA13">
        <v>0</v>
      </c>
      <c r="AB13">
        <v>0</v>
      </c>
      <c r="AC13">
        <v>-71</v>
      </c>
      <c r="AD13">
        <v>-68</v>
      </c>
      <c r="AE13">
        <v>-68</v>
      </c>
    </row>
    <row r="14" spans="1:31">
      <c r="A14" t="s">
        <v>121</v>
      </c>
      <c r="B14">
        <v>2</v>
      </c>
      <c r="C14" t="s">
        <v>130</v>
      </c>
      <c r="D14">
        <v>3</v>
      </c>
      <c r="E14">
        <v>1</v>
      </c>
      <c r="F14" t="s">
        <v>27</v>
      </c>
      <c r="G14" s="1" t="b">
        <v>0</v>
      </c>
      <c r="H14" t="s">
        <v>131</v>
      </c>
      <c r="I14" t="s">
        <v>130</v>
      </c>
      <c r="J14">
        <v>30040.37</v>
      </c>
      <c r="K14" s="1" t="b">
        <v>0</v>
      </c>
      <c r="L14">
        <v>15007.15</v>
      </c>
      <c r="M14" t="s">
        <v>132</v>
      </c>
      <c r="N14" t="s">
        <v>133</v>
      </c>
      <c r="P14" t="s">
        <v>134</v>
      </c>
      <c r="S14">
        <v>15016.58</v>
      </c>
      <c r="T14">
        <v>30023.85</v>
      </c>
      <c r="W14" t="s">
        <v>29</v>
      </c>
      <c r="AD14">
        <v>-68</v>
      </c>
      <c r="AE14">
        <v>-68</v>
      </c>
    </row>
    <row r="15" spans="1:31">
      <c r="A15" t="s">
        <v>135</v>
      </c>
      <c r="B15">
        <v>3</v>
      </c>
      <c r="C15" t="s">
        <v>136</v>
      </c>
      <c r="D15">
        <v>1</v>
      </c>
      <c r="E15">
        <v>1</v>
      </c>
      <c r="F15" t="s">
        <v>27</v>
      </c>
      <c r="G15" s="1" t="b">
        <v>1</v>
      </c>
      <c r="H15" t="s">
        <v>137</v>
      </c>
      <c r="I15" t="s">
        <v>136</v>
      </c>
      <c r="J15">
        <v>8594.6</v>
      </c>
      <c r="K15" s="1" t="b">
        <v>1</v>
      </c>
      <c r="L15">
        <v>234.97</v>
      </c>
      <c r="N15" t="s">
        <v>138</v>
      </c>
      <c r="O15" t="s">
        <v>139</v>
      </c>
      <c r="P15" t="s">
        <v>139</v>
      </c>
      <c r="Q15">
        <v>8341.7900000000009</v>
      </c>
      <c r="R15">
        <v>0.28999999999999998</v>
      </c>
      <c r="S15">
        <v>8342.1</v>
      </c>
      <c r="T15">
        <v>8577.26</v>
      </c>
      <c r="U15">
        <v>200</v>
      </c>
      <c r="V15">
        <v>144</v>
      </c>
      <c r="W15" t="s">
        <v>28</v>
      </c>
      <c r="X15">
        <v>100</v>
      </c>
      <c r="Y15" t="s">
        <v>29</v>
      </c>
      <c r="Z15">
        <v>0</v>
      </c>
      <c r="AA15">
        <v>0</v>
      </c>
      <c r="AB15">
        <v>0</v>
      </c>
      <c r="AC15">
        <v>-69</v>
      </c>
      <c r="AD15">
        <v>-68</v>
      </c>
      <c r="AE15">
        <v>-68</v>
      </c>
    </row>
    <row r="16" spans="1:31">
      <c r="A16" t="s">
        <v>135</v>
      </c>
      <c r="B16">
        <v>3</v>
      </c>
      <c r="C16" t="s">
        <v>140</v>
      </c>
      <c r="D16">
        <v>2</v>
      </c>
      <c r="E16">
        <v>1</v>
      </c>
      <c r="F16" t="s">
        <v>27</v>
      </c>
      <c r="G16" s="1" t="b">
        <v>1</v>
      </c>
      <c r="H16" t="s">
        <v>141</v>
      </c>
      <c r="I16" t="s">
        <v>140</v>
      </c>
      <c r="J16">
        <v>8292.39</v>
      </c>
      <c r="K16" s="1" t="b">
        <v>1</v>
      </c>
      <c r="L16">
        <v>18.670000000000002</v>
      </c>
      <c r="N16" t="s">
        <v>142</v>
      </c>
      <c r="O16" t="s">
        <v>143</v>
      </c>
      <c r="P16" t="s">
        <v>143</v>
      </c>
      <c r="Q16">
        <v>8257.91</v>
      </c>
      <c r="R16">
        <v>0.28999999999999998</v>
      </c>
      <c r="S16">
        <v>8258.23</v>
      </c>
      <c r="T16">
        <v>8277.1200000000008</v>
      </c>
      <c r="U16">
        <v>200</v>
      </c>
      <c r="V16">
        <v>144</v>
      </c>
      <c r="W16" t="s">
        <v>28</v>
      </c>
      <c r="X16">
        <v>100</v>
      </c>
      <c r="Y16" t="s">
        <v>29</v>
      </c>
      <c r="Z16">
        <v>0</v>
      </c>
      <c r="AA16">
        <v>0</v>
      </c>
      <c r="AB16">
        <v>0</v>
      </c>
      <c r="AC16">
        <v>-70</v>
      </c>
      <c r="AD16">
        <v>-67</v>
      </c>
      <c r="AE16">
        <v>-68</v>
      </c>
    </row>
    <row r="17" spans="1:31">
      <c r="A17" t="s">
        <v>135</v>
      </c>
      <c r="B17">
        <v>3</v>
      </c>
      <c r="C17" t="s">
        <v>144</v>
      </c>
      <c r="D17">
        <v>3</v>
      </c>
      <c r="E17">
        <v>1</v>
      </c>
      <c r="F17" t="s">
        <v>27</v>
      </c>
      <c r="G17" s="1" t="b">
        <v>1</v>
      </c>
      <c r="H17" t="s">
        <v>145</v>
      </c>
      <c r="I17" t="s">
        <v>144</v>
      </c>
      <c r="J17">
        <v>8722.35</v>
      </c>
      <c r="K17" s="1" t="b">
        <v>1</v>
      </c>
      <c r="L17">
        <v>242.73</v>
      </c>
      <c r="N17" t="s">
        <v>146</v>
      </c>
      <c r="O17" t="s">
        <v>147</v>
      </c>
      <c r="P17" t="s">
        <v>148</v>
      </c>
      <c r="Q17">
        <v>8424.24</v>
      </c>
      <c r="R17">
        <v>38.340000000000003</v>
      </c>
      <c r="S17">
        <v>8462.6200000000008</v>
      </c>
      <c r="T17">
        <v>8705.56</v>
      </c>
      <c r="U17">
        <v>200</v>
      </c>
      <c r="V17">
        <v>144</v>
      </c>
      <c r="W17" t="s">
        <v>28</v>
      </c>
      <c r="X17">
        <v>100</v>
      </c>
      <c r="Y17" t="s">
        <v>29</v>
      </c>
      <c r="Z17">
        <v>0</v>
      </c>
      <c r="AA17">
        <v>0</v>
      </c>
      <c r="AB17">
        <v>0</v>
      </c>
      <c r="AC17">
        <v>-75</v>
      </c>
      <c r="AD17">
        <v>-68</v>
      </c>
      <c r="AE17">
        <v>-68</v>
      </c>
    </row>
    <row r="18" spans="1:31">
      <c r="A18" t="s">
        <v>135</v>
      </c>
      <c r="B18">
        <v>3</v>
      </c>
      <c r="C18" t="s">
        <v>149</v>
      </c>
      <c r="D18">
        <v>4</v>
      </c>
      <c r="E18">
        <v>1</v>
      </c>
      <c r="F18" t="s">
        <v>27</v>
      </c>
      <c r="G18" s="1" t="b">
        <v>1</v>
      </c>
      <c r="H18" t="s">
        <v>150</v>
      </c>
      <c r="I18" t="s">
        <v>149</v>
      </c>
      <c r="J18">
        <v>8550.91</v>
      </c>
      <c r="K18" s="1" t="b">
        <v>1</v>
      </c>
      <c r="L18">
        <v>99.17</v>
      </c>
      <c r="N18" t="s">
        <v>151</v>
      </c>
      <c r="O18" t="s">
        <v>152</v>
      </c>
      <c r="P18" t="s">
        <v>153</v>
      </c>
      <c r="Q18">
        <v>8389.4</v>
      </c>
      <c r="R18">
        <v>45.82</v>
      </c>
      <c r="S18">
        <v>8435.27</v>
      </c>
      <c r="T18">
        <v>8534.68</v>
      </c>
      <c r="U18">
        <v>200</v>
      </c>
      <c r="V18">
        <v>144</v>
      </c>
      <c r="W18" t="s">
        <v>28</v>
      </c>
      <c r="X18">
        <v>100</v>
      </c>
      <c r="Y18" t="s">
        <v>29</v>
      </c>
      <c r="Z18">
        <v>0</v>
      </c>
      <c r="AA18">
        <v>1</v>
      </c>
      <c r="AB18">
        <v>8.0000000000000004E-4</v>
      </c>
      <c r="AC18">
        <v>-73</v>
      </c>
      <c r="AD18">
        <v>-68</v>
      </c>
      <c r="AE18">
        <v>-68</v>
      </c>
    </row>
    <row r="19" spans="1:31">
      <c r="A19" t="s">
        <v>135</v>
      </c>
      <c r="B19">
        <v>3</v>
      </c>
      <c r="C19" t="s">
        <v>154</v>
      </c>
      <c r="D19">
        <v>5</v>
      </c>
      <c r="E19">
        <v>1</v>
      </c>
      <c r="F19" t="s">
        <v>27</v>
      </c>
      <c r="G19" s="1" t="b">
        <v>1</v>
      </c>
      <c r="H19" t="s">
        <v>155</v>
      </c>
      <c r="I19" t="s">
        <v>154</v>
      </c>
      <c r="J19">
        <v>8411.5</v>
      </c>
      <c r="K19" s="1" t="b">
        <v>1</v>
      </c>
      <c r="L19">
        <v>138.07</v>
      </c>
      <c r="N19" t="s">
        <v>156</v>
      </c>
      <c r="O19" t="s">
        <v>157</v>
      </c>
      <c r="P19" t="s">
        <v>158</v>
      </c>
      <c r="Q19">
        <v>8256.6200000000008</v>
      </c>
      <c r="R19">
        <v>0.46</v>
      </c>
      <c r="S19">
        <v>8257.1</v>
      </c>
      <c r="T19">
        <v>8395.32</v>
      </c>
      <c r="U19">
        <v>200</v>
      </c>
      <c r="V19">
        <v>144</v>
      </c>
      <c r="W19" t="s">
        <v>28</v>
      </c>
      <c r="X19">
        <v>100</v>
      </c>
      <c r="Y19" t="s">
        <v>29</v>
      </c>
      <c r="Z19">
        <v>0</v>
      </c>
      <c r="AA19">
        <v>0</v>
      </c>
      <c r="AB19">
        <v>0</v>
      </c>
      <c r="AC19">
        <v>-68</v>
      </c>
      <c r="AD19">
        <v>-67</v>
      </c>
      <c r="AE19">
        <v>-68</v>
      </c>
    </row>
    <row r="20" spans="1:31">
      <c r="A20" t="s">
        <v>135</v>
      </c>
      <c r="B20">
        <v>3</v>
      </c>
      <c r="C20" t="s">
        <v>159</v>
      </c>
      <c r="D20">
        <v>6</v>
      </c>
      <c r="E20">
        <v>1</v>
      </c>
      <c r="F20" t="s">
        <v>27</v>
      </c>
      <c r="G20" s="1" t="b">
        <v>0</v>
      </c>
      <c r="H20" t="s">
        <v>160</v>
      </c>
      <c r="I20" t="s">
        <v>159</v>
      </c>
      <c r="J20">
        <v>30045.97</v>
      </c>
      <c r="K20" s="1" t="b">
        <v>0</v>
      </c>
      <c r="L20">
        <v>15012.03</v>
      </c>
      <c r="M20" t="s">
        <v>132</v>
      </c>
      <c r="N20" t="s">
        <v>161</v>
      </c>
      <c r="P20" t="s">
        <v>162</v>
      </c>
      <c r="S20">
        <v>15016.54</v>
      </c>
      <c r="T20">
        <v>30028.68</v>
      </c>
      <c r="W20" t="s">
        <v>29</v>
      </c>
      <c r="AD20">
        <v>-68</v>
      </c>
      <c r="AE20">
        <v>-68</v>
      </c>
    </row>
    <row r="21" spans="1:31">
      <c r="A21" t="s">
        <v>163</v>
      </c>
      <c r="B21">
        <v>4</v>
      </c>
      <c r="C21" t="s">
        <v>164</v>
      </c>
      <c r="D21">
        <v>1</v>
      </c>
      <c r="E21">
        <v>1</v>
      </c>
      <c r="F21" t="s">
        <v>27</v>
      </c>
      <c r="G21" s="1" t="b">
        <v>1</v>
      </c>
      <c r="H21" t="s">
        <v>165</v>
      </c>
      <c r="I21" t="s">
        <v>166</v>
      </c>
      <c r="J21">
        <v>8557.57</v>
      </c>
      <c r="K21" s="1" t="b">
        <v>1</v>
      </c>
      <c r="L21">
        <v>203.64</v>
      </c>
      <c r="N21" t="s">
        <v>167</v>
      </c>
      <c r="O21" t="s">
        <v>168</v>
      </c>
      <c r="P21" t="s">
        <v>169</v>
      </c>
      <c r="Q21">
        <v>8337.56</v>
      </c>
      <c r="R21">
        <v>0.36</v>
      </c>
      <c r="S21">
        <v>8337.94</v>
      </c>
      <c r="T21">
        <v>8541.73</v>
      </c>
      <c r="U21">
        <v>200</v>
      </c>
      <c r="V21">
        <v>144</v>
      </c>
      <c r="W21" t="s">
        <v>28</v>
      </c>
      <c r="X21">
        <v>100</v>
      </c>
      <c r="Y21" t="s">
        <v>29</v>
      </c>
      <c r="Z21">
        <v>0</v>
      </c>
      <c r="AA21">
        <v>0</v>
      </c>
      <c r="AB21">
        <v>0</v>
      </c>
      <c r="AC21">
        <v>-68</v>
      </c>
      <c r="AD21">
        <v>-67</v>
      </c>
      <c r="AE21">
        <v>-68</v>
      </c>
    </row>
    <row r="22" spans="1:31">
      <c r="A22" t="s">
        <v>163</v>
      </c>
      <c r="B22">
        <v>4</v>
      </c>
      <c r="C22" t="s">
        <v>170</v>
      </c>
      <c r="D22">
        <v>2</v>
      </c>
      <c r="E22">
        <v>1</v>
      </c>
      <c r="F22" t="s">
        <v>27</v>
      </c>
      <c r="G22" s="1" t="b">
        <v>1</v>
      </c>
      <c r="H22" t="s">
        <v>171</v>
      </c>
      <c r="I22" t="s">
        <v>170</v>
      </c>
      <c r="J22">
        <v>8436.1200000000008</v>
      </c>
      <c r="K22" s="1" t="b">
        <v>1</v>
      </c>
      <c r="L22">
        <v>149.81</v>
      </c>
      <c r="N22" t="s">
        <v>172</v>
      </c>
      <c r="O22" t="s">
        <v>173</v>
      </c>
      <c r="P22" t="s">
        <v>174</v>
      </c>
      <c r="Q22">
        <v>8255.17</v>
      </c>
      <c r="R22">
        <v>14.94</v>
      </c>
      <c r="S22">
        <v>8270.16</v>
      </c>
      <c r="T22">
        <v>8420.1299999999992</v>
      </c>
      <c r="U22">
        <v>200</v>
      </c>
      <c r="V22">
        <v>144</v>
      </c>
      <c r="W22" t="s">
        <v>28</v>
      </c>
      <c r="X22">
        <v>100</v>
      </c>
      <c r="Y22" t="s">
        <v>29</v>
      </c>
      <c r="Z22">
        <v>0</v>
      </c>
      <c r="AA22">
        <v>1</v>
      </c>
      <c r="AB22">
        <v>8.0000000000000004E-4</v>
      </c>
      <c r="AC22">
        <v>-72</v>
      </c>
      <c r="AD22">
        <v>-68</v>
      </c>
      <c r="AE22">
        <v>-68</v>
      </c>
    </row>
    <row r="23" spans="1:31">
      <c r="A23" t="s">
        <v>163</v>
      </c>
      <c r="B23">
        <v>4</v>
      </c>
      <c r="C23" t="s">
        <v>175</v>
      </c>
      <c r="D23">
        <v>3</v>
      </c>
      <c r="E23">
        <v>1</v>
      </c>
      <c r="F23" t="s">
        <v>27</v>
      </c>
      <c r="G23" s="1" t="b">
        <v>1</v>
      </c>
      <c r="H23" t="s">
        <v>176</v>
      </c>
      <c r="I23" t="s">
        <v>175</v>
      </c>
      <c r="J23">
        <v>8517.8700000000008</v>
      </c>
      <c r="K23" s="1" t="b">
        <v>1</v>
      </c>
      <c r="L23">
        <v>159.53</v>
      </c>
      <c r="N23" t="s">
        <v>177</v>
      </c>
      <c r="O23" t="s">
        <v>178</v>
      </c>
      <c r="P23" t="s">
        <v>179</v>
      </c>
      <c r="Q23">
        <v>8340.9500000000007</v>
      </c>
      <c r="R23">
        <v>0.31</v>
      </c>
      <c r="S23">
        <v>8341.2800000000007</v>
      </c>
      <c r="T23">
        <v>8501.0400000000009</v>
      </c>
      <c r="U23">
        <v>200</v>
      </c>
      <c r="V23">
        <v>144</v>
      </c>
      <c r="W23" t="s">
        <v>28</v>
      </c>
      <c r="X23">
        <v>100</v>
      </c>
      <c r="Y23" t="s">
        <v>29</v>
      </c>
      <c r="Z23">
        <v>0</v>
      </c>
      <c r="AA23">
        <v>0</v>
      </c>
      <c r="AB23">
        <v>0</v>
      </c>
      <c r="AC23">
        <v>-75</v>
      </c>
      <c r="AD23">
        <v>-67</v>
      </c>
      <c r="AE23">
        <v>-68</v>
      </c>
    </row>
    <row r="24" spans="1:31">
      <c r="A24" t="s">
        <v>163</v>
      </c>
      <c r="B24">
        <v>4</v>
      </c>
      <c r="C24" t="s">
        <v>180</v>
      </c>
      <c r="D24">
        <v>4</v>
      </c>
      <c r="E24">
        <v>1</v>
      </c>
      <c r="F24" t="s">
        <v>27</v>
      </c>
      <c r="G24" s="1" t="b">
        <v>1</v>
      </c>
      <c r="H24" t="s">
        <v>181</v>
      </c>
      <c r="I24" t="s">
        <v>180</v>
      </c>
      <c r="J24">
        <v>8461.9</v>
      </c>
      <c r="K24" s="1" t="b">
        <v>1</v>
      </c>
      <c r="L24">
        <v>33.42</v>
      </c>
      <c r="N24" t="s">
        <v>182</v>
      </c>
      <c r="O24" t="s">
        <v>183</v>
      </c>
      <c r="P24" t="s">
        <v>184</v>
      </c>
      <c r="Q24">
        <v>8408.07</v>
      </c>
      <c r="R24">
        <v>3.08</v>
      </c>
      <c r="S24">
        <v>8411.17</v>
      </c>
      <c r="T24">
        <v>8444.7900000000009</v>
      </c>
      <c r="U24">
        <v>200</v>
      </c>
      <c r="V24">
        <v>144</v>
      </c>
      <c r="W24" t="s">
        <v>28</v>
      </c>
      <c r="X24">
        <v>100</v>
      </c>
      <c r="Y24" t="s">
        <v>29</v>
      </c>
      <c r="Z24">
        <v>0</v>
      </c>
      <c r="AA24">
        <v>0</v>
      </c>
      <c r="AB24">
        <v>0</v>
      </c>
      <c r="AC24">
        <v>-73</v>
      </c>
      <c r="AD24">
        <v>-68</v>
      </c>
      <c r="AE24">
        <v>-68</v>
      </c>
    </row>
    <row r="25" spans="1:31">
      <c r="A25" t="s">
        <v>163</v>
      </c>
      <c r="B25">
        <v>4</v>
      </c>
      <c r="C25" t="s">
        <v>185</v>
      </c>
      <c r="D25">
        <v>5</v>
      </c>
      <c r="E25">
        <v>1</v>
      </c>
      <c r="F25" t="s">
        <v>27</v>
      </c>
      <c r="G25" s="1" t="b">
        <v>1</v>
      </c>
      <c r="H25" t="s">
        <v>186</v>
      </c>
      <c r="I25" t="s">
        <v>185</v>
      </c>
      <c r="J25">
        <v>8505.02</v>
      </c>
      <c r="K25" s="1" t="b">
        <v>1</v>
      </c>
      <c r="L25">
        <v>205.25</v>
      </c>
      <c r="N25" t="s">
        <v>187</v>
      </c>
      <c r="O25" t="s">
        <v>188</v>
      </c>
      <c r="P25" t="s">
        <v>189</v>
      </c>
      <c r="Q25">
        <v>8256.98</v>
      </c>
      <c r="R25">
        <v>24.99</v>
      </c>
      <c r="S25">
        <v>8282.02</v>
      </c>
      <c r="T25">
        <v>8487.49</v>
      </c>
      <c r="U25">
        <v>200</v>
      </c>
      <c r="V25">
        <v>144</v>
      </c>
      <c r="W25" t="s">
        <v>28</v>
      </c>
      <c r="X25">
        <v>100</v>
      </c>
      <c r="Y25" t="s">
        <v>29</v>
      </c>
      <c r="Z25">
        <v>0</v>
      </c>
      <c r="AA25">
        <v>0</v>
      </c>
      <c r="AB25">
        <v>0</v>
      </c>
      <c r="AC25">
        <v>-70</v>
      </c>
      <c r="AD25">
        <v>-68</v>
      </c>
      <c r="AE25">
        <v>-68</v>
      </c>
    </row>
    <row r="26" spans="1:31">
      <c r="A26" t="s">
        <v>163</v>
      </c>
      <c r="B26">
        <v>4</v>
      </c>
      <c r="C26" t="s">
        <v>190</v>
      </c>
      <c r="D26">
        <v>6</v>
      </c>
      <c r="E26">
        <v>1</v>
      </c>
      <c r="F26" t="s">
        <v>27</v>
      </c>
      <c r="G26" s="1" t="b">
        <v>1</v>
      </c>
      <c r="H26" t="s">
        <v>191</v>
      </c>
      <c r="I26" t="s">
        <v>190</v>
      </c>
      <c r="J26">
        <v>11735.05</v>
      </c>
      <c r="K26" s="1" t="b">
        <v>1</v>
      </c>
      <c r="L26">
        <v>418.67</v>
      </c>
      <c r="N26" t="s">
        <v>192</v>
      </c>
      <c r="O26" t="s">
        <v>193</v>
      </c>
      <c r="P26" t="s">
        <v>193</v>
      </c>
      <c r="Q26">
        <v>11298.06</v>
      </c>
      <c r="R26">
        <v>0.28999999999999998</v>
      </c>
      <c r="S26">
        <v>11298.37</v>
      </c>
      <c r="T26">
        <v>11717.22</v>
      </c>
      <c r="U26">
        <v>200</v>
      </c>
      <c r="V26">
        <v>144</v>
      </c>
      <c r="W26" t="s">
        <v>28</v>
      </c>
      <c r="X26">
        <v>100</v>
      </c>
      <c r="Y26" t="s">
        <v>29</v>
      </c>
      <c r="Z26">
        <v>0</v>
      </c>
      <c r="AA26">
        <v>0</v>
      </c>
      <c r="AB26">
        <v>0</v>
      </c>
      <c r="AC26">
        <v>-80</v>
      </c>
      <c r="AD26">
        <v>-68</v>
      </c>
      <c r="AE26">
        <v>-68</v>
      </c>
    </row>
    <row r="27" spans="1:31">
      <c r="A27" t="s">
        <v>163</v>
      </c>
      <c r="B27">
        <v>4</v>
      </c>
      <c r="C27" t="s">
        <v>194</v>
      </c>
      <c r="D27">
        <v>7</v>
      </c>
      <c r="E27">
        <v>1</v>
      </c>
      <c r="F27" t="s">
        <v>27</v>
      </c>
      <c r="G27" s="1" t="b">
        <v>1</v>
      </c>
      <c r="H27" t="s">
        <v>195</v>
      </c>
      <c r="I27" t="s">
        <v>194</v>
      </c>
      <c r="J27">
        <v>8634.31</v>
      </c>
      <c r="K27" s="1" t="b">
        <v>1</v>
      </c>
      <c r="L27">
        <v>179.59</v>
      </c>
      <c r="N27" t="s">
        <v>196</v>
      </c>
      <c r="O27" t="s">
        <v>197</v>
      </c>
      <c r="P27" t="s">
        <v>198</v>
      </c>
      <c r="Q27">
        <v>8429.76</v>
      </c>
      <c r="R27">
        <v>9.07</v>
      </c>
      <c r="S27">
        <v>8438.8700000000008</v>
      </c>
      <c r="T27">
        <v>8618.65</v>
      </c>
      <c r="U27">
        <v>200</v>
      </c>
      <c r="V27">
        <v>144</v>
      </c>
      <c r="W27" t="s">
        <v>28</v>
      </c>
      <c r="X27">
        <v>100</v>
      </c>
      <c r="Y27" t="s">
        <v>29</v>
      </c>
      <c r="Z27">
        <v>0</v>
      </c>
      <c r="AA27">
        <v>0</v>
      </c>
      <c r="AB27">
        <v>0</v>
      </c>
      <c r="AC27">
        <v>-80</v>
      </c>
      <c r="AD27">
        <v>-68</v>
      </c>
      <c r="AE27">
        <v>-68</v>
      </c>
    </row>
    <row r="28" spans="1:31">
      <c r="A28" t="s">
        <v>163</v>
      </c>
      <c r="B28">
        <v>4</v>
      </c>
      <c r="C28" t="s">
        <v>199</v>
      </c>
      <c r="D28">
        <v>8</v>
      </c>
      <c r="E28">
        <v>1</v>
      </c>
      <c r="F28" t="s">
        <v>27</v>
      </c>
      <c r="G28" s="1" t="b">
        <v>0</v>
      </c>
      <c r="H28" t="s">
        <v>200</v>
      </c>
      <c r="I28" t="s">
        <v>199</v>
      </c>
      <c r="J28">
        <v>15194.73</v>
      </c>
      <c r="K28" s="1" t="b">
        <v>1</v>
      </c>
      <c r="L28">
        <v>66.09</v>
      </c>
      <c r="N28" t="s">
        <v>201</v>
      </c>
      <c r="P28" t="s">
        <v>202</v>
      </c>
      <c r="S28">
        <v>15113.09</v>
      </c>
      <c r="T28">
        <v>15179.33</v>
      </c>
      <c r="W28" t="s">
        <v>29</v>
      </c>
      <c r="AD28">
        <v>-68</v>
      </c>
      <c r="AE28">
        <v>-68</v>
      </c>
    </row>
    <row r="32" spans="1:31">
      <c r="C32" t="s">
        <v>203</v>
      </c>
      <c r="D32">
        <v>8</v>
      </c>
      <c r="H32" t="s">
        <v>69</v>
      </c>
      <c r="I32" t="s">
        <v>70</v>
      </c>
      <c r="J32" t="s">
        <v>71</v>
      </c>
    </row>
    <row r="33" spans="3:10">
      <c r="C33" t="s">
        <v>204</v>
      </c>
      <c r="D33">
        <v>2</v>
      </c>
      <c r="G33" t="s">
        <v>205</v>
      </c>
      <c r="H33">
        <v>-68</v>
      </c>
      <c r="I33">
        <v>-67.75</v>
      </c>
      <c r="J33">
        <v>-68</v>
      </c>
    </row>
    <row r="34" spans="3:10">
      <c r="C34" t="s">
        <v>206</v>
      </c>
      <c r="D34">
        <v>5</v>
      </c>
    </row>
    <row r="35" spans="3:10">
      <c r="C35" t="s">
        <v>207</v>
      </c>
      <c r="D35">
        <v>7</v>
      </c>
    </row>
    <row r="36" spans="3:10">
      <c r="C36" t="s">
        <v>208</v>
      </c>
      <c r="D36">
        <v>5.5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26"/>
  <sheetViews>
    <sheetView workbookViewId="0">
      <selection activeCell="C1" sqref="C1"/>
    </sheetView>
  </sheetViews>
  <sheetFormatPr baseColWidth="10" defaultColWidth="9" defaultRowHeight="14.25"/>
  <sheetData>
    <row r="1" spans="1:25">
      <c r="A1" t="s">
        <v>52</v>
      </c>
      <c r="B1" t="s">
        <v>53</v>
      </c>
      <c r="C1" t="s">
        <v>0</v>
      </c>
      <c r="D1" t="s">
        <v>54</v>
      </c>
      <c r="E1" t="s">
        <v>55</v>
      </c>
      <c r="F1" t="s">
        <v>1</v>
      </c>
      <c r="G1" t="s">
        <v>209</v>
      </c>
      <c r="H1" t="s">
        <v>210</v>
      </c>
      <c r="I1" t="s">
        <v>30</v>
      </c>
      <c r="J1" t="s">
        <v>3</v>
      </c>
      <c r="K1" t="s">
        <v>211</v>
      </c>
      <c r="L1" t="s">
        <v>212</v>
      </c>
      <c r="M1" t="s">
        <v>213</v>
      </c>
      <c r="N1" t="s">
        <v>214</v>
      </c>
      <c r="O1" t="s">
        <v>215</v>
      </c>
      <c r="P1" t="s">
        <v>216</v>
      </c>
      <c r="Q1" t="s">
        <v>217</v>
      </c>
      <c r="R1" t="s">
        <v>38</v>
      </c>
      <c r="S1" t="s">
        <v>39</v>
      </c>
      <c r="T1" t="s">
        <v>40</v>
      </c>
      <c r="U1" t="s">
        <v>218</v>
      </c>
      <c r="V1" t="s">
        <v>219</v>
      </c>
      <c r="W1" t="s">
        <v>42</v>
      </c>
      <c r="X1" t="s">
        <v>43</v>
      </c>
      <c r="Y1" t="s">
        <v>220</v>
      </c>
    </row>
    <row r="2" spans="1:25">
      <c r="A2" t="s">
        <v>221</v>
      </c>
      <c r="B2">
        <v>1</v>
      </c>
      <c r="C2" t="s">
        <v>222</v>
      </c>
      <c r="D2">
        <v>1</v>
      </c>
      <c r="E2">
        <v>1</v>
      </c>
      <c r="F2" t="s">
        <v>47</v>
      </c>
      <c r="H2" t="s">
        <v>49</v>
      </c>
      <c r="I2" t="s">
        <v>48</v>
      </c>
      <c r="J2" s="1" t="b">
        <v>1</v>
      </c>
      <c r="K2" s="1" t="b">
        <v>1</v>
      </c>
      <c r="L2">
        <v>3084.72</v>
      </c>
      <c r="M2">
        <v>-80</v>
      </c>
      <c r="N2">
        <v>-82</v>
      </c>
      <c r="O2">
        <v>-84</v>
      </c>
      <c r="P2">
        <v>-80</v>
      </c>
      <c r="Q2">
        <v>2</v>
      </c>
      <c r="R2">
        <v>5826.98</v>
      </c>
      <c r="S2">
        <v>347.16</v>
      </c>
      <c r="T2">
        <v>1.05</v>
      </c>
      <c r="U2">
        <v>88.74</v>
      </c>
      <c r="V2">
        <v>10529.09</v>
      </c>
      <c r="W2">
        <v>11029.89</v>
      </c>
      <c r="X2">
        <v>2739.06</v>
      </c>
      <c r="Y2">
        <v>25129.89</v>
      </c>
    </row>
    <row r="3" spans="1:25">
      <c r="A3" t="s">
        <v>221</v>
      </c>
      <c r="B3">
        <v>1</v>
      </c>
      <c r="C3" t="s">
        <v>223</v>
      </c>
      <c r="D3">
        <v>2</v>
      </c>
      <c r="E3">
        <v>1</v>
      </c>
      <c r="F3" t="s">
        <v>47</v>
      </c>
      <c r="J3" s="1" t="b">
        <v>0</v>
      </c>
      <c r="K3" s="1" t="b">
        <v>0</v>
      </c>
      <c r="L3">
        <v>3020.06</v>
      </c>
      <c r="Q3">
        <v>0</v>
      </c>
      <c r="Y3">
        <v>3020.24</v>
      </c>
    </row>
    <row r="4" spans="1:25">
      <c r="A4" t="s">
        <v>224</v>
      </c>
      <c r="B4">
        <v>2</v>
      </c>
      <c r="C4" t="s">
        <v>225</v>
      </c>
      <c r="D4">
        <v>1</v>
      </c>
      <c r="E4">
        <v>1</v>
      </c>
      <c r="F4" t="s">
        <v>47</v>
      </c>
      <c r="H4" t="s">
        <v>49</v>
      </c>
      <c r="I4" t="s">
        <v>48</v>
      </c>
      <c r="J4" s="1" t="b">
        <v>1</v>
      </c>
      <c r="K4" s="1" t="b">
        <v>1</v>
      </c>
      <c r="L4">
        <v>3116.1</v>
      </c>
      <c r="M4">
        <v>-80</v>
      </c>
      <c r="N4">
        <v>-80</v>
      </c>
      <c r="O4">
        <v>-80</v>
      </c>
      <c r="P4">
        <v>-80</v>
      </c>
      <c r="Q4">
        <v>2</v>
      </c>
      <c r="R4">
        <v>5122.1000000000004</v>
      </c>
      <c r="S4">
        <v>393.73</v>
      </c>
      <c r="T4">
        <v>1.43</v>
      </c>
      <c r="U4">
        <v>88.58</v>
      </c>
      <c r="V4">
        <v>10483.35</v>
      </c>
      <c r="W4">
        <v>10984.83</v>
      </c>
      <c r="X4">
        <v>2603.7399999999998</v>
      </c>
      <c r="Y4">
        <v>24353.73</v>
      </c>
    </row>
    <row r="5" spans="1:25">
      <c r="A5" t="s">
        <v>224</v>
      </c>
      <c r="B5">
        <v>2</v>
      </c>
      <c r="C5" t="s">
        <v>226</v>
      </c>
      <c r="D5">
        <v>2</v>
      </c>
      <c r="E5">
        <v>1</v>
      </c>
      <c r="F5" t="s">
        <v>47</v>
      </c>
      <c r="G5" t="s">
        <v>49</v>
      </c>
      <c r="H5" t="s">
        <v>49</v>
      </c>
      <c r="I5" t="s">
        <v>48</v>
      </c>
      <c r="J5" s="1" t="b">
        <v>1</v>
      </c>
      <c r="K5" s="1" t="b">
        <v>1</v>
      </c>
      <c r="L5">
        <v>3019.04</v>
      </c>
      <c r="M5">
        <v>-91</v>
      </c>
      <c r="N5">
        <v>-91</v>
      </c>
      <c r="O5">
        <v>-91</v>
      </c>
      <c r="P5">
        <v>-91</v>
      </c>
      <c r="Q5">
        <v>1</v>
      </c>
      <c r="R5">
        <v>2506.9299999999998</v>
      </c>
      <c r="S5">
        <v>172.58</v>
      </c>
      <c r="T5">
        <v>1.2</v>
      </c>
      <c r="U5">
        <v>88.72</v>
      </c>
      <c r="V5">
        <v>10483.299999999999</v>
      </c>
      <c r="W5">
        <v>10984.55</v>
      </c>
      <c r="X5">
        <v>2154.27</v>
      </c>
      <c r="Y5">
        <v>20941.75</v>
      </c>
    </row>
    <row r="6" spans="1:25">
      <c r="A6" t="s">
        <v>224</v>
      </c>
      <c r="B6">
        <v>2</v>
      </c>
      <c r="C6" t="s">
        <v>227</v>
      </c>
      <c r="D6">
        <v>3</v>
      </c>
      <c r="E6">
        <v>1</v>
      </c>
      <c r="F6" t="s">
        <v>47</v>
      </c>
      <c r="G6" t="s">
        <v>49</v>
      </c>
      <c r="H6" t="s">
        <v>49</v>
      </c>
      <c r="I6" t="s">
        <v>48</v>
      </c>
      <c r="J6" s="1" t="b">
        <v>0</v>
      </c>
      <c r="K6" s="1" t="b">
        <v>1</v>
      </c>
      <c r="L6">
        <v>6080.29</v>
      </c>
      <c r="M6">
        <v>-88</v>
      </c>
      <c r="N6">
        <v>-88</v>
      </c>
      <c r="O6">
        <v>-88</v>
      </c>
      <c r="P6">
        <v>-88</v>
      </c>
      <c r="Q6">
        <v>2</v>
      </c>
      <c r="Y6">
        <v>18158.62</v>
      </c>
    </row>
    <row r="7" spans="1:25">
      <c r="A7" t="s">
        <v>224</v>
      </c>
      <c r="B7">
        <v>2</v>
      </c>
      <c r="C7" t="s">
        <v>228</v>
      </c>
      <c r="D7">
        <v>4</v>
      </c>
      <c r="E7">
        <v>1</v>
      </c>
      <c r="F7" t="s">
        <v>47</v>
      </c>
      <c r="G7" t="s">
        <v>49</v>
      </c>
      <c r="H7" t="s">
        <v>49</v>
      </c>
      <c r="I7" t="s">
        <v>48</v>
      </c>
      <c r="J7" s="1" t="b">
        <v>1</v>
      </c>
      <c r="K7" s="1" t="b">
        <v>1</v>
      </c>
      <c r="L7">
        <v>3026.18</v>
      </c>
      <c r="M7">
        <v>-90</v>
      </c>
      <c r="N7">
        <v>-90</v>
      </c>
      <c r="O7">
        <v>-90</v>
      </c>
      <c r="P7">
        <v>-90</v>
      </c>
      <c r="Q7">
        <v>1</v>
      </c>
      <c r="R7">
        <v>4580.3100000000004</v>
      </c>
      <c r="S7">
        <v>172.42</v>
      </c>
      <c r="T7">
        <v>0.99</v>
      </c>
      <c r="U7">
        <v>88.8</v>
      </c>
      <c r="V7">
        <v>10528.86</v>
      </c>
      <c r="W7">
        <v>11029.66</v>
      </c>
      <c r="X7">
        <v>2604.37</v>
      </c>
      <c r="Y7">
        <v>23546.07</v>
      </c>
    </row>
    <row r="8" spans="1:25">
      <c r="A8" t="s">
        <v>224</v>
      </c>
      <c r="B8">
        <v>2</v>
      </c>
      <c r="C8" t="s">
        <v>229</v>
      </c>
      <c r="D8">
        <v>5</v>
      </c>
      <c r="E8">
        <v>1</v>
      </c>
      <c r="F8" t="s">
        <v>47</v>
      </c>
      <c r="G8" t="s">
        <v>49</v>
      </c>
      <c r="H8" t="s">
        <v>49</v>
      </c>
      <c r="I8" t="s">
        <v>48</v>
      </c>
      <c r="J8" s="1" t="b">
        <v>1</v>
      </c>
      <c r="K8" s="1" t="b">
        <v>1</v>
      </c>
      <c r="L8">
        <v>6176.51</v>
      </c>
      <c r="M8">
        <v>-87</v>
      </c>
      <c r="N8">
        <v>-87</v>
      </c>
      <c r="O8">
        <v>-87</v>
      </c>
      <c r="P8">
        <v>-87</v>
      </c>
      <c r="Q8">
        <v>1</v>
      </c>
      <c r="R8">
        <v>2270.8200000000002</v>
      </c>
      <c r="S8">
        <v>173.89</v>
      </c>
      <c r="T8">
        <v>0.99</v>
      </c>
      <c r="U8">
        <v>88.42</v>
      </c>
      <c r="V8">
        <v>10393.530000000001</v>
      </c>
      <c r="W8">
        <v>10894.91</v>
      </c>
      <c r="X8">
        <v>2423.35</v>
      </c>
      <c r="Y8">
        <v>24062.48</v>
      </c>
    </row>
    <row r="9" spans="1:25">
      <c r="A9" t="s">
        <v>224</v>
      </c>
      <c r="B9">
        <v>2</v>
      </c>
      <c r="C9" t="s">
        <v>230</v>
      </c>
      <c r="D9">
        <v>6</v>
      </c>
      <c r="E9">
        <v>1</v>
      </c>
      <c r="F9" t="s">
        <v>47</v>
      </c>
      <c r="G9" t="s">
        <v>49</v>
      </c>
      <c r="H9" t="s">
        <v>49</v>
      </c>
      <c r="I9" t="s">
        <v>48</v>
      </c>
      <c r="J9" s="1" t="b">
        <v>0</v>
      </c>
      <c r="K9" s="1" t="b">
        <v>1</v>
      </c>
      <c r="L9">
        <v>3051.91</v>
      </c>
      <c r="M9">
        <v>-87</v>
      </c>
      <c r="N9">
        <v>-87</v>
      </c>
      <c r="O9">
        <v>-87</v>
      </c>
      <c r="P9">
        <v>-87</v>
      </c>
      <c r="Q9">
        <v>1</v>
      </c>
      <c r="R9">
        <v>3546.17</v>
      </c>
      <c r="S9">
        <v>218.8</v>
      </c>
      <c r="T9">
        <v>1.31</v>
      </c>
      <c r="U9">
        <v>88.45</v>
      </c>
      <c r="W9">
        <v>15513.44</v>
      </c>
      <c r="Y9">
        <v>24350.76</v>
      </c>
    </row>
    <row r="10" spans="1:25">
      <c r="A10" t="s">
        <v>224</v>
      </c>
      <c r="B10">
        <v>2</v>
      </c>
      <c r="C10" t="s">
        <v>231</v>
      </c>
      <c r="D10">
        <v>7</v>
      </c>
      <c r="E10">
        <v>1</v>
      </c>
      <c r="F10" t="s">
        <v>47</v>
      </c>
      <c r="G10" t="s">
        <v>49</v>
      </c>
      <c r="H10" t="s">
        <v>49</v>
      </c>
      <c r="I10" t="s">
        <v>48</v>
      </c>
      <c r="J10" s="1" t="b">
        <v>0</v>
      </c>
      <c r="K10" s="1" t="b">
        <v>1</v>
      </c>
      <c r="L10">
        <v>3061.62</v>
      </c>
      <c r="M10">
        <v>-87</v>
      </c>
      <c r="N10">
        <v>-86.25</v>
      </c>
      <c r="O10">
        <v>-87</v>
      </c>
      <c r="P10">
        <v>-85</v>
      </c>
      <c r="Q10">
        <v>4</v>
      </c>
      <c r="Y10">
        <v>15200.46</v>
      </c>
    </row>
    <row r="11" spans="1:25">
      <c r="A11" t="s">
        <v>232</v>
      </c>
      <c r="B11">
        <v>3</v>
      </c>
      <c r="C11" t="s">
        <v>233</v>
      </c>
      <c r="D11">
        <v>1</v>
      </c>
      <c r="E11">
        <v>1</v>
      </c>
      <c r="F11" t="s">
        <v>47</v>
      </c>
      <c r="H11" t="s">
        <v>49</v>
      </c>
      <c r="I11" t="s">
        <v>48</v>
      </c>
      <c r="J11" s="1" t="b">
        <v>0</v>
      </c>
      <c r="K11" s="1" t="b">
        <v>1</v>
      </c>
      <c r="L11">
        <v>6111.64</v>
      </c>
      <c r="M11">
        <v>-82</v>
      </c>
      <c r="N11">
        <v>-82</v>
      </c>
      <c r="O11">
        <v>-82</v>
      </c>
      <c r="P11">
        <v>-82</v>
      </c>
      <c r="Q11">
        <v>1</v>
      </c>
      <c r="Y11">
        <v>15494.28</v>
      </c>
    </row>
    <row r="12" spans="1:25">
      <c r="A12" t="s">
        <v>234</v>
      </c>
      <c r="B12">
        <v>4</v>
      </c>
      <c r="C12" t="s">
        <v>235</v>
      </c>
      <c r="D12">
        <v>1</v>
      </c>
      <c r="E12">
        <v>1</v>
      </c>
      <c r="F12" t="s">
        <v>47</v>
      </c>
      <c r="H12" t="s">
        <v>49</v>
      </c>
      <c r="I12" t="s">
        <v>48</v>
      </c>
      <c r="J12" s="1" t="b">
        <v>1</v>
      </c>
      <c r="K12" s="1" t="b">
        <v>1</v>
      </c>
      <c r="L12">
        <v>3116.88</v>
      </c>
      <c r="M12">
        <v>-86</v>
      </c>
      <c r="N12">
        <v>-86</v>
      </c>
      <c r="O12">
        <v>-86</v>
      </c>
      <c r="P12">
        <v>-86</v>
      </c>
      <c r="Q12">
        <v>1</v>
      </c>
      <c r="R12">
        <v>5020.46</v>
      </c>
      <c r="S12">
        <v>172.64</v>
      </c>
      <c r="T12">
        <v>1.1299999999999999</v>
      </c>
      <c r="U12">
        <v>88.9</v>
      </c>
      <c r="V12">
        <v>10528.88</v>
      </c>
      <c r="W12">
        <v>11030.29</v>
      </c>
      <c r="X12">
        <v>2737.77</v>
      </c>
      <c r="Y12">
        <v>24184.32</v>
      </c>
    </row>
    <row r="13" spans="1:25">
      <c r="A13" t="s">
        <v>234</v>
      </c>
      <c r="B13">
        <v>4</v>
      </c>
      <c r="C13" t="s">
        <v>236</v>
      </c>
      <c r="D13">
        <v>2</v>
      </c>
      <c r="E13">
        <v>1</v>
      </c>
      <c r="F13" t="s">
        <v>47</v>
      </c>
      <c r="G13" t="s">
        <v>49</v>
      </c>
      <c r="H13" t="s">
        <v>49</v>
      </c>
      <c r="I13" t="s">
        <v>48</v>
      </c>
      <c r="J13" s="1" t="b">
        <v>1</v>
      </c>
      <c r="K13" s="1" t="b">
        <v>1</v>
      </c>
      <c r="L13">
        <v>3117.42</v>
      </c>
      <c r="M13">
        <v>-81</v>
      </c>
      <c r="N13">
        <v>-81</v>
      </c>
      <c r="O13">
        <v>-81</v>
      </c>
      <c r="P13">
        <v>-81</v>
      </c>
      <c r="Q13">
        <v>3</v>
      </c>
      <c r="R13">
        <v>1846.38</v>
      </c>
      <c r="S13">
        <v>173.54</v>
      </c>
      <c r="T13">
        <v>1.1100000000000001</v>
      </c>
      <c r="U13">
        <v>133.80000000000001</v>
      </c>
      <c r="V13">
        <v>10483.77</v>
      </c>
      <c r="W13">
        <v>10985.07</v>
      </c>
      <c r="X13">
        <v>1928.44</v>
      </c>
      <c r="Y13">
        <v>20286.11</v>
      </c>
    </row>
    <row r="14" spans="1:25">
      <c r="A14" t="s">
        <v>234</v>
      </c>
      <c r="B14">
        <v>4</v>
      </c>
      <c r="C14" t="s">
        <v>237</v>
      </c>
      <c r="D14">
        <v>3</v>
      </c>
      <c r="E14">
        <v>1</v>
      </c>
      <c r="F14" t="s">
        <v>47</v>
      </c>
      <c r="G14" t="s">
        <v>49</v>
      </c>
      <c r="H14" t="s">
        <v>49</v>
      </c>
      <c r="I14" t="s">
        <v>48</v>
      </c>
      <c r="J14" s="1" t="b">
        <v>1</v>
      </c>
      <c r="K14" s="1" t="b">
        <v>1</v>
      </c>
      <c r="L14">
        <v>6097.15</v>
      </c>
      <c r="M14">
        <v>-87</v>
      </c>
      <c r="N14">
        <v>-88</v>
      </c>
      <c r="O14">
        <v>-89</v>
      </c>
      <c r="P14">
        <v>-87</v>
      </c>
      <c r="Q14">
        <v>2</v>
      </c>
      <c r="R14">
        <v>2413.21</v>
      </c>
      <c r="S14">
        <v>263.63</v>
      </c>
      <c r="T14">
        <v>0.87</v>
      </c>
      <c r="U14">
        <v>89</v>
      </c>
      <c r="V14">
        <v>10529.4</v>
      </c>
      <c r="W14">
        <v>11030.27</v>
      </c>
      <c r="X14">
        <v>2558.15</v>
      </c>
      <c r="Y14">
        <v>24456.83</v>
      </c>
    </row>
    <row r="15" spans="1:25">
      <c r="A15" t="s">
        <v>234</v>
      </c>
      <c r="B15">
        <v>4</v>
      </c>
      <c r="C15" t="s">
        <v>238</v>
      </c>
      <c r="D15">
        <v>4</v>
      </c>
      <c r="E15">
        <v>1</v>
      </c>
      <c r="F15" t="s">
        <v>47</v>
      </c>
      <c r="G15" t="s">
        <v>49</v>
      </c>
      <c r="H15" t="s">
        <v>49</v>
      </c>
      <c r="I15" t="s">
        <v>48</v>
      </c>
      <c r="J15" s="1" t="b">
        <v>1</v>
      </c>
      <c r="K15" s="1" t="b">
        <v>1</v>
      </c>
      <c r="L15">
        <v>3075.87</v>
      </c>
      <c r="M15">
        <v>-87</v>
      </c>
      <c r="N15">
        <v>-88</v>
      </c>
      <c r="O15">
        <v>-89</v>
      </c>
      <c r="P15">
        <v>-87</v>
      </c>
      <c r="Q15">
        <v>2</v>
      </c>
      <c r="R15">
        <v>4990.3900000000003</v>
      </c>
      <c r="S15">
        <v>172.94</v>
      </c>
      <c r="T15">
        <v>0.99</v>
      </c>
      <c r="U15">
        <v>89.14</v>
      </c>
      <c r="V15">
        <v>10483.91</v>
      </c>
      <c r="W15">
        <v>10984.47</v>
      </c>
      <c r="X15">
        <v>1793.9</v>
      </c>
      <c r="Y15">
        <v>23107.5</v>
      </c>
    </row>
    <row r="16" spans="1:25">
      <c r="A16" t="s">
        <v>234</v>
      </c>
      <c r="B16">
        <v>4</v>
      </c>
      <c r="C16" t="s">
        <v>239</v>
      </c>
      <c r="D16">
        <v>5</v>
      </c>
      <c r="E16">
        <v>1</v>
      </c>
      <c r="F16" t="s">
        <v>47</v>
      </c>
      <c r="G16" t="s">
        <v>49</v>
      </c>
      <c r="H16" t="s">
        <v>49</v>
      </c>
      <c r="I16" t="s">
        <v>48</v>
      </c>
      <c r="J16" s="1" t="b">
        <v>1</v>
      </c>
      <c r="K16" s="1" t="b">
        <v>1</v>
      </c>
      <c r="L16">
        <v>3099.91</v>
      </c>
      <c r="M16">
        <v>-84</v>
      </c>
      <c r="N16">
        <v>-84</v>
      </c>
      <c r="O16">
        <v>-84</v>
      </c>
      <c r="P16">
        <v>-84</v>
      </c>
      <c r="Q16">
        <v>1</v>
      </c>
      <c r="R16">
        <v>3425.11</v>
      </c>
      <c r="S16">
        <v>173.25</v>
      </c>
      <c r="T16">
        <v>1.29</v>
      </c>
      <c r="U16">
        <v>88.27</v>
      </c>
      <c r="V16">
        <v>10573.67</v>
      </c>
      <c r="W16">
        <v>11074.92</v>
      </c>
      <c r="X16">
        <v>2378.19</v>
      </c>
      <c r="Y16">
        <v>22233.91</v>
      </c>
    </row>
    <row r="17" spans="1:25">
      <c r="A17" t="s">
        <v>234</v>
      </c>
      <c r="B17">
        <v>4</v>
      </c>
      <c r="C17" t="s">
        <v>240</v>
      </c>
      <c r="D17">
        <v>6</v>
      </c>
      <c r="E17">
        <v>1</v>
      </c>
      <c r="F17" t="s">
        <v>47</v>
      </c>
      <c r="G17" t="s">
        <v>49</v>
      </c>
      <c r="H17" t="s">
        <v>49</v>
      </c>
      <c r="I17" t="s">
        <v>48</v>
      </c>
      <c r="J17" s="1" t="b">
        <v>1</v>
      </c>
      <c r="K17" s="1" t="b">
        <v>1</v>
      </c>
      <c r="L17">
        <v>3021.91</v>
      </c>
      <c r="M17">
        <v>-81</v>
      </c>
      <c r="N17">
        <v>-84.25</v>
      </c>
      <c r="O17">
        <v>-87</v>
      </c>
      <c r="P17">
        <v>-81</v>
      </c>
      <c r="Q17">
        <v>4</v>
      </c>
      <c r="R17">
        <v>4274.59</v>
      </c>
      <c r="S17">
        <v>218.9</v>
      </c>
      <c r="T17">
        <v>1.21</v>
      </c>
      <c r="U17">
        <v>179.53</v>
      </c>
      <c r="V17">
        <v>10843.94</v>
      </c>
      <c r="W17">
        <v>11344.9</v>
      </c>
      <c r="X17">
        <v>1973.55</v>
      </c>
      <c r="Y17">
        <v>22950.29</v>
      </c>
    </row>
    <row r="18" spans="1:25">
      <c r="A18" t="s">
        <v>234</v>
      </c>
      <c r="B18">
        <v>4</v>
      </c>
      <c r="C18" t="s">
        <v>241</v>
      </c>
      <c r="D18">
        <v>7</v>
      </c>
      <c r="E18">
        <v>1</v>
      </c>
      <c r="F18" t="s">
        <v>47</v>
      </c>
      <c r="G18" t="s">
        <v>49</v>
      </c>
      <c r="H18" t="s">
        <v>49</v>
      </c>
      <c r="I18" t="s">
        <v>48</v>
      </c>
      <c r="J18" s="1" t="b">
        <v>0</v>
      </c>
      <c r="K18" s="1" t="b">
        <v>0</v>
      </c>
      <c r="L18">
        <v>9143.67</v>
      </c>
      <c r="Q18">
        <v>0</v>
      </c>
      <c r="Y18">
        <v>29303.759999999998</v>
      </c>
    </row>
    <row r="21" spans="1:25">
      <c r="H21" t="s">
        <v>213</v>
      </c>
      <c r="I21" t="s">
        <v>214</v>
      </c>
      <c r="J21" t="s">
        <v>215</v>
      </c>
      <c r="K21" t="s">
        <v>216</v>
      </c>
    </row>
    <row r="22" spans="1:25">
      <c r="C22" t="s">
        <v>242</v>
      </c>
      <c r="D22">
        <v>1</v>
      </c>
      <c r="G22" t="s">
        <v>205</v>
      </c>
      <c r="H22">
        <v>-82</v>
      </c>
      <c r="I22">
        <v>-82.5</v>
      </c>
      <c r="J22">
        <v>-83</v>
      </c>
      <c r="K22">
        <v>-82</v>
      </c>
    </row>
    <row r="23" spans="1:25">
      <c r="C23" t="s">
        <v>243</v>
      </c>
      <c r="D23">
        <v>5</v>
      </c>
    </row>
    <row r="24" spans="1:25">
      <c r="C24" t="s">
        <v>244</v>
      </c>
      <c r="D24">
        <v>0</v>
      </c>
    </row>
    <row r="25" spans="1:25">
      <c r="C25" t="s">
        <v>245</v>
      </c>
      <c r="D25">
        <v>6</v>
      </c>
    </row>
    <row r="26" spans="1:25">
      <c r="D26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9"/>
  <sheetViews>
    <sheetView workbookViewId="0"/>
  </sheetViews>
  <sheetFormatPr baseColWidth="10" defaultColWidth="9" defaultRowHeight="14.25"/>
  <sheetData>
    <row r="1" spans="1:4">
      <c r="A1" t="s">
        <v>246</v>
      </c>
    </row>
    <row r="2" spans="1:4">
      <c r="A2" t="s">
        <v>247</v>
      </c>
      <c r="B2" t="s">
        <v>248</v>
      </c>
      <c r="C2" t="s">
        <v>249</v>
      </c>
      <c r="D2" t="s">
        <v>250</v>
      </c>
    </row>
    <row r="4" spans="1:4">
      <c r="A4" t="s">
        <v>251</v>
      </c>
      <c r="B4">
        <v>0.43611111111111112</v>
      </c>
      <c r="C4" t="s">
        <v>3</v>
      </c>
      <c r="D4">
        <v>3.96</v>
      </c>
    </row>
    <row r="5" spans="1:4">
      <c r="A5" t="s">
        <v>251</v>
      </c>
      <c r="B5" t="s">
        <v>252</v>
      </c>
      <c r="C5" t="s">
        <v>3</v>
      </c>
      <c r="D5">
        <v>3.96</v>
      </c>
    </row>
    <row r="8" spans="1:4">
      <c r="A8" t="s">
        <v>253</v>
      </c>
      <c r="B8">
        <v>0.4909722222222222</v>
      </c>
      <c r="C8" t="s">
        <v>3</v>
      </c>
      <c r="D8">
        <v>3.95</v>
      </c>
    </row>
    <row r="9" spans="1:4">
      <c r="A9" t="s">
        <v>253</v>
      </c>
      <c r="B9" t="s">
        <v>252</v>
      </c>
      <c r="C9" t="s">
        <v>3</v>
      </c>
      <c r="D9">
        <v>3.92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71"/>
  <sheetViews>
    <sheetView topLeftCell="A46" workbookViewId="0">
      <selection activeCell="A67" sqref="A67:A71"/>
    </sheetView>
  </sheetViews>
  <sheetFormatPr baseColWidth="10" defaultColWidth="9" defaultRowHeight="14.25"/>
  <sheetData>
    <row r="1" spans="1:10">
      <c r="C1" t="s">
        <v>254</v>
      </c>
      <c r="D1" t="s">
        <v>255</v>
      </c>
    </row>
    <row r="2" spans="1:10">
      <c r="C2" t="s">
        <v>256</v>
      </c>
      <c r="D2" t="s">
        <v>257</v>
      </c>
    </row>
    <row r="3" spans="1:10">
      <c r="C3">
        <v>0.79236111111111107</v>
      </c>
      <c r="D3">
        <v>0.91180555555555554</v>
      </c>
    </row>
    <row r="4" spans="1:10">
      <c r="A4" t="s">
        <v>258</v>
      </c>
      <c r="B4" t="s">
        <v>259</v>
      </c>
      <c r="C4" t="s">
        <v>260</v>
      </c>
      <c r="D4" t="s">
        <v>260</v>
      </c>
      <c r="G4" t="s">
        <v>261</v>
      </c>
      <c r="I4" t="s">
        <v>251</v>
      </c>
    </row>
    <row r="5" spans="1:10">
      <c r="F5" t="s">
        <v>258</v>
      </c>
      <c r="G5" t="s">
        <v>262</v>
      </c>
      <c r="H5" t="s">
        <v>263</v>
      </c>
      <c r="I5" t="s">
        <v>262</v>
      </c>
      <c r="J5" t="s">
        <v>263</v>
      </c>
    </row>
    <row r="6" spans="1:10">
      <c r="A6">
        <v>1</v>
      </c>
      <c r="B6">
        <v>2</v>
      </c>
      <c r="C6" t="s">
        <v>264</v>
      </c>
      <c r="D6" t="s">
        <v>264</v>
      </c>
      <c r="F6">
        <v>1</v>
      </c>
      <c r="G6" t="s">
        <v>264</v>
      </c>
      <c r="H6" t="s">
        <v>28</v>
      </c>
      <c r="I6" t="s">
        <v>264</v>
      </c>
      <c r="J6" t="s">
        <v>28</v>
      </c>
    </row>
    <row r="7" spans="1:10">
      <c r="A7">
        <v>2</v>
      </c>
      <c r="B7">
        <v>2</v>
      </c>
      <c r="C7" t="s">
        <v>264</v>
      </c>
      <c r="D7" t="s">
        <v>264</v>
      </c>
      <c r="F7">
        <v>2</v>
      </c>
      <c r="G7" t="s">
        <v>264</v>
      </c>
      <c r="H7" t="s">
        <v>28</v>
      </c>
      <c r="I7" t="s">
        <v>264</v>
      </c>
      <c r="J7" t="s">
        <v>28</v>
      </c>
    </row>
    <row r="8" spans="1:10">
      <c r="A8">
        <v>3</v>
      </c>
      <c r="B8">
        <v>2</v>
      </c>
      <c r="C8" t="s">
        <v>264</v>
      </c>
      <c r="D8" t="s">
        <v>264</v>
      </c>
      <c r="F8">
        <v>3</v>
      </c>
      <c r="G8" t="s">
        <v>264</v>
      </c>
      <c r="H8" t="s">
        <v>28</v>
      </c>
      <c r="I8" t="s">
        <v>264</v>
      </c>
      <c r="J8" t="s">
        <v>28</v>
      </c>
    </row>
    <row r="9" spans="1:10">
      <c r="A9">
        <v>4</v>
      </c>
      <c r="B9">
        <v>2</v>
      </c>
      <c r="C9" t="s">
        <v>264</v>
      </c>
      <c r="D9" t="s">
        <v>264</v>
      </c>
      <c r="F9">
        <v>4</v>
      </c>
      <c r="G9" t="s">
        <v>264</v>
      </c>
      <c r="H9" t="s">
        <v>28</v>
      </c>
      <c r="I9" t="s">
        <v>264</v>
      </c>
      <c r="J9" t="s">
        <v>28</v>
      </c>
    </row>
    <row r="10" spans="1:10">
      <c r="A10">
        <v>5</v>
      </c>
      <c r="B10">
        <v>2</v>
      </c>
      <c r="C10" t="s">
        <v>264</v>
      </c>
      <c r="D10" t="s">
        <v>264</v>
      </c>
      <c r="F10">
        <v>5</v>
      </c>
      <c r="G10" t="s">
        <v>264</v>
      </c>
      <c r="H10" t="s">
        <v>28</v>
      </c>
      <c r="I10" t="s">
        <v>264</v>
      </c>
      <c r="J10" t="s">
        <v>28</v>
      </c>
    </row>
    <row r="11" spans="1:10">
      <c r="A11">
        <v>6</v>
      </c>
      <c r="B11">
        <v>2</v>
      </c>
      <c r="C11" t="s">
        <v>264</v>
      </c>
      <c r="D11" t="s">
        <v>264</v>
      </c>
      <c r="F11">
        <v>6</v>
      </c>
      <c r="G11" t="s">
        <v>264</v>
      </c>
      <c r="H11" t="s">
        <v>28</v>
      </c>
      <c r="I11" t="s">
        <v>264</v>
      </c>
      <c r="J11" t="s">
        <v>28</v>
      </c>
    </row>
    <row r="12" spans="1:10">
      <c r="A12">
        <v>7</v>
      </c>
      <c r="B12">
        <v>2</v>
      </c>
      <c r="C12" t="s">
        <v>264</v>
      </c>
      <c r="D12" t="s">
        <v>264</v>
      </c>
      <c r="F12">
        <v>7</v>
      </c>
      <c r="G12" t="s">
        <v>264</v>
      </c>
      <c r="H12" t="s">
        <v>28</v>
      </c>
      <c r="I12" t="s">
        <v>264</v>
      </c>
      <c r="J12" t="s">
        <v>28</v>
      </c>
    </row>
    <row r="13" spans="1:10">
      <c r="A13">
        <v>8</v>
      </c>
      <c r="B13">
        <v>2</v>
      </c>
      <c r="C13" t="s">
        <v>264</v>
      </c>
      <c r="D13" t="s">
        <v>264</v>
      </c>
      <c r="F13">
        <v>8</v>
      </c>
      <c r="G13" t="s">
        <v>264</v>
      </c>
      <c r="H13" t="s">
        <v>28</v>
      </c>
      <c r="I13" t="s">
        <v>264</v>
      </c>
      <c r="J13" t="s">
        <v>28</v>
      </c>
    </row>
    <row r="14" spans="1:10">
      <c r="A14">
        <v>9</v>
      </c>
      <c r="B14">
        <v>2</v>
      </c>
      <c r="C14" t="s">
        <v>264</v>
      </c>
      <c r="D14" t="s">
        <v>264</v>
      </c>
      <c r="F14">
        <v>9</v>
      </c>
      <c r="G14" t="s">
        <v>264</v>
      </c>
      <c r="H14" t="s">
        <v>28</v>
      </c>
      <c r="I14" t="s">
        <v>264</v>
      </c>
      <c r="J14" t="s">
        <v>28</v>
      </c>
    </row>
    <row r="15" spans="1:10">
      <c r="A15">
        <v>10</v>
      </c>
      <c r="B15">
        <v>2</v>
      </c>
      <c r="C15" t="s">
        <v>264</v>
      </c>
      <c r="D15" t="s">
        <v>264</v>
      </c>
      <c r="F15">
        <v>10</v>
      </c>
      <c r="G15" t="s">
        <v>264</v>
      </c>
      <c r="H15" t="s">
        <v>28</v>
      </c>
      <c r="I15" t="s">
        <v>264</v>
      </c>
      <c r="J15" t="s">
        <v>28</v>
      </c>
    </row>
    <row r="16" spans="1:10">
      <c r="A16">
        <v>11</v>
      </c>
      <c r="B16">
        <v>2</v>
      </c>
      <c r="C16" t="s">
        <v>264</v>
      </c>
      <c r="D16" t="s">
        <v>264</v>
      </c>
      <c r="F16">
        <v>11</v>
      </c>
      <c r="G16" t="s">
        <v>264</v>
      </c>
      <c r="H16" t="s">
        <v>28</v>
      </c>
      <c r="I16" t="s">
        <v>264</v>
      </c>
      <c r="J16" t="s">
        <v>28</v>
      </c>
    </row>
    <row r="17" spans="1:10">
      <c r="A17">
        <v>12</v>
      </c>
      <c r="B17">
        <v>2</v>
      </c>
      <c r="C17" t="s">
        <v>264</v>
      </c>
      <c r="D17" t="s">
        <v>264</v>
      </c>
      <c r="F17">
        <v>12</v>
      </c>
      <c r="G17" t="s">
        <v>264</v>
      </c>
      <c r="H17" t="s">
        <v>28</v>
      </c>
      <c r="I17" t="s">
        <v>264</v>
      </c>
      <c r="J17" t="s">
        <v>28</v>
      </c>
    </row>
    <row r="18" spans="1:10">
      <c r="A18">
        <v>13</v>
      </c>
      <c r="B18">
        <v>2</v>
      </c>
      <c r="C18" t="s">
        <v>264</v>
      </c>
      <c r="D18" t="s">
        <v>264</v>
      </c>
      <c r="F18">
        <v>13</v>
      </c>
      <c r="G18" t="s">
        <v>264</v>
      </c>
      <c r="H18" t="s">
        <v>28</v>
      </c>
      <c r="I18" t="s">
        <v>264</v>
      </c>
      <c r="J18" t="s">
        <v>28</v>
      </c>
    </row>
    <row r="19" spans="1:10">
      <c r="A19">
        <v>14</v>
      </c>
      <c r="B19">
        <v>2</v>
      </c>
      <c r="C19" t="s">
        <v>264</v>
      </c>
      <c r="D19" t="s">
        <v>264</v>
      </c>
      <c r="F19">
        <v>14</v>
      </c>
      <c r="G19" t="s">
        <v>264</v>
      </c>
      <c r="H19" t="s">
        <v>28</v>
      </c>
      <c r="I19" t="s">
        <v>264</v>
      </c>
      <c r="J19" t="s">
        <v>28</v>
      </c>
    </row>
    <row r="20" spans="1:10">
      <c r="A20">
        <v>15</v>
      </c>
      <c r="B20">
        <v>2</v>
      </c>
      <c r="C20" t="s">
        <v>264</v>
      </c>
      <c r="D20" t="s">
        <v>264</v>
      </c>
      <c r="F20">
        <v>15</v>
      </c>
      <c r="G20" t="s">
        <v>264</v>
      </c>
      <c r="H20" t="s">
        <v>28</v>
      </c>
      <c r="I20" t="s">
        <v>264</v>
      </c>
      <c r="J20" t="s">
        <v>28</v>
      </c>
    </row>
    <row r="21" spans="1:10">
      <c r="A21">
        <v>16</v>
      </c>
      <c r="B21">
        <v>3</v>
      </c>
      <c r="C21" t="s">
        <v>264</v>
      </c>
      <c r="D21" t="s">
        <v>264</v>
      </c>
      <c r="F21">
        <v>16</v>
      </c>
      <c r="G21" t="s">
        <v>264</v>
      </c>
      <c r="H21" t="s">
        <v>28</v>
      </c>
      <c r="I21" t="s">
        <v>264</v>
      </c>
      <c r="J21" t="s">
        <v>28</v>
      </c>
    </row>
    <row r="22" spans="1:10">
      <c r="A22">
        <v>17</v>
      </c>
      <c r="B22">
        <v>3</v>
      </c>
      <c r="C22" t="s">
        <v>264</v>
      </c>
      <c r="D22" t="s">
        <v>264</v>
      </c>
      <c r="F22">
        <v>17</v>
      </c>
      <c r="G22" t="s">
        <v>264</v>
      </c>
      <c r="H22" t="s">
        <v>28</v>
      </c>
      <c r="I22" t="s">
        <v>264</v>
      </c>
      <c r="J22" t="s">
        <v>28</v>
      </c>
    </row>
    <row r="23" spans="1:10">
      <c r="A23">
        <v>18</v>
      </c>
      <c r="B23">
        <v>3</v>
      </c>
      <c r="C23" t="s">
        <v>264</v>
      </c>
      <c r="D23" t="s">
        <v>264</v>
      </c>
      <c r="F23">
        <v>18</v>
      </c>
      <c r="G23" t="s">
        <v>264</v>
      </c>
      <c r="H23" t="s">
        <v>28</v>
      </c>
      <c r="I23" t="s">
        <v>264</v>
      </c>
      <c r="J23" t="s">
        <v>28</v>
      </c>
    </row>
    <row r="24" spans="1:10">
      <c r="A24">
        <v>19</v>
      </c>
      <c r="B24">
        <v>3</v>
      </c>
      <c r="C24" t="s">
        <v>264</v>
      </c>
      <c r="D24" t="s">
        <v>264</v>
      </c>
      <c r="F24">
        <v>19</v>
      </c>
      <c r="G24" t="s">
        <v>264</v>
      </c>
      <c r="H24" t="s">
        <v>28</v>
      </c>
      <c r="I24" t="s">
        <v>264</v>
      </c>
      <c r="J24" t="s">
        <v>28</v>
      </c>
    </row>
    <row r="25" spans="1:10">
      <c r="A25">
        <v>20</v>
      </c>
      <c r="B25">
        <v>3</v>
      </c>
      <c r="C25" t="s">
        <v>264</v>
      </c>
      <c r="D25" t="s">
        <v>264</v>
      </c>
      <c r="F25">
        <v>20</v>
      </c>
      <c r="G25" t="s">
        <v>264</v>
      </c>
      <c r="H25" t="s">
        <v>28</v>
      </c>
      <c r="I25" t="s">
        <v>264</v>
      </c>
      <c r="J25" t="s">
        <v>28</v>
      </c>
    </row>
    <row r="26" spans="1:10">
      <c r="A26">
        <v>21</v>
      </c>
      <c r="B26">
        <v>3</v>
      </c>
      <c r="C26" t="s">
        <v>264</v>
      </c>
      <c r="D26" t="s">
        <v>264</v>
      </c>
      <c r="F26">
        <v>21</v>
      </c>
      <c r="G26" t="s">
        <v>264</v>
      </c>
      <c r="H26" t="s">
        <v>28</v>
      </c>
      <c r="I26" t="s">
        <v>264</v>
      </c>
      <c r="J26" t="s">
        <v>28</v>
      </c>
    </row>
    <row r="27" spans="1:10">
      <c r="A27">
        <v>22</v>
      </c>
      <c r="B27">
        <v>3</v>
      </c>
      <c r="C27" t="s">
        <v>264</v>
      </c>
      <c r="D27" t="s">
        <v>264</v>
      </c>
      <c r="F27">
        <v>22</v>
      </c>
      <c r="G27" t="s">
        <v>264</v>
      </c>
      <c r="H27" t="s">
        <v>28</v>
      </c>
      <c r="I27" t="s">
        <v>264</v>
      </c>
      <c r="J27" t="s">
        <v>28</v>
      </c>
    </row>
    <row r="28" spans="1:10">
      <c r="A28">
        <v>23</v>
      </c>
      <c r="B28">
        <v>3</v>
      </c>
      <c r="C28" t="s">
        <v>264</v>
      </c>
      <c r="D28" t="s">
        <v>264</v>
      </c>
      <c r="F28">
        <v>23</v>
      </c>
      <c r="G28" t="s">
        <v>264</v>
      </c>
      <c r="H28" t="s">
        <v>28</v>
      </c>
      <c r="I28" t="s">
        <v>264</v>
      </c>
      <c r="J28" t="s">
        <v>28</v>
      </c>
    </row>
    <row r="29" spans="1:10">
      <c r="A29">
        <v>24</v>
      </c>
      <c r="B29">
        <v>3</v>
      </c>
      <c r="C29" t="s">
        <v>264</v>
      </c>
      <c r="D29" t="s">
        <v>264</v>
      </c>
      <c r="F29">
        <v>24</v>
      </c>
      <c r="G29" t="s">
        <v>264</v>
      </c>
      <c r="H29" t="s">
        <v>28</v>
      </c>
      <c r="I29" t="s">
        <v>264</v>
      </c>
      <c r="J29" t="s">
        <v>28</v>
      </c>
    </row>
    <row r="30" spans="1:10">
      <c r="A30">
        <v>25</v>
      </c>
      <c r="B30">
        <v>3</v>
      </c>
      <c r="C30" t="s">
        <v>264</v>
      </c>
      <c r="D30" t="s">
        <v>264</v>
      </c>
      <c r="F30">
        <v>25</v>
      </c>
      <c r="G30" t="s">
        <v>264</v>
      </c>
      <c r="H30" t="s">
        <v>28</v>
      </c>
      <c r="I30" t="s">
        <v>264</v>
      </c>
      <c r="J30" t="s">
        <v>28</v>
      </c>
    </row>
    <row r="31" spans="1:10">
      <c r="A31">
        <v>26</v>
      </c>
      <c r="B31">
        <v>3</v>
      </c>
      <c r="C31" t="s">
        <v>264</v>
      </c>
      <c r="D31" t="s">
        <v>264</v>
      </c>
      <c r="F31">
        <v>26</v>
      </c>
      <c r="G31" t="s">
        <v>264</v>
      </c>
      <c r="H31" t="s">
        <v>29</v>
      </c>
      <c r="I31" t="s">
        <v>264</v>
      </c>
      <c r="J31" t="s">
        <v>28</v>
      </c>
    </row>
    <row r="32" spans="1:10">
      <c r="A32">
        <v>27</v>
      </c>
      <c r="B32">
        <v>3</v>
      </c>
      <c r="C32" t="s">
        <v>264</v>
      </c>
      <c r="D32" t="s">
        <v>264</v>
      </c>
      <c r="F32">
        <v>27</v>
      </c>
      <c r="G32" t="s">
        <v>264</v>
      </c>
      <c r="H32" t="s">
        <v>28</v>
      </c>
      <c r="I32" t="s">
        <v>264</v>
      </c>
      <c r="J32" t="s">
        <v>28</v>
      </c>
    </row>
    <row r="33" spans="1:10">
      <c r="A33">
        <v>28</v>
      </c>
      <c r="B33">
        <v>3</v>
      </c>
      <c r="C33" t="s">
        <v>264</v>
      </c>
      <c r="D33" t="s">
        <v>264</v>
      </c>
      <c r="F33">
        <v>28</v>
      </c>
      <c r="G33" t="s">
        <v>264</v>
      </c>
      <c r="H33" t="s">
        <v>28</v>
      </c>
      <c r="I33" t="s">
        <v>264</v>
      </c>
      <c r="J33" t="s">
        <v>28</v>
      </c>
    </row>
    <row r="34" spans="1:10">
      <c r="A34">
        <v>29</v>
      </c>
      <c r="B34">
        <v>3</v>
      </c>
      <c r="C34" t="s">
        <v>264</v>
      </c>
      <c r="D34" t="s">
        <v>264</v>
      </c>
      <c r="F34">
        <v>29</v>
      </c>
      <c r="G34" t="s">
        <v>264</v>
      </c>
      <c r="H34" t="s">
        <v>28</v>
      </c>
      <c r="I34" t="s">
        <v>264</v>
      </c>
      <c r="J34" t="s">
        <v>28</v>
      </c>
    </row>
    <row r="35" spans="1:10">
      <c r="A35">
        <v>30</v>
      </c>
      <c r="B35">
        <v>3</v>
      </c>
      <c r="C35" t="s">
        <v>264</v>
      </c>
      <c r="D35" t="s">
        <v>264</v>
      </c>
      <c r="F35">
        <v>30</v>
      </c>
      <c r="G35" t="s">
        <v>264</v>
      </c>
      <c r="H35" t="s">
        <v>28</v>
      </c>
      <c r="I35" t="s">
        <v>264</v>
      </c>
      <c r="J35" t="s">
        <v>28</v>
      </c>
    </row>
    <row r="36" spans="1:10">
      <c r="A36">
        <v>31</v>
      </c>
      <c r="B36" t="s">
        <v>265</v>
      </c>
      <c r="C36" t="s">
        <v>264</v>
      </c>
      <c r="D36" t="s">
        <v>264</v>
      </c>
      <c r="F36">
        <v>31</v>
      </c>
      <c r="G36" t="s">
        <v>264</v>
      </c>
      <c r="H36" t="s">
        <v>28</v>
      </c>
      <c r="I36" t="s">
        <v>264</v>
      </c>
      <c r="J36" t="s">
        <v>28</v>
      </c>
    </row>
    <row r="37" spans="1:10">
      <c r="A37">
        <v>32</v>
      </c>
      <c r="B37" t="s">
        <v>265</v>
      </c>
      <c r="C37" t="s">
        <v>264</v>
      </c>
      <c r="D37" t="s">
        <v>264</v>
      </c>
      <c r="F37">
        <v>32</v>
      </c>
      <c r="G37" t="s">
        <v>264</v>
      </c>
      <c r="H37" t="s">
        <v>28</v>
      </c>
      <c r="I37" t="s">
        <v>264</v>
      </c>
      <c r="J37" t="s">
        <v>28</v>
      </c>
    </row>
    <row r="38" spans="1:10">
      <c r="A38">
        <v>33</v>
      </c>
      <c r="B38" t="s">
        <v>265</v>
      </c>
      <c r="C38" t="s">
        <v>264</v>
      </c>
      <c r="D38" t="s">
        <v>264</v>
      </c>
      <c r="F38">
        <v>33</v>
      </c>
      <c r="G38" t="s">
        <v>264</v>
      </c>
      <c r="H38" t="s">
        <v>29</v>
      </c>
      <c r="I38" t="s">
        <v>264</v>
      </c>
      <c r="J38" t="s">
        <v>28</v>
      </c>
    </row>
    <row r="39" spans="1:10">
      <c r="A39">
        <v>34</v>
      </c>
      <c r="B39" t="s">
        <v>265</v>
      </c>
      <c r="C39" t="s">
        <v>264</v>
      </c>
      <c r="D39" t="s">
        <v>264</v>
      </c>
      <c r="F39">
        <v>34</v>
      </c>
      <c r="G39" t="s">
        <v>264</v>
      </c>
      <c r="H39" t="s">
        <v>28</v>
      </c>
      <c r="I39" t="s">
        <v>264</v>
      </c>
      <c r="J39" t="s">
        <v>28</v>
      </c>
    </row>
    <row r="40" spans="1:10">
      <c r="A40">
        <v>35</v>
      </c>
      <c r="B40" t="s">
        <v>265</v>
      </c>
      <c r="C40" t="s">
        <v>264</v>
      </c>
      <c r="D40" t="s">
        <v>264</v>
      </c>
      <c r="F40">
        <v>35</v>
      </c>
      <c r="G40" t="s">
        <v>264</v>
      </c>
      <c r="H40" t="s">
        <v>28</v>
      </c>
      <c r="I40" t="s">
        <v>264</v>
      </c>
      <c r="J40" t="s">
        <v>29</v>
      </c>
    </row>
    <row r="41" spans="1:10">
      <c r="A41">
        <v>36</v>
      </c>
      <c r="B41" t="s">
        <v>265</v>
      </c>
      <c r="C41" t="s">
        <v>264</v>
      </c>
      <c r="D41" t="s">
        <v>264</v>
      </c>
      <c r="F41">
        <v>36</v>
      </c>
      <c r="G41" t="s">
        <v>264</v>
      </c>
      <c r="H41" t="s">
        <v>28</v>
      </c>
      <c r="I41" t="s">
        <v>264</v>
      </c>
      <c r="J41" t="s">
        <v>28</v>
      </c>
    </row>
    <row r="42" spans="1:10">
      <c r="A42">
        <v>37</v>
      </c>
      <c r="B42" t="s">
        <v>265</v>
      </c>
      <c r="C42" t="s">
        <v>264</v>
      </c>
      <c r="D42" t="s">
        <v>264</v>
      </c>
      <c r="F42">
        <v>37</v>
      </c>
      <c r="G42" t="s">
        <v>264</v>
      </c>
      <c r="H42" t="s">
        <v>28</v>
      </c>
      <c r="I42" t="s">
        <v>264</v>
      </c>
      <c r="J42" t="s">
        <v>28</v>
      </c>
    </row>
    <row r="43" spans="1:10">
      <c r="A43">
        <v>38</v>
      </c>
      <c r="B43" t="s">
        <v>265</v>
      </c>
      <c r="C43" t="s">
        <v>264</v>
      </c>
      <c r="D43" t="s">
        <v>264</v>
      </c>
      <c r="F43">
        <v>38</v>
      </c>
      <c r="G43" t="s">
        <v>264</v>
      </c>
      <c r="H43" t="s">
        <v>28</v>
      </c>
      <c r="I43" t="s">
        <v>264</v>
      </c>
      <c r="J43" t="s">
        <v>28</v>
      </c>
    </row>
    <row r="44" spans="1:10">
      <c r="A44">
        <v>39</v>
      </c>
      <c r="B44" t="s">
        <v>265</v>
      </c>
      <c r="C44" t="s">
        <v>264</v>
      </c>
      <c r="D44" t="s">
        <v>264</v>
      </c>
      <c r="F44">
        <v>39</v>
      </c>
      <c r="G44" t="s">
        <v>264</v>
      </c>
      <c r="H44" t="s">
        <v>28</v>
      </c>
      <c r="I44" t="s">
        <v>264</v>
      </c>
      <c r="J44" t="s">
        <v>28</v>
      </c>
    </row>
    <row r="45" spans="1:10">
      <c r="A45">
        <v>40</v>
      </c>
      <c r="B45" t="s">
        <v>265</v>
      </c>
      <c r="C45" t="s">
        <v>264</v>
      </c>
      <c r="D45" t="s">
        <v>266</v>
      </c>
      <c r="F45">
        <v>40</v>
      </c>
      <c r="G45" t="s">
        <v>264</v>
      </c>
      <c r="H45" t="s">
        <v>28</v>
      </c>
      <c r="I45" t="s">
        <v>266</v>
      </c>
      <c r="J45" t="s">
        <v>28</v>
      </c>
    </row>
    <row r="46" spans="1:10">
      <c r="A46">
        <v>41</v>
      </c>
      <c r="B46" t="s">
        <v>265</v>
      </c>
      <c r="C46" t="s">
        <v>264</v>
      </c>
      <c r="D46" t="s">
        <v>264</v>
      </c>
      <c r="F46">
        <v>41</v>
      </c>
      <c r="G46" t="s">
        <v>264</v>
      </c>
      <c r="H46" t="s">
        <v>28</v>
      </c>
      <c r="I46" t="s">
        <v>264</v>
      </c>
      <c r="J46" t="s">
        <v>28</v>
      </c>
    </row>
    <row r="47" spans="1:10">
      <c r="A47">
        <v>42</v>
      </c>
      <c r="B47" t="s">
        <v>265</v>
      </c>
      <c r="C47" t="s">
        <v>264</v>
      </c>
      <c r="D47" t="s">
        <v>264</v>
      </c>
      <c r="F47">
        <v>42</v>
      </c>
      <c r="G47" t="s">
        <v>264</v>
      </c>
      <c r="H47" t="s">
        <v>28</v>
      </c>
      <c r="I47" t="s">
        <v>264</v>
      </c>
      <c r="J47" t="s">
        <v>28</v>
      </c>
    </row>
    <row r="48" spans="1:10">
      <c r="A48">
        <v>43</v>
      </c>
      <c r="B48" t="s">
        <v>265</v>
      </c>
      <c r="C48" t="s">
        <v>264</v>
      </c>
      <c r="D48" t="s">
        <v>264</v>
      </c>
      <c r="F48">
        <v>43</v>
      </c>
      <c r="G48" t="s">
        <v>264</v>
      </c>
      <c r="H48" t="s">
        <v>28</v>
      </c>
      <c r="I48" t="s">
        <v>264</v>
      </c>
      <c r="J48" t="s">
        <v>28</v>
      </c>
    </row>
    <row r="49" spans="1:10">
      <c r="A49">
        <v>44</v>
      </c>
      <c r="B49" t="s">
        <v>265</v>
      </c>
      <c r="C49" t="s">
        <v>264</v>
      </c>
      <c r="D49" t="s">
        <v>264</v>
      </c>
      <c r="F49">
        <v>44</v>
      </c>
      <c r="G49" t="s">
        <v>264</v>
      </c>
      <c r="H49" t="s">
        <v>28</v>
      </c>
      <c r="I49" t="s">
        <v>264</v>
      </c>
      <c r="J49" t="s">
        <v>28</v>
      </c>
    </row>
    <row r="50" spans="1:10">
      <c r="A50">
        <v>45</v>
      </c>
      <c r="B50" t="s">
        <v>265</v>
      </c>
      <c r="C50" t="s">
        <v>264</v>
      </c>
      <c r="D50" t="s">
        <v>264</v>
      </c>
      <c r="F50">
        <v>45</v>
      </c>
      <c r="G50" t="s">
        <v>264</v>
      </c>
      <c r="H50" t="s">
        <v>28</v>
      </c>
      <c r="I50" t="s">
        <v>264</v>
      </c>
      <c r="J50" t="s">
        <v>28</v>
      </c>
    </row>
    <row r="51" spans="1:10">
      <c r="A51">
        <v>46</v>
      </c>
      <c r="B51" t="s">
        <v>265</v>
      </c>
      <c r="C51" t="s">
        <v>264</v>
      </c>
      <c r="D51" t="s">
        <v>264</v>
      </c>
      <c r="F51">
        <v>46</v>
      </c>
      <c r="G51" t="s">
        <v>264</v>
      </c>
      <c r="H51" t="s">
        <v>28</v>
      </c>
      <c r="I51" t="s">
        <v>264</v>
      </c>
      <c r="J51" t="s">
        <v>28</v>
      </c>
    </row>
    <row r="52" spans="1:10">
      <c r="A52">
        <v>47</v>
      </c>
      <c r="B52" t="s">
        <v>265</v>
      </c>
      <c r="C52" t="s">
        <v>264</v>
      </c>
      <c r="D52" t="s">
        <v>264</v>
      </c>
      <c r="F52">
        <v>47</v>
      </c>
      <c r="G52" t="s">
        <v>264</v>
      </c>
      <c r="H52" t="s">
        <v>28</v>
      </c>
      <c r="I52" t="s">
        <v>264</v>
      </c>
      <c r="J52" t="s">
        <v>28</v>
      </c>
    </row>
    <row r="53" spans="1:10">
      <c r="A53">
        <v>48</v>
      </c>
      <c r="B53" t="s">
        <v>265</v>
      </c>
      <c r="C53" t="s">
        <v>264</v>
      </c>
      <c r="D53" t="s">
        <v>264</v>
      </c>
      <c r="F53">
        <v>48</v>
      </c>
      <c r="G53" t="s">
        <v>264</v>
      </c>
      <c r="H53" t="s">
        <v>28</v>
      </c>
      <c r="I53" t="s">
        <v>264</v>
      </c>
      <c r="J53" t="s">
        <v>28</v>
      </c>
    </row>
    <row r="54" spans="1:10">
      <c r="A54">
        <v>49</v>
      </c>
      <c r="B54" t="s">
        <v>265</v>
      </c>
      <c r="C54" t="s">
        <v>264</v>
      </c>
      <c r="D54" t="s">
        <v>264</v>
      </c>
      <c r="F54">
        <v>49</v>
      </c>
      <c r="G54" t="s">
        <v>264</v>
      </c>
      <c r="H54" t="s">
        <v>28</v>
      </c>
      <c r="I54" t="s">
        <v>264</v>
      </c>
      <c r="J54" t="s">
        <v>28</v>
      </c>
    </row>
    <row r="55" spans="1:10">
      <c r="A55">
        <v>50</v>
      </c>
      <c r="B55" t="s">
        <v>265</v>
      </c>
      <c r="C55" t="s">
        <v>264</v>
      </c>
      <c r="D55" t="s">
        <v>264</v>
      </c>
      <c r="F55">
        <v>50</v>
      </c>
      <c r="G55" t="s">
        <v>264</v>
      </c>
      <c r="H55" t="s">
        <v>28</v>
      </c>
      <c r="I55" t="s">
        <v>264</v>
      </c>
      <c r="J55" t="s">
        <v>28</v>
      </c>
    </row>
    <row r="56" spans="1:10">
      <c r="A56">
        <v>51</v>
      </c>
      <c r="B56" t="s">
        <v>265</v>
      </c>
      <c r="C56" t="s">
        <v>264</v>
      </c>
      <c r="D56" t="s">
        <v>264</v>
      </c>
      <c r="F56">
        <v>51</v>
      </c>
      <c r="G56" t="s">
        <v>264</v>
      </c>
      <c r="H56" t="s">
        <v>28</v>
      </c>
      <c r="I56" t="s">
        <v>264</v>
      </c>
      <c r="J56" t="s">
        <v>28</v>
      </c>
    </row>
    <row r="57" spans="1:10">
      <c r="A57">
        <v>52</v>
      </c>
      <c r="B57" t="s">
        <v>265</v>
      </c>
      <c r="C57" t="s">
        <v>264</v>
      </c>
      <c r="D57" t="s">
        <v>264</v>
      </c>
      <c r="F57">
        <v>52</v>
      </c>
      <c r="G57" t="s">
        <v>264</v>
      </c>
      <c r="H57" t="s">
        <v>28</v>
      </c>
      <c r="I57" t="s">
        <v>264</v>
      </c>
      <c r="J57" t="s">
        <v>28</v>
      </c>
    </row>
    <row r="58" spans="1:10">
      <c r="A58">
        <v>53</v>
      </c>
      <c r="B58" t="s">
        <v>265</v>
      </c>
      <c r="C58" t="s">
        <v>264</v>
      </c>
      <c r="D58" t="s">
        <v>264</v>
      </c>
      <c r="F58">
        <v>53</v>
      </c>
      <c r="G58" t="s">
        <v>264</v>
      </c>
      <c r="H58" t="s">
        <v>28</v>
      </c>
      <c r="I58" t="s">
        <v>264</v>
      </c>
      <c r="J58" t="s">
        <v>28</v>
      </c>
    </row>
    <row r="59" spans="1:10">
      <c r="A59">
        <v>54</v>
      </c>
      <c r="B59" t="s">
        <v>265</v>
      </c>
      <c r="C59" t="s">
        <v>264</v>
      </c>
      <c r="D59" t="s">
        <v>264</v>
      </c>
      <c r="F59">
        <v>54</v>
      </c>
      <c r="G59" t="s">
        <v>264</v>
      </c>
      <c r="H59" t="s">
        <v>28</v>
      </c>
      <c r="I59" t="s">
        <v>264</v>
      </c>
      <c r="J59" t="s">
        <v>28</v>
      </c>
    </row>
    <row r="60" spans="1:10">
      <c r="A60">
        <v>55</v>
      </c>
      <c r="B60" t="s">
        <v>265</v>
      </c>
      <c r="C60" t="s">
        <v>264</v>
      </c>
      <c r="D60" t="s">
        <v>264</v>
      </c>
      <c r="F60">
        <v>55</v>
      </c>
      <c r="G60" t="s">
        <v>264</v>
      </c>
      <c r="H60" t="s">
        <v>29</v>
      </c>
    </row>
    <row r="61" spans="1:10">
      <c r="A61" t="s">
        <v>267</v>
      </c>
      <c r="C61">
        <v>55</v>
      </c>
      <c r="D61">
        <v>54</v>
      </c>
    </row>
    <row r="62" spans="1:10">
      <c r="A62" t="s">
        <v>268</v>
      </c>
      <c r="G62" t="s">
        <v>269</v>
      </c>
      <c r="H62" t="s">
        <v>269</v>
      </c>
      <c r="I62" t="s">
        <v>269</v>
      </c>
      <c r="J62" t="s">
        <v>269</v>
      </c>
    </row>
    <row r="63" spans="1:10">
      <c r="A63">
        <v>0.81666666666666665</v>
      </c>
      <c r="B63" t="s">
        <v>270</v>
      </c>
      <c r="C63">
        <v>0.92708333333333337</v>
      </c>
      <c r="D63" t="s">
        <v>257</v>
      </c>
      <c r="G63">
        <v>0.96491228070175439</v>
      </c>
      <c r="H63">
        <v>0.9285714285714286</v>
      </c>
      <c r="I63">
        <v>0.9464285714285714</v>
      </c>
      <c r="J63">
        <v>0.96363636363636362</v>
      </c>
    </row>
    <row r="66" spans="1:3">
      <c r="A66" t="s">
        <v>271</v>
      </c>
      <c r="B66" t="s">
        <v>261</v>
      </c>
      <c r="C66" t="s">
        <v>251</v>
      </c>
    </row>
    <row r="67" spans="1:3">
      <c r="A67" t="s">
        <v>272</v>
      </c>
      <c r="B67">
        <v>3.96</v>
      </c>
      <c r="C67">
        <v>3.97</v>
      </c>
    </row>
    <row r="68" spans="1:3">
      <c r="A68" t="s">
        <v>273</v>
      </c>
      <c r="B68">
        <v>3.91</v>
      </c>
      <c r="C68">
        <v>3.97</v>
      </c>
    </row>
    <row r="69" spans="1:3">
      <c r="A69" t="s">
        <v>274</v>
      </c>
      <c r="B69" s="8">
        <v>0.79236111111111107</v>
      </c>
      <c r="C69" s="8">
        <v>0.91180555555555554</v>
      </c>
    </row>
    <row r="70" spans="1:3">
      <c r="A70" t="s">
        <v>275</v>
      </c>
      <c r="B70" s="8">
        <v>0.81666666666666665</v>
      </c>
      <c r="C70" s="8">
        <v>0.92708333333333337</v>
      </c>
    </row>
    <row r="71" spans="1:3">
      <c r="A71" t="s">
        <v>276</v>
      </c>
      <c r="B71" s="8">
        <v>2.430555555555558E-2</v>
      </c>
      <c r="C71" s="8">
        <v>1.5277777777777835E-2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5"/>
  <sheetViews>
    <sheetView workbookViewId="0">
      <selection activeCell="I13" sqref="I13"/>
    </sheetView>
  </sheetViews>
  <sheetFormatPr baseColWidth="10" defaultColWidth="9" defaultRowHeight="14.25"/>
  <cols>
    <col min="1" max="1" width="27.875" customWidth="1"/>
    <col min="2" max="2" width="25.375" customWidth="1"/>
    <col min="10" max="10" width="22" customWidth="1"/>
  </cols>
  <sheetData>
    <row r="1" spans="1:11">
      <c r="A1" t="s">
        <v>277</v>
      </c>
      <c r="B1" t="s">
        <v>278</v>
      </c>
      <c r="C1" t="s">
        <v>279</v>
      </c>
      <c r="D1" t="s">
        <v>280</v>
      </c>
      <c r="E1" t="s">
        <v>281</v>
      </c>
      <c r="F1" t="s">
        <v>282</v>
      </c>
      <c r="G1" t="s">
        <v>283</v>
      </c>
      <c r="H1" t="s">
        <v>284</v>
      </c>
      <c r="I1" t="s">
        <v>285</v>
      </c>
      <c r="J1" t="s">
        <v>286</v>
      </c>
      <c r="K1" t="s">
        <v>287</v>
      </c>
    </row>
    <row r="2" spans="1:11">
      <c r="A2" t="s">
        <v>288</v>
      </c>
      <c r="B2">
        <v>86</v>
      </c>
      <c r="C2" t="s">
        <v>289</v>
      </c>
      <c r="D2">
        <v>46193.860265219897</v>
      </c>
      <c r="E2">
        <v>1.398583333333334</v>
      </c>
      <c r="F2">
        <v>0</v>
      </c>
      <c r="G2">
        <v>0</v>
      </c>
      <c r="I2">
        <v>1012.39</v>
      </c>
      <c r="J2">
        <v>0.01</v>
      </c>
      <c r="K2">
        <v>27.97</v>
      </c>
    </row>
    <row r="3" spans="1:11">
      <c r="A3" t="s">
        <v>290</v>
      </c>
      <c r="B3">
        <v>37</v>
      </c>
      <c r="C3" t="s">
        <v>291</v>
      </c>
      <c r="D3">
        <v>46193.865928125</v>
      </c>
      <c r="E3">
        <v>0.60316666666666663</v>
      </c>
      <c r="F3">
        <v>0</v>
      </c>
      <c r="G3">
        <v>0</v>
      </c>
      <c r="I3">
        <v>1012.46</v>
      </c>
      <c r="J3">
        <v>0</v>
      </c>
      <c r="K3">
        <v>28.3</v>
      </c>
    </row>
    <row r="4" spans="1:11">
      <c r="A4" t="s">
        <v>292</v>
      </c>
      <c r="B4">
        <v>29</v>
      </c>
      <c r="C4" t="s">
        <v>293</v>
      </c>
      <c r="D4">
        <v>46193.849329780103</v>
      </c>
      <c r="E4">
        <v>0.46821666666666673</v>
      </c>
      <c r="F4">
        <v>0</v>
      </c>
      <c r="G4">
        <v>0</v>
      </c>
      <c r="I4">
        <v>1012.16</v>
      </c>
      <c r="J4">
        <v>0.02</v>
      </c>
      <c r="K4">
        <v>27.45</v>
      </c>
    </row>
    <row r="5" spans="1:11">
      <c r="A5" t="s">
        <v>294</v>
      </c>
      <c r="B5">
        <v>22</v>
      </c>
      <c r="C5" t="s">
        <v>295</v>
      </c>
      <c r="D5">
        <v>46195.548033449071</v>
      </c>
      <c r="E5">
        <v>0.35149999999999998</v>
      </c>
      <c r="F5">
        <v>1</v>
      </c>
      <c r="G5">
        <v>1</v>
      </c>
      <c r="I5">
        <v>1022.28</v>
      </c>
      <c r="J5">
        <v>2.37</v>
      </c>
      <c r="K5">
        <v>25.13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83"/>
  <sheetViews>
    <sheetView workbookViewId="0">
      <selection activeCell="D23" sqref="D23"/>
    </sheetView>
  </sheetViews>
  <sheetFormatPr baseColWidth="10" defaultColWidth="9" defaultRowHeight="14.25"/>
  <cols>
    <col min="1" max="1" width="24" customWidth="1"/>
    <col min="2" max="2" width="18.875" customWidth="1"/>
    <col min="3" max="3" width="17" customWidth="1"/>
    <col min="4" max="4" width="33.875" style="2" customWidth="1"/>
    <col min="5" max="5" width="33.875" customWidth="1"/>
    <col min="6" max="6" width="26" style="2" customWidth="1"/>
    <col min="8" max="8" width="19.625" customWidth="1"/>
    <col min="15" max="15" width="14.125" customWidth="1"/>
    <col min="17" max="17" width="35.5" customWidth="1"/>
  </cols>
  <sheetData>
    <row r="1" spans="1:17">
      <c r="A1" t="s">
        <v>277</v>
      </c>
      <c r="B1" t="s">
        <v>278</v>
      </c>
      <c r="C1" t="s">
        <v>279</v>
      </c>
      <c r="D1" s="2" t="s">
        <v>280</v>
      </c>
      <c r="E1" t="s">
        <v>569</v>
      </c>
      <c r="F1" s="2" t="s">
        <v>306</v>
      </c>
      <c r="G1" t="s">
        <v>281</v>
      </c>
      <c r="H1" t="s">
        <v>296</v>
      </c>
      <c r="I1" t="s">
        <v>284</v>
      </c>
      <c r="J1" t="s">
        <v>283</v>
      </c>
      <c r="K1" t="s">
        <v>297</v>
      </c>
      <c r="L1" t="s">
        <v>298</v>
      </c>
      <c r="M1" t="s">
        <v>299</v>
      </c>
      <c r="N1" t="s">
        <v>282</v>
      </c>
      <c r="O1" t="s">
        <v>285</v>
      </c>
      <c r="P1" t="s">
        <v>286</v>
      </c>
      <c r="Q1" t="s">
        <v>300</v>
      </c>
    </row>
    <row r="2" spans="1:17">
      <c r="A2" t="s">
        <v>288</v>
      </c>
      <c r="B2">
        <v>41</v>
      </c>
      <c r="C2" s="7">
        <v>46193.859027777777</v>
      </c>
      <c r="D2" s="2">
        <f>C2+((F2-E2)/86400000)</f>
        <v>46193.859478784718</v>
      </c>
      <c r="E2">
        <v>3067186</v>
      </c>
      <c r="F2">
        <v>3106153</v>
      </c>
      <c r="G2">
        <f>(F2-E2)/60000</f>
        <v>0.64944999999999997</v>
      </c>
      <c r="H2" t="s">
        <v>301</v>
      </c>
      <c r="I2">
        <v>4</v>
      </c>
      <c r="J2">
        <v>4</v>
      </c>
      <c r="K2">
        <v>0</v>
      </c>
      <c r="L2">
        <v>0</v>
      </c>
      <c r="M2" s="1" t="b">
        <v>1</v>
      </c>
      <c r="O2">
        <v>1010.62</v>
      </c>
      <c r="P2">
        <v>77</v>
      </c>
      <c r="Q2">
        <v>63.61</v>
      </c>
    </row>
    <row r="3" spans="1:17">
      <c r="A3" t="s">
        <v>288</v>
      </c>
      <c r="B3">
        <v>69</v>
      </c>
      <c r="C3" s="7">
        <v>46193.859027777777</v>
      </c>
      <c r="D3" s="2">
        <f t="shared" ref="D3:D66" si="0">C3+((F3-E3)/86400000)</f>
        <v>46193.859795983793</v>
      </c>
      <c r="E3">
        <v>3067186</v>
      </c>
      <c r="F3">
        <v>3133559</v>
      </c>
      <c r="G3">
        <f>(F3-E3)/60000</f>
        <v>1.1062166666666666</v>
      </c>
      <c r="H3" t="s">
        <v>301</v>
      </c>
      <c r="I3">
        <v>0</v>
      </c>
      <c r="J3">
        <v>4</v>
      </c>
      <c r="K3">
        <v>4</v>
      </c>
      <c r="L3">
        <v>4</v>
      </c>
      <c r="M3" s="1" t="b">
        <v>0</v>
      </c>
      <c r="O3">
        <v>1012.38</v>
      </c>
      <c r="P3">
        <v>62.36</v>
      </c>
      <c r="Q3">
        <v>48.97</v>
      </c>
    </row>
    <row r="4" spans="1:17">
      <c r="A4" t="s">
        <v>288</v>
      </c>
      <c r="B4">
        <v>90</v>
      </c>
      <c r="C4" s="7">
        <v>46193.859027777777</v>
      </c>
      <c r="D4" s="2">
        <f t="shared" si="0"/>
        <v>46193.860041064814</v>
      </c>
      <c r="E4">
        <v>3067186</v>
      </c>
      <c r="F4">
        <v>3154734</v>
      </c>
      <c r="G4">
        <f t="shared" ref="G4:G67" si="1">(F4-E4)/60000</f>
        <v>1.4591333333333334</v>
      </c>
      <c r="H4" t="s">
        <v>302</v>
      </c>
      <c r="I4">
        <v>0</v>
      </c>
      <c r="J4">
        <v>0</v>
      </c>
      <c r="K4">
        <v>0</v>
      </c>
      <c r="L4">
        <v>0</v>
      </c>
      <c r="M4" s="1" t="b">
        <v>1</v>
      </c>
      <c r="O4">
        <v>1012.38</v>
      </c>
      <c r="P4">
        <v>0.1</v>
      </c>
      <c r="Q4">
        <v>0.1</v>
      </c>
    </row>
    <row r="5" spans="1:17">
      <c r="A5" t="s">
        <v>288</v>
      </c>
      <c r="B5">
        <v>100</v>
      </c>
      <c r="C5" s="7">
        <v>46193.859027777777</v>
      </c>
      <c r="D5" s="2">
        <f t="shared" si="0"/>
        <v>46193.860147905092</v>
      </c>
      <c r="E5">
        <v>3067186</v>
      </c>
      <c r="F5">
        <v>3163965</v>
      </c>
      <c r="G5">
        <f t="shared" si="1"/>
        <v>1.6129833333333334</v>
      </c>
      <c r="H5" t="s">
        <v>302</v>
      </c>
      <c r="I5">
        <v>0</v>
      </c>
      <c r="J5">
        <v>0</v>
      </c>
      <c r="K5">
        <v>0</v>
      </c>
      <c r="L5">
        <v>0</v>
      </c>
      <c r="M5" s="1" t="b">
        <v>1</v>
      </c>
      <c r="O5">
        <v>1012.37</v>
      </c>
      <c r="P5">
        <v>0.17</v>
      </c>
      <c r="Q5">
        <v>0.17</v>
      </c>
    </row>
    <row r="6" spans="1:17">
      <c r="A6" t="s">
        <v>288</v>
      </c>
      <c r="B6">
        <v>224</v>
      </c>
      <c r="C6" s="7">
        <v>46193.859027777777</v>
      </c>
      <c r="D6" s="2">
        <f t="shared" si="0"/>
        <v>46193.861588692125</v>
      </c>
      <c r="E6">
        <v>3067186</v>
      </c>
      <c r="F6">
        <v>3288449</v>
      </c>
      <c r="G6">
        <f t="shared" si="1"/>
        <v>3.6877166666666668</v>
      </c>
      <c r="H6" t="s">
        <v>302</v>
      </c>
      <c r="I6">
        <v>0</v>
      </c>
      <c r="J6">
        <v>0</v>
      </c>
      <c r="K6">
        <v>0</v>
      </c>
      <c r="L6">
        <v>0</v>
      </c>
      <c r="M6" s="1" t="b">
        <v>1</v>
      </c>
      <c r="O6">
        <v>1012.42</v>
      </c>
    </row>
    <row r="7" spans="1:17">
      <c r="A7" t="s">
        <v>288</v>
      </c>
      <c r="B7">
        <v>344</v>
      </c>
      <c r="C7" s="7">
        <v>46193.859027777777</v>
      </c>
      <c r="D7" s="2">
        <f t="shared" si="0"/>
        <v>46193.862980046295</v>
      </c>
      <c r="E7">
        <v>3067186</v>
      </c>
      <c r="F7">
        <v>3408662</v>
      </c>
      <c r="G7">
        <f t="shared" si="1"/>
        <v>5.6912666666666665</v>
      </c>
      <c r="H7" t="s">
        <v>302</v>
      </c>
      <c r="I7">
        <v>0</v>
      </c>
      <c r="J7">
        <v>0</v>
      </c>
      <c r="K7">
        <v>0</v>
      </c>
      <c r="L7">
        <v>0</v>
      </c>
      <c r="M7" s="1" t="b">
        <v>1</v>
      </c>
      <c r="O7">
        <v>1012.45</v>
      </c>
    </row>
    <row r="8" spans="1:17">
      <c r="A8" t="s">
        <v>290</v>
      </c>
      <c r="B8">
        <v>70</v>
      </c>
      <c r="C8" s="7">
        <v>46193.86550925926</v>
      </c>
      <c r="D8" s="2">
        <f t="shared" si="0"/>
        <v>46193.866310659723</v>
      </c>
      <c r="E8">
        <v>3752348</v>
      </c>
      <c r="F8">
        <v>3821589</v>
      </c>
      <c r="G8">
        <f t="shared" si="1"/>
        <v>1.1540166666666667</v>
      </c>
      <c r="H8" t="s">
        <v>302</v>
      </c>
      <c r="I8">
        <v>0</v>
      </c>
      <c r="J8">
        <v>0</v>
      </c>
      <c r="K8">
        <v>0</v>
      </c>
      <c r="L8">
        <v>0</v>
      </c>
      <c r="M8" s="1" t="b">
        <v>1</v>
      </c>
      <c r="O8">
        <v>1012.48</v>
      </c>
    </row>
    <row r="9" spans="1:17">
      <c r="A9" t="s">
        <v>290</v>
      </c>
      <c r="B9">
        <v>81</v>
      </c>
      <c r="C9" s="7">
        <v>46193.86550925926</v>
      </c>
      <c r="D9" s="2">
        <f t="shared" si="0"/>
        <v>46193.86643037037</v>
      </c>
      <c r="E9">
        <v>3752348</v>
      </c>
      <c r="F9">
        <v>3831932</v>
      </c>
      <c r="G9">
        <f t="shared" si="1"/>
        <v>1.3264</v>
      </c>
      <c r="H9" t="s">
        <v>302</v>
      </c>
      <c r="I9">
        <v>0</v>
      </c>
      <c r="J9">
        <v>0</v>
      </c>
      <c r="K9">
        <v>0</v>
      </c>
      <c r="L9">
        <v>0</v>
      </c>
      <c r="M9" s="1" t="b">
        <v>1</v>
      </c>
      <c r="O9">
        <v>1012.47</v>
      </c>
    </row>
    <row r="10" spans="1:17">
      <c r="A10" t="s">
        <v>290</v>
      </c>
      <c r="B10">
        <v>112</v>
      </c>
      <c r="C10" s="7">
        <v>46193.86550925926</v>
      </c>
      <c r="D10" s="2">
        <f t="shared" si="0"/>
        <v>46193.866792037035</v>
      </c>
      <c r="E10">
        <v>3752348</v>
      </c>
      <c r="F10">
        <v>3863180</v>
      </c>
      <c r="G10">
        <f t="shared" si="1"/>
        <v>1.8472</v>
      </c>
      <c r="H10" t="s">
        <v>302</v>
      </c>
      <c r="I10">
        <v>1</v>
      </c>
      <c r="J10">
        <v>1</v>
      </c>
      <c r="K10">
        <v>0</v>
      </c>
      <c r="L10">
        <v>0</v>
      </c>
      <c r="M10" s="1" t="b">
        <v>1</v>
      </c>
      <c r="O10">
        <v>1012.09</v>
      </c>
      <c r="P10">
        <v>3.24</v>
      </c>
      <c r="Q10">
        <v>0.84</v>
      </c>
    </row>
    <row r="11" spans="1:17">
      <c r="A11" t="s">
        <v>290</v>
      </c>
      <c r="B11">
        <v>125</v>
      </c>
      <c r="C11" s="7">
        <v>46193.86550925926</v>
      </c>
      <c r="D11" s="2">
        <f t="shared" si="0"/>
        <v>46193.866934259262</v>
      </c>
      <c r="E11">
        <v>3752348</v>
      </c>
      <c r="F11">
        <v>3875468</v>
      </c>
      <c r="G11">
        <f t="shared" si="1"/>
        <v>2.052</v>
      </c>
      <c r="H11" t="s">
        <v>302</v>
      </c>
      <c r="I11">
        <v>1</v>
      </c>
      <c r="J11">
        <v>1</v>
      </c>
      <c r="K11">
        <v>0</v>
      </c>
      <c r="L11">
        <v>0</v>
      </c>
      <c r="M11" s="1" t="b">
        <v>1</v>
      </c>
      <c r="O11">
        <v>1012.1</v>
      </c>
      <c r="P11">
        <v>3.12</v>
      </c>
      <c r="Q11">
        <v>0.72</v>
      </c>
    </row>
    <row r="12" spans="1:17">
      <c r="A12" t="s">
        <v>290</v>
      </c>
      <c r="B12">
        <v>143</v>
      </c>
      <c r="C12" s="7">
        <v>46193.86550925926</v>
      </c>
      <c r="D12" s="2">
        <f t="shared" si="0"/>
        <v>46193.867139594906</v>
      </c>
      <c r="E12">
        <v>3752348</v>
      </c>
      <c r="F12">
        <v>3893209</v>
      </c>
      <c r="G12">
        <f t="shared" si="1"/>
        <v>2.3476833333333333</v>
      </c>
      <c r="H12" t="s">
        <v>302</v>
      </c>
      <c r="I12">
        <v>2</v>
      </c>
      <c r="J12">
        <v>2</v>
      </c>
      <c r="K12">
        <v>0</v>
      </c>
      <c r="L12">
        <v>0</v>
      </c>
      <c r="M12" s="1" t="b">
        <v>1</v>
      </c>
      <c r="O12">
        <v>1011.66</v>
      </c>
      <c r="P12">
        <v>6.83</v>
      </c>
      <c r="Q12">
        <v>0.97</v>
      </c>
    </row>
    <row r="13" spans="1:17">
      <c r="A13" t="s">
        <v>290</v>
      </c>
      <c r="B13">
        <v>146</v>
      </c>
      <c r="C13" s="7">
        <v>46193.86550925926</v>
      </c>
      <c r="D13" s="2">
        <f t="shared" si="0"/>
        <v>46193.867167615739</v>
      </c>
      <c r="E13">
        <v>3752348</v>
      </c>
      <c r="F13">
        <v>3895630</v>
      </c>
      <c r="G13">
        <f t="shared" si="1"/>
        <v>2.3880333333333335</v>
      </c>
      <c r="H13" t="s">
        <v>302</v>
      </c>
      <c r="I13">
        <v>2</v>
      </c>
      <c r="J13">
        <v>2</v>
      </c>
      <c r="K13">
        <v>0</v>
      </c>
      <c r="L13">
        <v>0</v>
      </c>
      <c r="M13" s="1" t="b">
        <v>1</v>
      </c>
      <c r="O13">
        <v>1011.65</v>
      </c>
      <c r="P13">
        <v>6.88</v>
      </c>
      <c r="Q13">
        <v>1.02</v>
      </c>
    </row>
    <row r="14" spans="1:17">
      <c r="A14" t="s">
        <v>290</v>
      </c>
      <c r="B14">
        <v>160</v>
      </c>
      <c r="C14" s="7">
        <v>46193.86550925926</v>
      </c>
      <c r="D14" s="2">
        <f t="shared" si="0"/>
        <v>46193.867321423611</v>
      </c>
      <c r="E14">
        <v>3752348</v>
      </c>
      <c r="F14">
        <v>3908919</v>
      </c>
      <c r="G14">
        <f t="shared" si="1"/>
        <v>2.6095166666666665</v>
      </c>
      <c r="H14" t="s">
        <v>302</v>
      </c>
      <c r="I14">
        <v>2</v>
      </c>
      <c r="J14">
        <v>2</v>
      </c>
      <c r="K14">
        <v>0</v>
      </c>
      <c r="L14">
        <v>0</v>
      </c>
      <c r="M14" s="1" t="b">
        <v>1</v>
      </c>
      <c r="O14">
        <v>1011.65</v>
      </c>
      <c r="P14">
        <v>6.93</v>
      </c>
      <c r="Q14">
        <v>1.07</v>
      </c>
    </row>
    <row r="15" spans="1:17">
      <c r="A15" t="s">
        <v>290</v>
      </c>
      <c r="B15">
        <v>181</v>
      </c>
      <c r="C15" s="7">
        <v>46193.86550925926</v>
      </c>
      <c r="D15" s="2">
        <f t="shared" si="0"/>
        <v>46193.867560324077</v>
      </c>
      <c r="E15">
        <v>3752348</v>
      </c>
      <c r="F15">
        <v>3929560</v>
      </c>
      <c r="G15">
        <f t="shared" si="1"/>
        <v>2.9535333333333331</v>
      </c>
      <c r="H15" t="s">
        <v>302</v>
      </c>
      <c r="I15">
        <v>3</v>
      </c>
      <c r="J15">
        <v>3</v>
      </c>
      <c r="K15">
        <v>0</v>
      </c>
      <c r="L15">
        <v>0</v>
      </c>
      <c r="M15" s="1" t="b">
        <v>1</v>
      </c>
      <c r="O15">
        <v>1011.21</v>
      </c>
      <c r="P15">
        <v>10.57</v>
      </c>
      <c r="Q15">
        <v>0.86</v>
      </c>
    </row>
    <row r="16" spans="1:17">
      <c r="A16" t="s">
        <v>290</v>
      </c>
      <c r="B16">
        <v>206</v>
      </c>
      <c r="C16" s="7">
        <v>46193.86550925926</v>
      </c>
      <c r="D16" s="2">
        <f t="shared" si="0"/>
        <v>46193.867846365742</v>
      </c>
      <c r="E16">
        <v>3752348</v>
      </c>
      <c r="F16">
        <v>3954274</v>
      </c>
      <c r="G16">
        <f t="shared" si="1"/>
        <v>3.3654333333333333</v>
      </c>
      <c r="H16" t="s">
        <v>302</v>
      </c>
      <c r="I16">
        <v>4</v>
      </c>
      <c r="J16">
        <v>4</v>
      </c>
      <c r="K16">
        <v>0</v>
      </c>
      <c r="L16">
        <v>0</v>
      </c>
      <c r="M16" s="1" t="b">
        <v>1</v>
      </c>
      <c r="O16">
        <v>1010.76</v>
      </c>
      <c r="P16">
        <v>14.3</v>
      </c>
      <c r="Q16">
        <v>0.81</v>
      </c>
    </row>
    <row r="17" spans="1:17">
      <c r="A17" t="s">
        <v>292</v>
      </c>
      <c r="B17">
        <v>53</v>
      </c>
      <c r="C17" s="7">
        <v>46193.849004629628</v>
      </c>
      <c r="D17" s="2">
        <f t="shared" si="0"/>
        <v>46193.849606493051</v>
      </c>
      <c r="E17">
        <v>2283808</v>
      </c>
      <c r="F17">
        <v>2335809</v>
      </c>
      <c r="G17">
        <f t="shared" si="1"/>
        <v>0.86668333333333336</v>
      </c>
      <c r="H17" t="s">
        <v>302</v>
      </c>
      <c r="I17">
        <v>0</v>
      </c>
      <c r="J17">
        <v>0</v>
      </c>
      <c r="K17">
        <v>0</v>
      </c>
      <c r="L17">
        <v>0</v>
      </c>
      <c r="M17" s="1" t="b">
        <v>1</v>
      </c>
      <c r="O17">
        <v>1012.15</v>
      </c>
      <c r="P17">
        <v>0.05</v>
      </c>
      <c r="Q17">
        <v>0.05</v>
      </c>
    </row>
    <row r="18" spans="1:17">
      <c r="A18" t="s">
        <v>292</v>
      </c>
      <c r="B18">
        <v>82</v>
      </c>
      <c r="C18" s="7">
        <v>46193.849004629628</v>
      </c>
      <c r="D18" s="2">
        <f t="shared" si="0"/>
        <v>46193.849940104163</v>
      </c>
      <c r="E18">
        <v>2283808</v>
      </c>
      <c r="F18">
        <v>2364633</v>
      </c>
      <c r="G18">
        <f t="shared" si="1"/>
        <v>1.3470833333333334</v>
      </c>
      <c r="H18" t="s">
        <v>302</v>
      </c>
      <c r="I18">
        <v>4</v>
      </c>
      <c r="J18">
        <v>4</v>
      </c>
      <c r="K18">
        <v>0</v>
      </c>
      <c r="L18">
        <v>0</v>
      </c>
      <c r="M18" s="1" t="b">
        <v>1</v>
      </c>
      <c r="O18">
        <v>1010.44</v>
      </c>
      <c r="P18">
        <v>14.38</v>
      </c>
      <c r="Q18">
        <v>0.89</v>
      </c>
    </row>
    <row r="19" spans="1:17">
      <c r="A19" t="s">
        <v>292</v>
      </c>
      <c r="B19">
        <v>88</v>
      </c>
      <c r="C19" s="7">
        <v>46193.849004629628</v>
      </c>
      <c r="D19" s="2">
        <f t="shared" si="0"/>
        <v>46193.85000460648</v>
      </c>
      <c r="E19">
        <v>2283808</v>
      </c>
      <c r="F19">
        <v>2370206</v>
      </c>
      <c r="G19">
        <f t="shared" si="1"/>
        <v>1.4399666666666666</v>
      </c>
      <c r="H19" t="s">
        <v>302</v>
      </c>
      <c r="I19">
        <v>4</v>
      </c>
      <c r="J19">
        <v>4</v>
      </c>
      <c r="K19">
        <v>0</v>
      </c>
      <c r="L19">
        <v>0</v>
      </c>
      <c r="M19" s="1" t="b">
        <v>1</v>
      </c>
      <c r="O19">
        <v>1010.43</v>
      </c>
      <c r="P19">
        <v>14.41</v>
      </c>
      <c r="Q19">
        <v>0.92</v>
      </c>
    </row>
    <row r="20" spans="1:17">
      <c r="A20" t="s">
        <v>292</v>
      </c>
      <c r="B20">
        <v>92</v>
      </c>
      <c r="C20" s="7">
        <v>46193.849004629628</v>
      </c>
      <c r="D20" s="2">
        <f t="shared" si="0"/>
        <v>46193.850041759259</v>
      </c>
      <c r="E20">
        <v>2283808</v>
      </c>
      <c r="F20">
        <v>2373416</v>
      </c>
      <c r="G20">
        <f t="shared" si="1"/>
        <v>1.4934666666666667</v>
      </c>
      <c r="H20" t="s">
        <v>302</v>
      </c>
      <c r="I20">
        <v>4</v>
      </c>
      <c r="J20">
        <v>4</v>
      </c>
      <c r="K20">
        <v>0</v>
      </c>
      <c r="L20">
        <v>0</v>
      </c>
      <c r="M20" s="1" t="b">
        <v>1</v>
      </c>
      <c r="O20">
        <v>1010.42</v>
      </c>
      <c r="P20">
        <v>14.52</v>
      </c>
      <c r="Q20">
        <v>1.02</v>
      </c>
    </row>
    <row r="21" spans="1:17">
      <c r="A21" t="s">
        <v>292</v>
      </c>
      <c r="B21">
        <v>115</v>
      </c>
      <c r="C21" s="7">
        <v>46193.849004629628</v>
      </c>
      <c r="D21" s="2">
        <f t="shared" si="0"/>
        <v>46193.850300937498</v>
      </c>
      <c r="E21">
        <v>2283808</v>
      </c>
      <c r="F21">
        <v>2395809</v>
      </c>
      <c r="G21">
        <f t="shared" si="1"/>
        <v>1.8666833333333333</v>
      </c>
      <c r="H21" t="s">
        <v>302</v>
      </c>
      <c r="I21">
        <v>3</v>
      </c>
      <c r="J21">
        <v>3</v>
      </c>
      <c r="K21">
        <v>0</v>
      </c>
      <c r="L21">
        <v>0</v>
      </c>
      <c r="M21" s="1" t="b">
        <v>1</v>
      </c>
      <c r="O21">
        <v>1010.87</v>
      </c>
      <c r="P21">
        <v>10.78</v>
      </c>
      <c r="Q21">
        <v>1.07</v>
      </c>
    </row>
    <row r="22" spans="1:17">
      <c r="A22" t="s">
        <v>292</v>
      </c>
      <c r="B22">
        <v>119</v>
      </c>
      <c r="C22" s="7">
        <v>46193.849004629628</v>
      </c>
      <c r="D22" s="2">
        <f t="shared" si="0"/>
        <v>46193.850337939817</v>
      </c>
      <c r="E22">
        <v>2283808</v>
      </c>
      <c r="F22">
        <v>2399006</v>
      </c>
      <c r="G22">
        <f t="shared" si="1"/>
        <v>1.9199666666666666</v>
      </c>
      <c r="H22" t="s">
        <v>302</v>
      </c>
      <c r="I22">
        <v>3</v>
      </c>
      <c r="J22">
        <v>3</v>
      </c>
      <c r="K22">
        <v>0</v>
      </c>
      <c r="L22">
        <v>0</v>
      </c>
      <c r="M22" s="1" t="b">
        <v>1</v>
      </c>
      <c r="O22">
        <v>1010.87</v>
      </c>
      <c r="P22">
        <v>10.73</v>
      </c>
      <c r="Q22">
        <v>1.01</v>
      </c>
    </row>
    <row r="23" spans="1:17">
      <c r="A23" t="s">
        <v>292</v>
      </c>
      <c r="B23">
        <v>123</v>
      </c>
      <c r="C23" s="7">
        <v>46193.849004629628</v>
      </c>
      <c r="D23" s="2">
        <f t="shared" si="0"/>
        <v>46193.850375162037</v>
      </c>
      <c r="E23">
        <v>2283808</v>
      </c>
      <c r="F23">
        <v>2402222</v>
      </c>
      <c r="G23">
        <f t="shared" si="1"/>
        <v>1.9735666666666667</v>
      </c>
      <c r="H23" t="s">
        <v>302</v>
      </c>
      <c r="I23">
        <v>3</v>
      </c>
      <c r="J23">
        <v>3</v>
      </c>
      <c r="K23">
        <v>0</v>
      </c>
      <c r="L23">
        <v>0</v>
      </c>
      <c r="M23" s="1" t="b">
        <v>1</v>
      </c>
      <c r="O23">
        <v>1010.87</v>
      </c>
      <c r="P23">
        <v>10.76</v>
      </c>
      <c r="Q23">
        <v>1.05</v>
      </c>
    </row>
    <row r="24" spans="1:17">
      <c r="A24" t="s">
        <v>292</v>
      </c>
      <c r="B24">
        <v>130</v>
      </c>
      <c r="C24" s="7">
        <v>46193.849004629628</v>
      </c>
      <c r="D24" s="2">
        <f t="shared" si="0"/>
        <v>46193.850448645833</v>
      </c>
      <c r="E24">
        <v>2283808</v>
      </c>
      <c r="F24">
        <v>2408571</v>
      </c>
      <c r="G24">
        <f t="shared" si="1"/>
        <v>2.0793833333333334</v>
      </c>
      <c r="H24" t="s">
        <v>302</v>
      </c>
      <c r="I24">
        <v>3</v>
      </c>
      <c r="J24">
        <v>3</v>
      </c>
      <c r="K24">
        <v>0</v>
      </c>
      <c r="L24">
        <v>0</v>
      </c>
      <c r="M24" s="1" t="b">
        <v>1</v>
      </c>
      <c r="O24">
        <v>1010.88</v>
      </c>
      <c r="P24">
        <v>10.67</v>
      </c>
      <c r="Q24">
        <v>0.96</v>
      </c>
    </row>
    <row r="25" spans="1:17">
      <c r="A25" t="s">
        <v>292</v>
      </c>
      <c r="B25">
        <v>157</v>
      </c>
      <c r="C25" s="7">
        <v>46193.849004629628</v>
      </c>
      <c r="D25" s="2">
        <f t="shared" si="0"/>
        <v>46193.850754247687</v>
      </c>
      <c r="E25">
        <v>2283808</v>
      </c>
      <c r="F25">
        <v>2434975</v>
      </c>
      <c r="G25">
        <f t="shared" si="1"/>
        <v>2.51945</v>
      </c>
      <c r="H25" t="s">
        <v>302</v>
      </c>
      <c r="I25">
        <v>2</v>
      </c>
      <c r="J25">
        <v>2</v>
      </c>
      <c r="K25">
        <v>0</v>
      </c>
      <c r="L25">
        <v>0</v>
      </c>
      <c r="M25" s="1" t="b">
        <v>1</v>
      </c>
      <c r="O25">
        <v>1011.33</v>
      </c>
      <c r="P25">
        <v>6.96</v>
      </c>
      <c r="Q25">
        <v>1.1000000000000001</v>
      </c>
    </row>
    <row r="26" spans="1:17">
      <c r="A26" t="s">
        <v>292</v>
      </c>
      <c r="B26">
        <v>180</v>
      </c>
      <c r="C26" s="7">
        <v>46193.849004629628</v>
      </c>
      <c r="D26" s="2">
        <f t="shared" si="0"/>
        <v>46193.85101450231</v>
      </c>
      <c r="E26">
        <v>2283808</v>
      </c>
      <c r="F26">
        <v>2457461</v>
      </c>
      <c r="G26">
        <f t="shared" si="1"/>
        <v>2.8942166666666669</v>
      </c>
      <c r="H26" t="s">
        <v>302</v>
      </c>
      <c r="I26">
        <v>1</v>
      </c>
      <c r="J26">
        <v>1</v>
      </c>
      <c r="K26">
        <v>0</v>
      </c>
      <c r="L26">
        <v>0</v>
      </c>
      <c r="M26" s="1" t="b">
        <v>1</v>
      </c>
      <c r="O26">
        <v>1011.8</v>
      </c>
      <c r="P26">
        <v>3.02</v>
      </c>
      <c r="Q26">
        <v>0.62</v>
      </c>
    </row>
    <row r="27" spans="1:17">
      <c r="A27" t="s">
        <v>292</v>
      </c>
      <c r="B27">
        <v>184</v>
      </c>
      <c r="C27" s="7">
        <v>46193.849004629628</v>
      </c>
      <c r="D27" s="2">
        <f t="shared" si="0"/>
        <v>46193.851051678241</v>
      </c>
      <c r="E27">
        <v>2283808</v>
      </c>
      <c r="F27">
        <v>2460673</v>
      </c>
      <c r="G27">
        <f t="shared" si="1"/>
        <v>2.9477500000000001</v>
      </c>
      <c r="H27" t="s">
        <v>302</v>
      </c>
      <c r="I27">
        <v>1</v>
      </c>
      <c r="J27">
        <v>1</v>
      </c>
      <c r="K27">
        <v>0</v>
      </c>
      <c r="L27">
        <v>0</v>
      </c>
      <c r="M27" s="1" t="b">
        <v>1</v>
      </c>
      <c r="O27">
        <v>1011.79</v>
      </c>
      <c r="P27">
        <v>3.08</v>
      </c>
      <c r="Q27">
        <v>0.68</v>
      </c>
    </row>
    <row r="28" spans="1:17">
      <c r="A28" t="s">
        <v>292</v>
      </c>
      <c r="B28">
        <v>194</v>
      </c>
      <c r="C28" s="7">
        <v>46193.849004629628</v>
      </c>
      <c r="D28" s="2">
        <f t="shared" si="0"/>
        <v>46193.851158738427</v>
      </c>
      <c r="E28">
        <v>2283808</v>
      </c>
      <c r="F28">
        <v>2469923</v>
      </c>
      <c r="G28">
        <f t="shared" si="1"/>
        <v>3.1019166666666669</v>
      </c>
      <c r="H28" t="s">
        <v>302</v>
      </c>
      <c r="I28">
        <v>1</v>
      </c>
      <c r="J28">
        <v>1</v>
      </c>
      <c r="K28">
        <v>0</v>
      </c>
      <c r="L28">
        <v>0</v>
      </c>
      <c r="M28" s="1" t="b">
        <v>1</v>
      </c>
      <c r="O28">
        <v>1011.8</v>
      </c>
      <c r="P28">
        <v>3.01</v>
      </c>
      <c r="Q28">
        <v>0.61</v>
      </c>
    </row>
    <row r="29" spans="1:17">
      <c r="A29" t="s">
        <v>292</v>
      </c>
      <c r="B29">
        <v>209</v>
      </c>
      <c r="C29" s="7">
        <v>46193.849004629628</v>
      </c>
      <c r="D29" s="2">
        <f t="shared" si="0"/>
        <v>46193.851324479168</v>
      </c>
      <c r="E29">
        <v>2283808</v>
      </c>
      <c r="F29">
        <v>2484243</v>
      </c>
      <c r="G29">
        <f t="shared" si="1"/>
        <v>3.3405833333333335</v>
      </c>
      <c r="H29" t="s">
        <v>302</v>
      </c>
      <c r="I29">
        <v>0</v>
      </c>
      <c r="J29">
        <v>0</v>
      </c>
      <c r="K29">
        <v>0</v>
      </c>
      <c r="L29">
        <v>0</v>
      </c>
      <c r="M29" s="1" t="b">
        <v>1</v>
      </c>
      <c r="O29">
        <v>1012.18</v>
      </c>
    </row>
    <row r="30" spans="1:17">
      <c r="A30" t="s">
        <v>292</v>
      </c>
      <c r="B30">
        <v>212</v>
      </c>
      <c r="C30" s="7">
        <v>46193.849004629628</v>
      </c>
      <c r="D30" s="2">
        <f t="shared" si="0"/>
        <v>46193.8513518287</v>
      </c>
      <c r="E30">
        <v>2283808</v>
      </c>
      <c r="F30">
        <v>2486606</v>
      </c>
      <c r="G30">
        <f t="shared" si="1"/>
        <v>3.3799666666666668</v>
      </c>
      <c r="H30" t="s">
        <v>302</v>
      </c>
      <c r="I30">
        <v>0</v>
      </c>
      <c r="J30">
        <v>0</v>
      </c>
      <c r="K30">
        <v>0</v>
      </c>
      <c r="L30">
        <v>0</v>
      </c>
      <c r="M30" s="1" t="b">
        <v>1</v>
      </c>
      <c r="O30">
        <v>1012.19</v>
      </c>
    </row>
    <row r="31" spans="1:17">
      <c r="A31" t="s">
        <v>292</v>
      </c>
      <c r="B31">
        <v>225</v>
      </c>
      <c r="C31" s="7">
        <v>46193.849004629628</v>
      </c>
      <c r="D31" s="2">
        <f t="shared" si="0"/>
        <v>46193.851493888891</v>
      </c>
      <c r="E31">
        <v>2283808</v>
      </c>
      <c r="F31">
        <v>2498880</v>
      </c>
      <c r="G31">
        <f t="shared" si="1"/>
        <v>3.5845333333333333</v>
      </c>
      <c r="H31" t="s">
        <v>302</v>
      </c>
      <c r="I31">
        <v>0</v>
      </c>
      <c r="J31">
        <v>0</v>
      </c>
      <c r="K31">
        <v>0</v>
      </c>
      <c r="L31">
        <v>0</v>
      </c>
      <c r="M31" s="1" t="b">
        <v>1</v>
      </c>
      <c r="O31">
        <v>1012.18</v>
      </c>
    </row>
    <row r="32" spans="1:17">
      <c r="A32" t="s">
        <v>294</v>
      </c>
      <c r="B32">
        <v>75</v>
      </c>
      <c r="C32" s="7">
        <v>49848.547789351855</v>
      </c>
      <c r="D32" s="2">
        <f t="shared" si="0"/>
        <v>49848.547789351855</v>
      </c>
      <c r="E32">
        <v>6276712</v>
      </c>
      <c r="F32">
        <v>6276712</v>
      </c>
      <c r="G32">
        <f t="shared" si="1"/>
        <v>0</v>
      </c>
      <c r="H32" t="s">
        <v>302</v>
      </c>
      <c r="I32">
        <v>1</v>
      </c>
      <c r="J32">
        <v>1</v>
      </c>
      <c r="K32">
        <v>0</v>
      </c>
      <c r="L32">
        <v>0</v>
      </c>
      <c r="M32" s="1" t="b">
        <v>1</v>
      </c>
      <c r="O32">
        <v>1022.29</v>
      </c>
      <c r="P32">
        <v>2.27</v>
      </c>
    </row>
    <row r="33" spans="1:17">
      <c r="A33" t="s">
        <v>294</v>
      </c>
      <c r="B33">
        <v>93</v>
      </c>
      <c r="C33" s="7">
        <v>49848.547789351855</v>
      </c>
      <c r="D33" s="2">
        <f t="shared" si="0"/>
        <v>49848.547989548613</v>
      </c>
      <c r="E33">
        <v>6276712</v>
      </c>
      <c r="F33">
        <v>6294009</v>
      </c>
      <c r="G33">
        <f t="shared" si="1"/>
        <v>0.28828333333333334</v>
      </c>
      <c r="H33" t="s">
        <v>302</v>
      </c>
      <c r="I33">
        <v>0</v>
      </c>
      <c r="J33">
        <v>0</v>
      </c>
      <c r="K33">
        <v>0</v>
      </c>
      <c r="L33">
        <v>0</v>
      </c>
      <c r="M33" s="1" t="b">
        <v>1</v>
      </c>
      <c r="O33">
        <v>1022.66</v>
      </c>
    </row>
    <row r="34" spans="1:17">
      <c r="A34" t="s">
        <v>294</v>
      </c>
      <c r="B34">
        <v>126</v>
      </c>
      <c r="C34" s="7">
        <v>49848.547789351855</v>
      </c>
      <c r="D34" s="2">
        <f t="shared" si="0"/>
        <v>49848.54836601852</v>
      </c>
      <c r="E34">
        <v>6276712</v>
      </c>
      <c r="F34">
        <v>6326536</v>
      </c>
      <c r="G34">
        <f t="shared" si="1"/>
        <v>0.83040000000000003</v>
      </c>
      <c r="H34" t="s">
        <v>302</v>
      </c>
      <c r="I34">
        <v>4</v>
      </c>
      <c r="J34">
        <v>4</v>
      </c>
      <c r="K34">
        <v>0</v>
      </c>
      <c r="L34">
        <v>0</v>
      </c>
      <c r="M34" s="1" t="b">
        <v>1</v>
      </c>
      <c r="O34">
        <v>1020.9</v>
      </c>
      <c r="P34">
        <v>13.77</v>
      </c>
      <c r="Q34">
        <v>0.42</v>
      </c>
    </row>
    <row r="35" spans="1:17">
      <c r="A35" t="s">
        <v>294</v>
      </c>
      <c r="B35">
        <v>130</v>
      </c>
      <c r="C35" s="7">
        <v>49848.547789351855</v>
      </c>
      <c r="D35" s="2">
        <f t="shared" si="0"/>
        <v>49848.548404050925</v>
      </c>
      <c r="E35">
        <v>6276712</v>
      </c>
      <c r="F35">
        <v>6329822</v>
      </c>
      <c r="G35">
        <f t="shared" si="1"/>
        <v>0.88516666666666666</v>
      </c>
      <c r="H35" t="s">
        <v>302</v>
      </c>
      <c r="I35">
        <v>4</v>
      </c>
      <c r="J35">
        <v>4</v>
      </c>
      <c r="K35">
        <v>0</v>
      </c>
      <c r="L35">
        <v>0</v>
      </c>
      <c r="M35" s="1" t="b">
        <v>1</v>
      </c>
      <c r="O35">
        <v>1020.9</v>
      </c>
      <c r="P35">
        <v>13.75</v>
      </c>
      <c r="Q35">
        <v>0.39</v>
      </c>
    </row>
    <row r="36" spans="1:17">
      <c r="A36" t="s">
        <v>294</v>
      </c>
      <c r="B36">
        <v>142</v>
      </c>
      <c r="C36" s="7">
        <v>49848.547789351855</v>
      </c>
      <c r="D36" s="2">
        <f t="shared" si="0"/>
        <v>49848.548534675931</v>
      </c>
      <c r="E36">
        <v>6276712</v>
      </c>
      <c r="F36">
        <v>6341108</v>
      </c>
      <c r="G36">
        <f t="shared" si="1"/>
        <v>1.0732666666666666</v>
      </c>
      <c r="H36" t="s">
        <v>302</v>
      </c>
      <c r="I36">
        <v>4</v>
      </c>
      <c r="J36">
        <v>4</v>
      </c>
      <c r="K36">
        <v>0</v>
      </c>
      <c r="L36">
        <v>0</v>
      </c>
      <c r="M36" s="1" t="b">
        <v>1</v>
      </c>
      <c r="O36">
        <v>1020.88</v>
      </c>
      <c r="P36">
        <v>13.9</v>
      </c>
      <c r="Q36">
        <v>0.54</v>
      </c>
    </row>
    <row r="37" spans="1:17">
      <c r="A37" t="s">
        <v>294</v>
      </c>
      <c r="B37">
        <v>148</v>
      </c>
      <c r="C37" s="7">
        <v>49848.547789351855</v>
      </c>
      <c r="D37" s="2">
        <f t="shared" si="0"/>
        <v>49848.548595127315</v>
      </c>
      <c r="E37">
        <v>6276712</v>
      </c>
      <c r="F37">
        <v>6346331</v>
      </c>
      <c r="G37">
        <f t="shared" si="1"/>
        <v>1.1603166666666667</v>
      </c>
      <c r="H37" t="s">
        <v>302</v>
      </c>
      <c r="I37">
        <v>4</v>
      </c>
      <c r="J37">
        <v>4</v>
      </c>
      <c r="K37">
        <v>0</v>
      </c>
      <c r="L37">
        <v>0</v>
      </c>
      <c r="M37" s="1" t="b">
        <v>1</v>
      </c>
      <c r="O37">
        <v>1020.89</v>
      </c>
      <c r="P37">
        <v>13.88</v>
      </c>
      <c r="Q37">
        <v>0.53</v>
      </c>
    </row>
    <row r="38" spans="1:17">
      <c r="A38" t="s">
        <v>294</v>
      </c>
      <c r="B38">
        <v>183</v>
      </c>
      <c r="C38" s="7">
        <v>49848.547789351855</v>
      </c>
      <c r="D38" s="2">
        <f t="shared" si="0"/>
        <v>49848.548995277779</v>
      </c>
      <c r="E38">
        <v>6276712</v>
      </c>
      <c r="F38">
        <v>6380904</v>
      </c>
      <c r="G38">
        <f t="shared" si="1"/>
        <v>1.7365333333333333</v>
      </c>
      <c r="H38" t="s">
        <v>302</v>
      </c>
      <c r="I38">
        <v>3</v>
      </c>
      <c r="J38">
        <v>3</v>
      </c>
      <c r="K38">
        <v>0</v>
      </c>
      <c r="L38">
        <v>0</v>
      </c>
      <c r="M38" s="1" t="b">
        <v>1</v>
      </c>
      <c r="O38">
        <v>1021.37</v>
      </c>
      <c r="P38">
        <v>9.89</v>
      </c>
      <c r="Q38">
        <v>0.28000000000000003</v>
      </c>
    </row>
    <row r="39" spans="1:17">
      <c r="A39" t="s">
        <v>294</v>
      </c>
      <c r="B39">
        <v>187</v>
      </c>
      <c r="C39" s="7">
        <v>49848.547789351855</v>
      </c>
      <c r="D39" s="2">
        <f t="shared" si="0"/>
        <v>49848.54903224537</v>
      </c>
      <c r="E39">
        <v>6276712</v>
      </c>
      <c r="F39">
        <v>6384098</v>
      </c>
      <c r="G39">
        <f t="shared" si="1"/>
        <v>1.7897666666666667</v>
      </c>
      <c r="H39" t="s">
        <v>302</v>
      </c>
      <c r="I39">
        <v>3</v>
      </c>
      <c r="J39">
        <v>3</v>
      </c>
      <c r="K39">
        <v>0</v>
      </c>
      <c r="L39">
        <v>0</v>
      </c>
      <c r="M39" s="1" t="b">
        <v>1</v>
      </c>
      <c r="O39">
        <v>1021.36</v>
      </c>
      <c r="P39">
        <v>9.99</v>
      </c>
      <c r="Q39">
        <v>0.37</v>
      </c>
    </row>
    <row r="40" spans="1:17">
      <c r="A40" t="s">
        <v>294</v>
      </c>
      <c r="B40">
        <v>198</v>
      </c>
      <c r="C40" s="7">
        <v>49848.547789351855</v>
      </c>
      <c r="D40" s="2">
        <f t="shared" si="0"/>
        <v>49848.549151620377</v>
      </c>
      <c r="E40">
        <v>6276712</v>
      </c>
      <c r="F40">
        <v>6394412</v>
      </c>
      <c r="G40">
        <f t="shared" si="1"/>
        <v>1.9616666666666667</v>
      </c>
      <c r="H40" t="s">
        <v>302</v>
      </c>
      <c r="I40">
        <v>3</v>
      </c>
      <c r="J40">
        <v>3</v>
      </c>
      <c r="K40">
        <v>0</v>
      </c>
      <c r="L40">
        <v>0</v>
      </c>
      <c r="M40" s="1" t="b">
        <v>1</v>
      </c>
      <c r="O40">
        <v>1021.36</v>
      </c>
      <c r="P40">
        <v>10.01</v>
      </c>
      <c r="Q40">
        <v>0.39</v>
      </c>
    </row>
    <row r="41" spans="1:17">
      <c r="A41" t="s">
        <v>294</v>
      </c>
      <c r="B41">
        <v>212</v>
      </c>
      <c r="C41" s="7">
        <v>49848.547789351855</v>
      </c>
      <c r="D41" s="2">
        <f t="shared" si="0"/>
        <v>49848.549307511574</v>
      </c>
      <c r="E41">
        <v>6276712</v>
      </c>
      <c r="F41">
        <v>6407881</v>
      </c>
      <c r="G41">
        <f t="shared" si="1"/>
        <v>2.18615</v>
      </c>
      <c r="H41" t="s">
        <v>302</v>
      </c>
      <c r="I41">
        <v>2</v>
      </c>
      <c r="J41">
        <v>2</v>
      </c>
      <c r="K41">
        <v>0</v>
      </c>
      <c r="L41">
        <v>0</v>
      </c>
      <c r="M41" s="1" t="b">
        <v>1</v>
      </c>
      <c r="O41">
        <v>1021.83</v>
      </c>
      <c r="P41">
        <v>6.13</v>
      </c>
      <c r="Q41">
        <v>0.33</v>
      </c>
    </row>
    <row r="42" spans="1:17">
      <c r="A42" t="s">
        <v>294</v>
      </c>
      <c r="B42">
        <v>215</v>
      </c>
      <c r="C42" s="7">
        <v>49848.547789351855</v>
      </c>
      <c r="D42" s="2">
        <f t="shared" si="0"/>
        <v>49848.549333796298</v>
      </c>
      <c r="E42">
        <v>6276712</v>
      </c>
      <c r="F42">
        <v>6410152</v>
      </c>
      <c r="G42">
        <f t="shared" si="1"/>
        <v>2.2240000000000002</v>
      </c>
      <c r="H42" t="s">
        <v>302</v>
      </c>
      <c r="I42">
        <v>2</v>
      </c>
      <c r="J42">
        <v>2</v>
      </c>
      <c r="K42">
        <v>0</v>
      </c>
      <c r="L42">
        <v>0</v>
      </c>
      <c r="M42" s="1" t="b">
        <v>1</v>
      </c>
      <c r="O42">
        <v>1021.82</v>
      </c>
      <c r="P42">
        <v>6.17</v>
      </c>
      <c r="Q42">
        <v>0.37</v>
      </c>
    </row>
    <row r="43" spans="1:17">
      <c r="A43" t="s">
        <v>294</v>
      </c>
      <c r="B43">
        <v>228</v>
      </c>
      <c r="C43" s="7">
        <v>49848.547789351855</v>
      </c>
      <c r="D43" s="2">
        <f t="shared" si="0"/>
        <v>49848.549475763888</v>
      </c>
      <c r="E43">
        <v>6276712</v>
      </c>
      <c r="F43">
        <v>6422418</v>
      </c>
      <c r="G43">
        <f t="shared" si="1"/>
        <v>2.4284333333333334</v>
      </c>
      <c r="H43" t="s">
        <v>302</v>
      </c>
      <c r="I43">
        <v>2</v>
      </c>
      <c r="J43">
        <v>2</v>
      </c>
      <c r="K43">
        <v>0</v>
      </c>
      <c r="L43">
        <v>0</v>
      </c>
      <c r="M43" s="1" t="b">
        <v>1</v>
      </c>
      <c r="O43">
        <v>1021.81</v>
      </c>
      <c r="P43">
        <v>6.22</v>
      </c>
      <c r="Q43">
        <v>0.42</v>
      </c>
    </row>
    <row r="44" spans="1:17">
      <c r="A44" t="s">
        <v>294</v>
      </c>
      <c r="B44">
        <v>237</v>
      </c>
      <c r="C44" s="7">
        <v>49848.547789351855</v>
      </c>
      <c r="D44" s="2">
        <f t="shared" si="0"/>
        <v>49848.549573634264</v>
      </c>
      <c r="E44">
        <v>6276712</v>
      </c>
      <c r="F44">
        <v>6430874</v>
      </c>
      <c r="G44">
        <f t="shared" si="1"/>
        <v>2.5693666666666668</v>
      </c>
      <c r="H44" t="s">
        <v>302</v>
      </c>
      <c r="I44">
        <v>2</v>
      </c>
      <c r="J44">
        <v>2</v>
      </c>
      <c r="K44">
        <v>0</v>
      </c>
      <c r="L44">
        <v>0</v>
      </c>
      <c r="M44" s="1" t="b">
        <v>1</v>
      </c>
      <c r="O44">
        <v>1021.83</v>
      </c>
      <c r="P44">
        <v>6.07</v>
      </c>
      <c r="Q44">
        <v>0.27</v>
      </c>
    </row>
    <row r="45" spans="1:17">
      <c r="A45" t="s">
        <v>294</v>
      </c>
      <c r="B45">
        <v>262</v>
      </c>
      <c r="C45" s="7">
        <v>49848.547789351855</v>
      </c>
      <c r="D45" s="2">
        <f t="shared" si="0"/>
        <v>49848.549855879632</v>
      </c>
      <c r="E45">
        <v>6276712</v>
      </c>
      <c r="F45">
        <v>6455260</v>
      </c>
      <c r="G45">
        <f t="shared" si="1"/>
        <v>2.9758</v>
      </c>
      <c r="H45" t="s">
        <v>302</v>
      </c>
      <c r="I45">
        <v>2</v>
      </c>
      <c r="J45">
        <v>2</v>
      </c>
      <c r="K45">
        <v>0</v>
      </c>
      <c r="L45">
        <v>0</v>
      </c>
      <c r="M45" s="1" t="b">
        <v>1</v>
      </c>
      <c r="O45">
        <v>1021.82</v>
      </c>
      <c r="P45">
        <v>6.19</v>
      </c>
      <c r="Q45">
        <v>0.39</v>
      </c>
    </row>
    <row r="46" spans="1:17">
      <c r="A46" t="s">
        <v>294</v>
      </c>
      <c r="B46">
        <v>323</v>
      </c>
      <c r="C46" s="7">
        <v>49848.547789351855</v>
      </c>
      <c r="D46" s="2">
        <f t="shared" si="0"/>
        <v>49848.550561689815</v>
      </c>
      <c r="E46">
        <v>6276712</v>
      </c>
      <c r="F46">
        <v>6516242</v>
      </c>
      <c r="G46">
        <f t="shared" si="1"/>
        <v>3.9921666666666669</v>
      </c>
      <c r="H46" t="s">
        <v>302</v>
      </c>
      <c r="I46">
        <v>0</v>
      </c>
      <c r="J46">
        <v>0</v>
      </c>
      <c r="K46">
        <v>0</v>
      </c>
      <c r="L46">
        <v>0</v>
      </c>
      <c r="M46" s="1" t="b">
        <v>1</v>
      </c>
      <c r="O46">
        <v>1022.69</v>
      </c>
    </row>
    <row r="47" spans="1:17">
      <c r="A47" t="s">
        <v>294</v>
      </c>
      <c r="B47">
        <v>327</v>
      </c>
      <c r="C47" s="7">
        <v>49848.547789351855</v>
      </c>
      <c r="D47" s="2">
        <f t="shared" si="0"/>
        <v>49848.550599606482</v>
      </c>
      <c r="E47">
        <v>6276712</v>
      </c>
      <c r="F47">
        <v>6519518</v>
      </c>
      <c r="G47">
        <f t="shared" si="1"/>
        <v>4.0467666666666666</v>
      </c>
      <c r="H47" t="s">
        <v>302</v>
      </c>
      <c r="I47">
        <v>0</v>
      </c>
      <c r="J47">
        <v>0</v>
      </c>
      <c r="K47">
        <v>0</v>
      </c>
      <c r="L47">
        <v>0</v>
      </c>
      <c r="M47" s="1" t="b">
        <v>1</v>
      </c>
      <c r="O47">
        <v>1022.68</v>
      </c>
    </row>
    <row r="48" spans="1:17">
      <c r="A48" t="s">
        <v>294</v>
      </c>
      <c r="B48">
        <v>336</v>
      </c>
      <c r="C48" s="7">
        <v>49848.547789351855</v>
      </c>
      <c r="D48" s="2">
        <f t="shared" si="0"/>
        <v>49848.550699606487</v>
      </c>
      <c r="E48">
        <v>6276712</v>
      </c>
      <c r="F48">
        <v>6528158</v>
      </c>
      <c r="G48">
        <f t="shared" si="1"/>
        <v>4.1907666666666668</v>
      </c>
      <c r="H48" t="s">
        <v>302</v>
      </c>
      <c r="I48">
        <v>0</v>
      </c>
      <c r="J48">
        <v>0</v>
      </c>
      <c r="K48">
        <v>0</v>
      </c>
      <c r="L48">
        <v>0</v>
      </c>
      <c r="M48" s="1" t="b">
        <v>1</v>
      </c>
      <c r="O48">
        <v>1022.68</v>
      </c>
    </row>
    <row r="49" spans="1:17">
      <c r="A49" t="s">
        <v>294</v>
      </c>
      <c r="B49">
        <v>345</v>
      </c>
      <c r="C49" s="7">
        <v>49848.547789351855</v>
      </c>
      <c r="D49" s="2">
        <f t="shared" si="0"/>
        <v>49848.550796932876</v>
      </c>
      <c r="E49">
        <v>6276712</v>
      </c>
      <c r="F49">
        <v>6536567</v>
      </c>
      <c r="G49">
        <f t="shared" si="1"/>
        <v>4.330916666666667</v>
      </c>
      <c r="H49" t="s">
        <v>302</v>
      </c>
      <c r="I49">
        <v>0</v>
      </c>
      <c r="J49">
        <v>0</v>
      </c>
      <c r="K49">
        <v>0</v>
      </c>
      <c r="L49">
        <v>0</v>
      </c>
      <c r="M49" s="1" t="b">
        <v>1</v>
      </c>
      <c r="O49">
        <v>1022.67</v>
      </c>
    </row>
    <row r="50" spans="1:17">
      <c r="A50" t="s">
        <v>294</v>
      </c>
      <c r="B50">
        <v>393</v>
      </c>
      <c r="C50" s="7">
        <v>49848.547789351855</v>
      </c>
      <c r="D50" s="2">
        <f t="shared" si="0"/>
        <v>49848.551364328705</v>
      </c>
      <c r="E50">
        <v>6276712</v>
      </c>
      <c r="F50">
        <v>6585590</v>
      </c>
      <c r="G50">
        <f t="shared" si="1"/>
        <v>5.147966666666667</v>
      </c>
      <c r="H50" t="s">
        <v>302</v>
      </c>
      <c r="I50">
        <v>0</v>
      </c>
      <c r="J50">
        <v>0</v>
      </c>
      <c r="K50">
        <v>0</v>
      </c>
      <c r="L50">
        <v>0</v>
      </c>
      <c r="M50" s="1" t="b">
        <v>1</v>
      </c>
      <c r="O50">
        <v>1022.69</v>
      </c>
    </row>
    <row r="51" spans="1:17">
      <c r="A51" t="s">
        <v>294</v>
      </c>
      <c r="B51">
        <v>425</v>
      </c>
      <c r="C51" s="7">
        <v>49848.547789351855</v>
      </c>
      <c r="D51" s="2">
        <f t="shared" si="0"/>
        <v>49848.551729386578</v>
      </c>
      <c r="E51">
        <v>6276712</v>
      </c>
      <c r="F51">
        <v>6617131</v>
      </c>
      <c r="G51">
        <f t="shared" si="1"/>
        <v>5.6736500000000003</v>
      </c>
      <c r="H51" t="s">
        <v>302</v>
      </c>
      <c r="I51">
        <v>4</v>
      </c>
      <c r="J51">
        <v>4</v>
      </c>
      <c r="K51">
        <v>0</v>
      </c>
      <c r="L51">
        <v>0</v>
      </c>
      <c r="M51" s="1" t="b">
        <v>1</v>
      </c>
      <c r="O51">
        <v>1020.91</v>
      </c>
      <c r="P51">
        <v>13.69</v>
      </c>
      <c r="Q51">
        <v>0.34</v>
      </c>
    </row>
    <row r="52" spans="1:17">
      <c r="A52" t="s">
        <v>294</v>
      </c>
      <c r="B52">
        <v>429</v>
      </c>
      <c r="C52" s="7">
        <v>49848.547789351855</v>
      </c>
      <c r="D52" s="2">
        <f t="shared" si="0"/>
        <v>49848.551766574077</v>
      </c>
      <c r="E52">
        <v>6276712</v>
      </c>
      <c r="F52">
        <v>6620344</v>
      </c>
      <c r="G52">
        <f t="shared" si="1"/>
        <v>5.7271999999999998</v>
      </c>
      <c r="H52" t="s">
        <v>302</v>
      </c>
      <c r="I52">
        <v>4</v>
      </c>
      <c r="J52">
        <v>4</v>
      </c>
      <c r="K52">
        <v>0</v>
      </c>
      <c r="L52">
        <v>0</v>
      </c>
      <c r="M52" s="1" t="b">
        <v>1</v>
      </c>
      <c r="O52">
        <v>1020.9</v>
      </c>
      <c r="P52">
        <v>13.77</v>
      </c>
      <c r="Q52">
        <v>0.42</v>
      </c>
    </row>
    <row r="53" spans="1:17">
      <c r="A53" t="s">
        <v>294</v>
      </c>
      <c r="B53">
        <v>479</v>
      </c>
      <c r="C53" s="7">
        <v>49848.547789351855</v>
      </c>
      <c r="D53" s="2">
        <f t="shared" si="0"/>
        <v>49848.552341180555</v>
      </c>
      <c r="E53">
        <v>6276712</v>
      </c>
      <c r="F53">
        <v>6669990</v>
      </c>
      <c r="G53">
        <f t="shared" si="1"/>
        <v>6.5546333333333333</v>
      </c>
      <c r="H53" t="s">
        <v>302</v>
      </c>
      <c r="I53">
        <v>3</v>
      </c>
      <c r="J53">
        <v>3</v>
      </c>
      <c r="K53">
        <v>0</v>
      </c>
      <c r="L53">
        <v>0</v>
      </c>
      <c r="M53" s="1" t="b">
        <v>1</v>
      </c>
      <c r="O53">
        <v>1021.33</v>
      </c>
      <c r="P53">
        <v>10.199999999999999</v>
      </c>
      <c r="Q53">
        <v>0.59</v>
      </c>
    </row>
    <row r="54" spans="1:17">
      <c r="A54" t="s">
        <v>294</v>
      </c>
      <c r="B54">
        <v>482</v>
      </c>
      <c r="C54" s="7">
        <v>49848.547789351855</v>
      </c>
      <c r="D54" s="2">
        <f t="shared" si="0"/>
        <v>49848.552366493059</v>
      </c>
      <c r="E54">
        <v>6276712</v>
      </c>
      <c r="F54">
        <v>6672177</v>
      </c>
      <c r="G54">
        <f t="shared" si="1"/>
        <v>6.5910833333333336</v>
      </c>
      <c r="H54" t="s">
        <v>302</v>
      </c>
      <c r="I54">
        <v>3</v>
      </c>
      <c r="J54">
        <v>3</v>
      </c>
      <c r="K54">
        <v>0</v>
      </c>
      <c r="L54">
        <v>0</v>
      </c>
      <c r="M54" s="1" t="b">
        <v>1</v>
      </c>
      <c r="O54">
        <v>1021.33</v>
      </c>
      <c r="P54">
        <v>10.19</v>
      </c>
      <c r="Q54">
        <v>0.56999999999999995</v>
      </c>
    </row>
    <row r="55" spans="1:17">
      <c r="A55" t="s">
        <v>294</v>
      </c>
      <c r="B55">
        <v>487</v>
      </c>
      <c r="C55" s="7">
        <v>49848.547789351855</v>
      </c>
      <c r="D55" s="2">
        <f t="shared" si="0"/>
        <v>49848.552415856488</v>
      </c>
      <c r="E55">
        <v>6276712</v>
      </c>
      <c r="F55">
        <v>6676442</v>
      </c>
      <c r="G55">
        <f t="shared" si="1"/>
        <v>6.6621666666666668</v>
      </c>
      <c r="H55" t="s">
        <v>302</v>
      </c>
      <c r="I55">
        <v>3</v>
      </c>
      <c r="J55">
        <v>3</v>
      </c>
      <c r="K55">
        <v>0</v>
      </c>
      <c r="L55">
        <v>0</v>
      </c>
      <c r="M55" s="1" t="b">
        <v>1</v>
      </c>
      <c r="O55">
        <v>1021.34</v>
      </c>
      <c r="P55">
        <v>10.15</v>
      </c>
      <c r="Q55">
        <v>0.53</v>
      </c>
    </row>
    <row r="56" spans="1:17">
      <c r="A56" t="s">
        <v>294</v>
      </c>
      <c r="B56">
        <v>507</v>
      </c>
      <c r="C56" s="7">
        <v>49848.547789351855</v>
      </c>
      <c r="D56" s="2">
        <f t="shared" si="0"/>
        <v>49848.552640393522</v>
      </c>
      <c r="E56">
        <v>6276712</v>
      </c>
      <c r="F56">
        <v>6695842</v>
      </c>
      <c r="G56">
        <f t="shared" si="1"/>
        <v>6.9855</v>
      </c>
      <c r="H56" t="s">
        <v>302</v>
      </c>
      <c r="I56">
        <v>2</v>
      </c>
      <c r="J56">
        <v>2</v>
      </c>
      <c r="K56">
        <v>0</v>
      </c>
      <c r="L56">
        <v>0</v>
      </c>
      <c r="M56" s="1" t="b">
        <v>1</v>
      </c>
      <c r="O56">
        <v>1021.77</v>
      </c>
      <c r="P56">
        <v>6.62</v>
      </c>
      <c r="Q56">
        <v>0.82</v>
      </c>
    </row>
    <row r="57" spans="1:17">
      <c r="A57" t="s">
        <v>294</v>
      </c>
      <c r="B57">
        <v>511</v>
      </c>
      <c r="C57" s="7">
        <v>49848.547789351855</v>
      </c>
      <c r="D57" s="2">
        <f t="shared" si="0"/>
        <v>49848.552677673615</v>
      </c>
      <c r="E57">
        <v>6276712</v>
      </c>
      <c r="F57">
        <v>6699063</v>
      </c>
      <c r="G57">
        <f t="shared" si="1"/>
        <v>7.0391833333333329</v>
      </c>
      <c r="H57" t="s">
        <v>302</v>
      </c>
      <c r="I57">
        <v>2</v>
      </c>
      <c r="J57">
        <v>2</v>
      </c>
      <c r="K57">
        <v>0</v>
      </c>
      <c r="L57">
        <v>0</v>
      </c>
      <c r="M57" s="1" t="b">
        <v>1</v>
      </c>
      <c r="O57">
        <v>1021.77</v>
      </c>
      <c r="P57">
        <v>6.57</v>
      </c>
      <c r="Q57">
        <v>0.76</v>
      </c>
    </row>
    <row r="58" spans="1:17">
      <c r="A58" t="s">
        <v>294</v>
      </c>
      <c r="B58">
        <v>525</v>
      </c>
      <c r="C58" s="7">
        <v>49848.547789351855</v>
      </c>
      <c r="D58" s="2">
        <f t="shared" si="0"/>
        <v>49848.552831388894</v>
      </c>
      <c r="E58">
        <v>6276712</v>
      </c>
      <c r="F58">
        <v>6712344</v>
      </c>
      <c r="G58">
        <f t="shared" si="1"/>
        <v>7.2605333333333331</v>
      </c>
      <c r="H58" t="s">
        <v>302</v>
      </c>
      <c r="I58">
        <v>2</v>
      </c>
      <c r="J58">
        <v>2</v>
      </c>
      <c r="K58">
        <v>0</v>
      </c>
      <c r="L58">
        <v>0</v>
      </c>
      <c r="M58" s="1" t="b">
        <v>1</v>
      </c>
      <c r="O58">
        <v>1021.76</v>
      </c>
      <c r="P58">
        <v>6.7</v>
      </c>
      <c r="Q58">
        <v>0.9</v>
      </c>
    </row>
    <row r="59" spans="1:17">
      <c r="A59" t="s">
        <v>294</v>
      </c>
      <c r="B59">
        <v>550</v>
      </c>
      <c r="C59" s="7">
        <v>49848.547789351855</v>
      </c>
      <c r="D59" s="2">
        <f t="shared" si="0"/>
        <v>49848.55311706019</v>
      </c>
      <c r="E59">
        <v>6276712</v>
      </c>
      <c r="F59">
        <v>6737026</v>
      </c>
      <c r="G59">
        <f t="shared" si="1"/>
        <v>7.6718999999999999</v>
      </c>
      <c r="H59" t="s">
        <v>302</v>
      </c>
      <c r="I59">
        <v>1</v>
      </c>
      <c r="J59">
        <v>1</v>
      </c>
      <c r="K59">
        <v>0</v>
      </c>
      <c r="L59">
        <v>0</v>
      </c>
      <c r="M59" s="1" t="b">
        <v>1</v>
      </c>
      <c r="O59">
        <v>1022.24</v>
      </c>
      <c r="P59">
        <v>2.72</v>
      </c>
      <c r="Q59">
        <v>0.35</v>
      </c>
    </row>
    <row r="60" spans="1:17">
      <c r="A60" t="s">
        <v>294</v>
      </c>
      <c r="B60">
        <v>554</v>
      </c>
      <c r="C60" s="7">
        <v>49848.547789351855</v>
      </c>
      <c r="D60" s="2">
        <f t="shared" si="0"/>
        <v>49848.55315511574</v>
      </c>
      <c r="E60">
        <v>6276712</v>
      </c>
      <c r="F60">
        <v>6740314</v>
      </c>
      <c r="G60">
        <f t="shared" si="1"/>
        <v>7.7267000000000001</v>
      </c>
      <c r="H60" t="s">
        <v>302</v>
      </c>
      <c r="I60">
        <v>1</v>
      </c>
      <c r="J60">
        <v>1</v>
      </c>
      <c r="K60">
        <v>0</v>
      </c>
      <c r="L60">
        <v>0</v>
      </c>
      <c r="M60" s="1" t="b">
        <v>1</v>
      </c>
      <c r="O60">
        <v>1022.22</v>
      </c>
      <c r="P60">
        <v>2.85</v>
      </c>
      <c r="Q60">
        <v>0.47</v>
      </c>
    </row>
    <row r="61" spans="1:17">
      <c r="A61" t="s">
        <v>294</v>
      </c>
      <c r="B61">
        <v>562</v>
      </c>
      <c r="C61" s="7">
        <v>49848.547789351855</v>
      </c>
      <c r="D61" s="2">
        <f t="shared" si="0"/>
        <v>49848.553240370376</v>
      </c>
      <c r="E61">
        <v>6276712</v>
      </c>
      <c r="F61">
        <v>6747680</v>
      </c>
      <c r="G61">
        <f t="shared" si="1"/>
        <v>7.8494666666666664</v>
      </c>
      <c r="H61" t="s">
        <v>302</v>
      </c>
      <c r="I61">
        <v>1</v>
      </c>
      <c r="J61">
        <v>1</v>
      </c>
      <c r="K61">
        <v>0</v>
      </c>
      <c r="L61">
        <v>0</v>
      </c>
      <c r="M61" s="1" t="b">
        <v>1</v>
      </c>
      <c r="O61">
        <v>1022.22</v>
      </c>
      <c r="P61">
        <v>2.86</v>
      </c>
      <c r="Q61">
        <v>0.49</v>
      </c>
    </row>
    <row r="62" spans="1:17">
      <c r="A62" t="s">
        <v>294</v>
      </c>
      <c r="B62">
        <v>582</v>
      </c>
      <c r="C62" s="7">
        <v>49848.547789351855</v>
      </c>
      <c r="D62" s="2">
        <f t="shared" si="0"/>
        <v>49848.553464537043</v>
      </c>
      <c r="E62">
        <v>6276712</v>
      </c>
      <c r="F62">
        <v>6767048</v>
      </c>
      <c r="G62">
        <f t="shared" si="1"/>
        <v>8.1722666666666672</v>
      </c>
      <c r="H62" t="s">
        <v>302</v>
      </c>
      <c r="I62">
        <v>0</v>
      </c>
      <c r="J62">
        <v>0</v>
      </c>
      <c r="K62">
        <v>0</v>
      </c>
      <c r="L62">
        <v>0</v>
      </c>
      <c r="M62" s="1" t="b">
        <v>1</v>
      </c>
      <c r="O62">
        <v>1022.61</v>
      </c>
    </row>
    <row r="63" spans="1:17">
      <c r="A63" t="s">
        <v>294</v>
      </c>
      <c r="B63">
        <v>586</v>
      </c>
      <c r="C63" s="7">
        <v>49848.547789351855</v>
      </c>
      <c r="D63" s="2">
        <f t="shared" si="0"/>
        <v>49848.55350248843</v>
      </c>
      <c r="E63">
        <v>6276712</v>
      </c>
      <c r="F63">
        <v>6770327</v>
      </c>
      <c r="G63">
        <f t="shared" si="1"/>
        <v>8.226916666666666</v>
      </c>
      <c r="H63" t="s">
        <v>302</v>
      </c>
      <c r="I63">
        <v>0</v>
      </c>
      <c r="J63">
        <v>0</v>
      </c>
      <c r="K63">
        <v>0</v>
      </c>
      <c r="L63">
        <v>0</v>
      </c>
      <c r="M63" s="1" t="b">
        <v>1</v>
      </c>
      <c r="O63">
        <v>1022.6</v>
      </c>
    </row>
    <row r="64" spans="1:17">
      <c r="A64" t="s">
        <v>294</v>
      </c>
      <c r="B64">
        <v>606</v>
      </c>
      <c r="C64" s="7">
        <v>49848.547789351855</v>
      </c>
      <c r="D64" s="2">
        <f t="shared" si="0"/>
        <v>49848.553730451393</v>
      </c>
      <c r="E64">
        <v>6276712</v>
      </c>
      <c r="F64">
        <v>6790023</v>
      </c>
      <c r="G64">
        <f t="shared" si="1"/>
        <v>8.5551833333333338</v>
      </c>
      <c r="H64" t="s">
        <v>302</v>
      </c>
      <c r="I64">
        <v>1</v>
      </c>
      <c r="J64">
        <v>1</v>
      </c>
      <c r="K64">
        <v>0</v>
      </c>
      <c r="L64">
        <v>0</v>
      </c>
      <c r="M64" s="1" t="b">
        <v>1</v>
      </c>
      <c r="O64">
        <v>1022.23</v>
      </c>
      <c r="P64">
        <v>2.8</v>
      </c>
      <c r="Q64">
        <v>0.42</v>
      </c>
    </row>
    <row r="65" spans="1:17">
      <c r="A65" t="s">
        <v>294</v>
      </c>
      <c r="B65">
        <v>611</v>
      </c>
      <c r="C65" s="7">
        <v>49848.547789351855</v>
      </c>
      <c r="D65" s="2">
        <f t="shared" si="0"/>
        <v>49848.553783298616</v>
      </c>
      <c r="E65">
        <v>6276712</v>
      </c>
      <c r="F65">
        <v>6794589</v>
      </c>
      <c r="G65">
        <f t="shared" si="1"/>
        <v>8.6312833333333341</v>
      </c>
      <c r="H65" t="s">
        <v>302</v>
      </c>
      <c r="I65">
        <v>1</v>
      </c>
      <c r="J65">
        <v>1</v>
      </c>
      <c r="K65">
        <v>0</v>
      </c>
      <c r="L65">
        <v>0</v>
      </c>
      <c r="M65" s="1" t="b">
        <v>1</v>
      </c>
      <c r="O65">
        <v>1022.24</v>
      </c>
      <c r="P65">
        <v>2.74</v>
      </c>
      <c r="Q65">
        <v>0.36</v>
      </c>
    </row>
    <row r="66" spans="1:17">
      <c r="A66" t="s">
        <v>294</v>
      </c>
      <c r="B66">
        <v>627</v>
      </c>
      <c r="C66" s="7">
        <v>49848.547789351855</v>
      </c>
      <c r="D66" s="2">
        <f t="shared" si="0"/>
        <v>49848.553960358797</v>
      </c>
      <c r="E66">
        <v>6276712</v>
      </c>
      <c r="F66">
        <v>6809887</v>
      </c>
      <c r="G66">
        <f t="shared" si="1"/>
        <v>8.8862500000000004</v>
      </c>
      <c r="H66" t="s">
        <v>302</v>
      </c>
      <c r="I66">
        <v>2</v>
      </c>
      <c r="J66">
        <v>2</v>
      </c>
      <c r="K66">
        <v>0</v>
      </c>
      <c r="L66">
        <v>0</v>
      </c>
      <c r="M66" s="1" t="b">
        <v>1</v>
      </c>
      <c r="O66">
        <v>1021.76</v>
      </c>
      <c r="P66">
        <v>6.65</v>
      </c>
      <c r="Q66">
        <v>0.85</v>
      </c>
    </row>
    <row r="67" spans="1:17">
      <c r="A67" t="s">
        <v>294</v>
      </c>
      <c r="B67">
        <v>631</v>
      </c>
      <c r="C67" s="7">
        <v>49848.547789351855</v>
      </c>
      <c r="D67" s="2">
        <f t="shared" ref="D67:D83" si="2">C67+((F67-E67)/86400000)</f>
        <v>49848.553999733798</v>
      </c>
      <c r="E67">
        <v>6276712</v>
      </c>
      <c r="F67">
        <v>6813289</v>
      </c>
      <c r="G67">
        <f t="shared" si="1"/>
        <v>8.9429499999999997</v>
      </c>
      <c r="H67" t="s">
        <v>302</v>
      </c>
      <c r="I67">
        <v>2</v>
      </c>
      <c r="J67">
        <v>2</v>
      </c>
      <c r="K67">
        <v>0</v>
      </c>
      <c r="L67">
        <v>0</v>
      </c>
      <c r="M67" s="1" t="b">
        <v>1</v>
      </c>
      <c r="O67">
        <v>1021.76</v>
      </c>
      <c r="P67">
        <v>6.64</v>
      </c>
      <c r="Q67">
        <v>0.84</v>
      </c>
    </row>
    <row r="68" spans="1:17">
      <c r="A68" t="s">
        <v>294</v>
      </c>
      <c r="B68">
        <v>685</v>
      </c>
      <c r="C68" s="7">
        <v>49848.547789351855</v>
      </c>
      <c r="D68" s="2">
        <f t="shared" si="2"/>
        <v>49848.554652337967</v>
      </c>
      <c r="E68">
        <v>6276712</v>
      </c>
      <c r="F68">
        <v>6869674</v>
      </c>
      <c r="G68">
        <f t="shared" ref="G68:G83" si="3">(F68-E68)/60000</f>
        <v>9.8826999999999998</v>
      </c>
      <c r="H68" t="s">
        <v>302</v>
      </c>
      <c r="I68">
        <v>1</v>
      </c>
      <c r="J68">
        <v>1</v>
      </c>
      <c r="K68">
        <v>0</v>
      </c>
      <c r="L68">
        <v>0</v>
      </c>
      <c r="M68" s="1" t="b">
        <v>1</v>
      </c>
      <c r="O68">
        <v>1022.24</v>
      </c>
      <c r="P68">
        <v>2.74</v>
      </c>
      <c r="Q68">
        <v>0.37</v>
      </c>
    </row>
    <row r="69" spans="1:17">
      <c r="A69" t="s">
        <v>294</v>
      </c>
      <c r="B69">
        <v>689</v>
      </c>
      <c r="C69" s="7">
        <v>49848.547789351855</v>
      </c>
      <c r="D69" s="2">
        <f t="shared" si="2"/>
        <v>49848.554691307872</v>
      </c>
      <c r="E69">
        <v>6276712</v>
      </c>
      <c r="F69">
        <v>6873041</v>
      </c>
      <c r="G69">
        <f t="shared" si="3"/>
        <v>9.938816666666666</v>
      </c>
      <c r="H69" t="s">
        <v>302</v>
      </c>
      <c r="I69">
        <v>1</v>
      </c>
      <c r="J69">
        <v>1</v>
      </c>
      <c r="K69">
        <v>0</v>
      </c>
      <c r="L69">
        <v>0</v>
      </c>
      <c r="M69" s="1" t="b">
        <v>1</v>
      </c>
      <c r="O69">
        <v>1022.23</v>
      </c>
      <c r="P69">
        <v>2.75</v>
      </c>
      <c r="Q69">
        <v>0.38</v>
      </c>
    </row>
    <row r="70" spans="1:17">
      <c r="A70" t="s">
        <v>294</v>
      </c>
      <c r="B70">
        <v>721</v>
      </c>
      <c r="C70" s="7">
        <v>49848.547789351855</v>
      </c>
      <c r="D70" s="2">
        <f t="shared" si="2"/>
        <v>49848.555055497687</v>
      </c>
      <c r="E70">
        <v>6276712</v>
      </c>
      <c r="F70">
        <v>6904507</v>
      </c>
      <c r="G70">
        <f t="shared" si="3"/>
        <v>10.46325</v>
      </c>
      <c r="H70" t="s">
        <v>302</v>
      </c>
      <c r="I70">
        <v>4</v>
      </c>
      <c r="J70">
        <v>4</v>
      </c>
      <c r="K70">
        <v>0</v>
      </c>
      <c r="L70">
        <v>0</v>
      </c>
      <c r="M70" s="1" t="b">
        <v>1</v>
      </c>
      <c r="O70">
        <v>1020.86</v>
      </c>
      <c r="P70">
        <v>14.11</v>
      </c>
      <c r="Q70">
        <v>0.75</v>
      </c>
    </row>
    <row r="71" spans="1:17">
      <c r="A71" t="s">
        <v>294</v>
      </c>
      <c r="B71">
        <v>724</v>
      </c>
      <c r="C71" s="7">
        <v>49848.547789351855</v>
      </c>
      <c r="D71" s="2">
        <f t="shared" si="2"/>
        <v>49848.55508549769</v>
      </c>
      <c r="E71">
        <v>6276712</v>
      </c>
      <c r="F71">
        <v>6907099</v>
      </c>
      <c r="G71">
        <f t="shared" si="3"/>
        <v>10.506449999999999</v>
      </c>
      <c r="H71" t="s">
        <v>302</v>
      </c>
      <c r="I71">
        <v>4</v>
      </c>
      <c r="J71">
        <v>4</v>
      </c>
      <c r="K71">
        <v>0</v>
      </c>
      <c r="L71">
        <v>0</v>
      </c>
      <c r="M71" s="1" t="b">
        <v>1</v>
      </c>
      <c r="O71">
        <v>1020.87</v>
      </c>
      <c r="P71">
        <v>14.02</v>
      </c>
      <c r="Q71">
        <v>0.67</v>
      </c>
    </row>
    <row r="72" spans="1:17">
      <c r="A72" t="s">
        <v>294</v>
      </c>
      <c r="B72">
        <v>728</v>
      </c>
      <c r="C72" s="7">
        <v>49848.547789351855</v>
      </c>
      <c r="D72" s="2">
        <f t="shared" si="2"/>
        <v>49848.555122291669</v>
      </c>
      <c r="E72">
        <v>6276712</v>
      </c>
      <c r="F72">
        <v>6910278</v>
      </c>
      <c r="G72">
        <f t="shared" si="3"/>
        <v>10.559433333333333</v>
      </c>
      <c r="H72" t="s">
        <v>302</v>
      </c>
      <c r="I72">
        <v>4</v>
      </c>
      <c r="J72">
        <v>4</v>
      </c>
      <c r="K72">
        <v>0</v>
      </c>
      <c r="L72">
        <v>0</v>
      </c>
      <c r="M72" s="1" t="b">
        <v>1</v>
      </c>
      <c r="O72">
        <v>1020.86</v>
      </c>
      <c r="P72">
        <v>14.07</v>
      </c>
      <c r="Q72">
        <v>0.71</v>
      </c>
    </row>
    <row r="73" spans="1:17">
      <c r="A73" t="s">
        <v>294</v>
      </c>
      <c r="B73">
        <v>753</v>
      </c>
      <c r="C73" s="7">
        <v>49848.547789351855</v>
      </c>
      <c r="D73" s="2">
        <f t="shared" si="2"/>
        <v>49848.555405254636</v>
      </c>
      <c r="E73">
        <v>6276712</v>
      </c>
      <c r="F73">
        <v>6934726</v>
      </c>
      <c r="G73">
        <f t="shared" si="3"/>
        <v>10.966900000000001</v>
      </c>
      <c r="H73" t="s">
        <v>302</v>
      </c>
      <c r="I73">
        <v>2</v>
      </c>
      <c r="J73">
        <v>2</v>
      </c>
      <c r="K73">
        <v>0</v>
      </c>
      <c r="L73">
        <v>0</v>
      </c>
      <c r="M73" s="1" t="b">
        <v>1</v>
      </c>
      <c r="O73">
        <v>1021.81</v>
      </c>
      <c r="P73">
        <v>6.23</v>
      </c>
      <c r="Q73">
        <v>0.43</v>
      </c>
    </row>
    <row r="74" spans="1:17">
      <c r="A74" t="s">
        <v>294</v>
      </c>
      <c r="B74">
        <v>755</v>
      </c>
      <c r="C74" s="7">
        <v>49848.547789351855</v>
      </c>
      <c r="D74" s="2">
        <f t="shared" si="2"/>
        <v>49848.555422604171</v>
      </c>
      <c r="E74">
        <v>6276712</v>
      </c>
      <c r="F74">
        <v>6936225</v>
      </c>
      <c r="G74">
        <f t="shared" si="3"/>
        <v>10.991883333333334</v>
      </c>
      <c r="H74" t="s">
        <v>302</v>
      </c>
      <c r="I74">
        <v>2</v>
      </c>
      <c r="J74">
        <v>2</v>
      </c>
      <c r="K74">
        <v>0</v>
      </c>
      <c r="L74">
        <v>0</v>
      </c>
      <c r="M74" s="1" t="b">
        <v>1</v>
      </c>
      <c r="O74">
        <v>1021.82</v>
      </c>
      <c r="P74">
        <v>6.2</v>
      </c>
      <c r="Q74">
        <v>0.4</v>
      </c>
    </row>
    <row r="75" spans="1:17">
      <c r="A75" t="s">
        <v>294</v>
      </c>
      <c r="B75">
        <v>759</v>
      </c>
      <c r="C75" s="7">
        <v>49848.547789351855</v>
      </c>
      <c r="D75" s="2">
        <f t="shared" si="2"/>
        <v>49848.555460509262</v>
      </c>
      <c r="E75">
        <v>6276712</v>
      </c>
      <c r="F75">
        <v>6939500</v>
      </c>
      <c r="G75">
        <f t="shared" si="3"/>
        <v>11.046466666666667</v>
      </c>
      <c r="H75" t="s">
        <v>302</v>
      </c>
      <c r="I75">
        <v>2</v>
      </c>
      <c r="J75">
        <v>2</v>
      </c>
      <c r="K75">
        <v>0</v>
      </c>
      <c r="L75">
        <v>0</v>
      </c>
      <c r="M75" s="1" t="b">
        <v>1</v>
      </c>
      <c r="O75">
        <v>1021.82</v>
      </c>
      <c r="P75">
        <v>6.2</v>
      </c>
      <c r="Q75">
        <v>0.4</v>
      </c>
    </row>
    <row r="76" spans="1:17">
      <c r="A76" t="s">
        <v>294</v>
      </c>
      <c r="B76">
        <v>763</v>
      </c>
      <c r="C76" s="7">
        <v>49848.547789351855</v>
      </c>
      <c r="D76" s="2">
        <f t="shared" si="2"/>
        <v>49848.555497465284</v>
      </c>
      <c r="E76">
        <v>6276712</v>
      </c>
      <c r="F76">
        <v>6942693</v>
      </c>
      <c r="G76">
        <f t="shared" si="3"/>
        <v>11.099683333333333</v>
      </c>
      <c r="H76" t="s">
        <v>302</v>
      </c>
      <c r="I76">
        <v>2</v>
      </c>
      <c r="J76">
        <v>2</v>
      </c>
      <c r="K76">
        <v>0</v>
      </c>
      <c r="L76">
        <v>0</v>
      </c>
      <c r="M76" s="1" t="b">
        <v>1</v>
      </c>
      <c r="O76">
        <v>1021.81</v>
      </c>
      <c r="P76">
        <v>6.23</v>
      </c>
      <c r="Q76">
        <v>0.43</v>
      </c>
    </row>
    <row r="77" spans="1:17">
      <c r="A77" t="s">
        <v>294</v>
      </c>
      <c r="B77">
        <v>778</v>
      </c>
      <c r="C77" s="7">
        <v>49848.547789351855</v>
      </c>
      <c r="D77" s="2">
        <f t="shared" si="2"/>
        <v>49848.555662395833</v>
      </c>
      <c r="E77">
        <v>6276712</v>
      </c>
      <c r="F77">
        <v>6956943</v>
      </c>
      <c r="G77">
        <f t="shared" si="3"/>
        <v>11.337183333333334</v>
      </c>
      <c r="H77" t="s">
        <v>302</v>
      </c>
      <c r="I77">
        <v>1</v>
      </c>
      <c r="J77">
        <v>1</v>
      </c>
      <c r="K77">
        <v>0</v>
      </c>
      <c r="L77">
        <v>0</v>
      </c>
      <c r="M77" s="1" t="b">
        <v>1</v>
      </c>
      <c r="O77">
        <v>1022.28</v>
      </c>
      <c r="P77">
        <v>2.36</v>
      </c>
    </row>
    <row r="78" spans="1:17">
      <c r="A78" t="s">
        <v>294</v>
      </c>
      <c r="B78">
        <v>791</v>
      </c>
      <c r="C78" s="7">
        <v>49848.547789351855</v>
      </c>
      <c r="D78" s="2">
        <f t="shared" si="2"/>
        <v>49848.555805289354</v>
      </c>
      <c r="E78">
        <v>6276712</v>
      </c>
      <c r="F78">
        <v>6969289</v>
      </c>
      <c r="G78">
        <f t="shared" si="3"/>
        <v>11.542949999999999</v>
      </c>
      <c r="H78" t="s">
        <v>302</v>
      </c>
      <c r="I78">
        <v>1</v>
      </c>
      <c r="J78">
        <v>1</v>
      </c>
      <c r="K78">
        <v>0</v>
      </c>
      <c r="L78">
        <v>0</v>
      </c>
      <c r="M78" s="1" t="b">
        <v>1</v>
      </c>
      <c r="O78">
        <v>1022.31</v>
      </c>
      <c r="P78">
        <v>2.1</v>
      </c>
    </row>
    <row r="79" spans="1:17">
      <c r="A79" t="s">
        <v>303</v>
      </c>
      <c r="B79">
        <v>15</v>
      </c>
      <c r="C79" s="7">
        <v>46193.84447916667</v>
      </c>
      <c r="D79" s="2">
        <f t="shared" si="2"/>
        <v>46193.844628668987</v>
      </c>
      <c r="E79">
        <v>2039847</v>
      </c>
      <c r="F79">
        <v>2052764</v>
      </c>
      <c r="G79">
        <f t="shared" si="3"/>
        <v>0.21528333333333333</v>
      </c>
      <c r="H79" t="s">
        <v>304</v>
      </c>
      <c r="I79">
        <v>1</v>
      </c>
      <c r="J79">
        <v>4</v>
      </c>
      <c r="K79">
        <v>3</v>
      </c>
      <c r="L79">
        <v>3</v>
      </c>
      <c r="M79" s="1" t="b">
        <v>0</v>
      </c>
      <c r="O79">
        <v>1011.77</v>
      </c>
      <c r="P79">
        <v>67.45</v>
      </c>
      <c r="Q79">
        <v>54.05</v>
      </c>
    </row>
    <row r="80" spans="1:17">
      <c r="A80" t="s">
        <v>303</v>
      </c>
      <c r="B80">
        <v>33</v>
      </c>
      <c r="C80" s="7">
        <v>46193.84447916667</v>
      </c>
      <c r="D80" s="2">
        <f t="shared" si="2"/>
        <v>46193.844829178241</v>
      </c>
      <c r="E80">
        <v>2039847</v>
      </c>
      <c r="F80">
        <v>2070088</v>
      </c>
      <c r="G80">
        <f t="shared" si="3"/>
        <v>0.50401666666666667</v>
      </c>
      <c r="H80" t="s">
        <v>304</v>
      </c>
      <c r="I80">
        <v>0</v>
      </c>
      <c r="J80">
        <v>4</v>
      </c>
      <c r="K80">
        <v>4</v>
      </c>
      <c r="L80">
        <v>4</v>
      </c>
      <c r="M80" s="1" t="b">
        <v>0</v>
      </c>
      <c r="O80">
        <v>1012.13</v>
      </c>
      <c r="P80">
        <v>64.48</v>
      </c>
      <c r="Q80">
        <v>51.09</v>
      </c>
    </row>
    <row r="81" spans="1:17">
      <c r="A81" t="s">
        <v>303</v>
      </c>
      <c r="B81">
        <v>58</v>
      </c>
      <c r="C81" s="7">
        <v>46193.84447916667</v>
      </c>
      <c r="D81" s="2">
        <f t="shared" si="2"/>
        <v>46193.845112592593</v>
      </c>
      <c r="E81">
        <v>2039847</v>
      </c>
      <c r="F81">
        <v>2094575</v>
      </c>
      <c r="G81">
        <f t="shared" si="3"/>
        <v>0.91213333333333335</v>
      </c>
      <c r="H81" t="s">
        <v>304</v>
      </c>
      <c r="I81">
        <v>2</v>
      </c>
      <c r="J81">
        <v>4</v>
      </c>
      <c r="K81">
        <v>2</v>
      </c>
      <c r="L81">
        <v>2</v>
      </c>
      <c r="M81" s="1" t="b">
        <v>0</v>
      </c>
      <c r="O81">
        <v>1011.31</v>
      </c>
      <c r="P81">
        <v>71.31</v>
      </c>
      <c r="Q81">
        <v>57.92</v>
      </c>
    </row>
    <row r="82" spans="1:17">
      <c r="A82" t="s">
        <v>303</v>
      </c>
      <c r="B82">
        <v>82</v>
      </c>
      <c r="C82" s="7">
        <v>46193.84447916667</v>
      </c>
      <c r="D82" s="2">
        <f t="shared" si="2"/>
        <v>46193.845383414358</v>
      </c>
      <c r="E82">
        <v>2039847</v>
      </c>
      <c r="F82">
        <v>2117974</v>
      </c>
      <c r="G82">
        <f t="shared" si="3"/>
        <v>1.3021166666666666</v>
      </c>
      <c r="H82" t="s">
        <v>304</v>
      </c>
      <c r="I82">
        <v>3</v>
      </c>
      <c r="J82">
        <v>4</v>
      </c>
      <c r="K82">
        <v>1</v>
      </c>
      <c r="L82">
        <v>1</v>
      </c>
      <c r="M82" s="1" t="b">
        <v>0</v>
      </c>
      <c r="O82">
        <v>1010.86</v>
      </c>
      <c r="P82">
        <v>75.040000000000006</v>
      </c>
      <c r="Q82">
        <v>61.64</v>
      </c>
    </row>
    <row r="83" spans="1:17">
      <c r="A83" t="s">
        <v>303</v>
      </c>
      <c r="B83">
        <v>106</v>
      </c>
      <c r="C83" s="7">
        <v>46193.84447916667</v>
      </c>
      <c r="D83" s="2">
        <f t="shared" si="2"/>
        <v>46193.845657916667</v>
      </c>
      <c r="E83">
        <v>2039847</v>
      </c>
      <c r="F83">
        <v>2141691</v>
      </c>
      <c r="G83">
        <f t="shared" si="3"/>
        <v>1.6974</v>
      </c>
      <c r="H83" t="s">
        <v>304</v>
      </c>
      <c r="I83">
        <v>4</v>
      </c>
      <c r="J83">
        <v>4</v>
      </c>
      <c r="K83">
        <v>0</v>
      </c>
      <c r="L83">
        <v>0</v>
      </c>
      <c r="M83" s="1" t="b">
        <v>1</v>
      </c>
      <c r="O83">
        <v>1010.41</v>
      </c>
      <c r="P83">
        <v>78.73</v>
      </c>
      <c r="Q83">
        <v>65.34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78"/>
  <sheetViews>
    <sheetView workbookViewId="0">
      <selection activeCell="O27" sqref="O27"/>
    </sheetView>
  </sheetViews>
  <sheetFormatPr baseColWidth="10" defaultColWidth="9" defaultRowHeight="14.25"/>
  <cols>
    <col min="4" max="5" width="18.75" customWidth="1"/>
  </cols>
  <sheetData>
    <row r="1" spans="1:11">
      <c r="A1" t="s">
        <v>305</v>
      </c>
      <c r="B1" t="s">
        <v>306</v>
      </c>
      <c r="C1" t="s">
        <v>287</v>
      </c>
      <c r="D1" t="s">
        <v>307</v>
      </c>
      <c r="E1" t="s">
        <v>285</v>
      </c>
      <c r="F1" t="s">
        <v>286</v>
      </c>
      <c r="G1" t="s">
        <v>283</v>
      </c>
      <c r="H1" t="s">
        <v>300</v>
      </c>
      <c r="I1" t="s">
        <v>284</v>
      </c>
      <c r="J1" t="s">
        <v>308</v>
      </c>
      <c r="K1" t="s">
        <v>282</v>
      </c>
    </row>
    <row r="2" spans="1:11">
      <c r="A2" t="s">
        <v>309</v>
      </c>
      <c r="B2">
        <v>43053</v>
      </c>
      <c r="C2">
        <v>23.81</v>
      </c>
      <c r="D2">
        <v>101392.03</v>
      </c>
      <c r="E2">
        <v>1013.92</v>
      </c>
      <c r="F2">
        <v>0</v>
      </c>
      <c r="K2">
        <v>0</v>
      </c>
    </row>
    <row r="3" spans="1:11">
      <c r="A3" t="s">
        <v>309</v>
      </c>
      <c r="B3">
        <v>1057142</v>
      </c>
      <c r="C3">
        <v>24</v>
      </c>
      <c r="D3">
        <v>101394.27</v>
      </c>
      <c r="E3">
        <v>1013.94</v>
      </c>
      <c r="F3">
        <v>0</v>
      </c>
      <c r="K3">
        <v>0</v>
      </c>
    </row>
    <row r="4" spans="1:11">
      <c r="A4" t="s">
        <v>310</v>
      </c>
      <c r="B4">
        <v>1085782</v>
      </c>
      <c r="C4">
        <v>24.05</v>
      </c>
      <c r="D4">
        <v>101901.79</v>
      </c>
      <c r="E4">
        <v>1019.02</v>
      </c>
      <c r="F4">
        <v>-42.14</v>
      </c>
      <c r="G4">
        <v>0</v>
      </c>
      <c r="H4">
        <v>-42.14</v>
      </c>
    </row>
    <row r="5" spans="1:11">
      <c r="A5" t="s">
        <v>310</v>
      </c>
      <c r="B5">
        <v>1086787</v>
      </c>
      <c r="C5">
        <v>24.03</v>
      </c>
      <c r="D5">
        <v>101903.48</v>
      </c>
      <c r="E5">
        <v>1019.03</v>
      </c>
      <c r="F5">
        <v>-42.28</v>
      </c>
      <c r="G5">
        <v>0</v>
      </c>
      <c r="H5">
        <v>-42.28</v>
      </c>
    </row>
    <row r="6" spans="1:11">
      <c r="A6" t="s">
        <v>310</v>
      </c>
      <c r="B6">
        <v>1087796</v>
      </c>
      <c r="C6">
        <v>24.03</v>
      </c>
      <c r="D6">
        <v>101903.98</v>
      </c>
      <c r="E6">
        <v>1019.04</v>
      </c>
      <c r="F6">
        <v>-42.32</v>
      </c>
      <c r="G6">
        <v>0</v>
      </c>
      <c r="H6">
        <v>-42.32</v>
      </c>
    </row>
    <row r="7" spans="1:11">
      <c r="A7" t="s">
        <v>310</v>
      </c>
      <c r="B7">
        <v>1088798</v>
      </c>
      <c r="C7">
        <v>24.04</v>
      </c>
      <c r="D7">
        <v>101904.05</v>
      </c>
      <c r="E7">
        <v>1019.04</v>
      </c>
      <c r="F7">
        <v>-42.33</v>
      </c>
      <c r="G7">
        <v>0</v>
      </c>
      <c r="H7">
        <v>-42.33</v>
      </c>
    </row>
    <row r="8" spans="1:11">
      <c r="A8" t="s">
        <v>310</v>
      </c>
      <c r="B8">
        <v>1089801</v>
      </c>
      <c r="C8">
        <v>24.04</v>
      </c>
      <c r="D8">
        <v>101903.88</v>
      </c>
      <c r="E8">
        <v>1019.04</v>
      </c>
      <c r="F8">
        <v>-42.31</v>
      </c>
      <c r="G8">
        <v>0</v>
      </c>
      <c r="H8">
        <v>-42.31</v>
      </c>
    </row>
    <row r="9" spans="1:11">
      <c r="A9" t="s">
        <v>310</v>
      </c>
      <c r="B9">
        <v>1090808</v>
      </c>
      <c r="C9">
        <v>24.05</v>
      </c>
      <c r="D9">
        <v>101903.35</v>
      </c>
      <c r="E9">
        <v>1019.03</v>
      </c>
      <c r="F9">
        <v>-42.27</v>
      </c>
      <c r="G9">
        <v>0</v>
      </c>
      <c r="H9">
        <v>-42.27</v>
      </c>
    </row>
    <row r="10" spans="1:11">
      <c r="A10" t="s">
        <v>310</v>
      </c>
      <c r="B10">
        <v>1091815</v>
      </c>
      <c r="C10">
        <v>24.05</v>
      </c>
      <c r="D10">
        <v>101903.3</v>
      </c>
      <c r="E10">
        <v>1019.03</v>
      </c>
      <c r="F10">
        <v>-42.26</v>
      </c>
      <c r="G10">
        <v>0</v>
      </c>
      <c r="H10">
        <v>-42.26</v>
      </c>
    </row>
    <row r="11" spans="1:11">
      <c r="A11" t="s">
        <v>310</v>
      </c>
      <c r="B11">
        <v>1092823</v>
      </c>
      <c r="C11">
        <v>24.06</v>
      </c>
      <c r="D11">
        <v>101903.51</v>
      </c>
      <c r="E11">
        <v>1019.04</v>
      </c>
      <c r="F11">
        <v>-42.28</v>
      </c>
      <c r="G11">
        <v>0</v>
      </c>
      <c r="H11">
        <v>-42.28</v>
      </c>
    </row>
    <row r="12" spans="1:11">
      <c r="A12" t="s">
        <v>310</v>
      </c>
      <c r="B12">
        <v>1093833</v>
      </c>
      <c r="C12">
        <v>24.06</v>
      </c>
      <c r="D12">
        <v>101903.33</v>
      </c>
      <c r="E12">
        <v>1019.03</v>
      </c>
      <c r="F12">
        <v>-42.27</v>
      </c>
      <c r="G12">
        <v>0</v>
      </c>
      <c r="H12">
        <v>-42.27</v>
      </c>
    </row>
    <row r="13" spans="1:11">
      <c r="A13" t="s">
        <v>310</v>
      </c>
      <c r="B13">
        <v>1094844</v>
      </c>
      <c r="C13">
        <v>24.06</v>
      </c>
      <c r="D13">
        <v>101902.73</v>
      </c>
      <c r="E13">
        <v>1019.03</v>
      </c>
      <c r="F13">
        <v>-42.22</v>
      </c>
      <c r="G13">
        <v>0</v>
      </c>
      <c r="H13">
        <v>-42.22</v>
      </c>
    </row>
    <row r="14" spans="1:11">
      <c r="A14" t="s">
        <v>310</v>
      </c>
      <c r="B14">
        <v>1095856</v>
      </c>
      <c r="C14">
        <v>24.07</v>
      </c>
      <c r="D14">
        <v>101902.92</v>
      </c>
      <c r="E14">
        <v>1019.03</v>
      </c>
      <c r="F14">
        <v>-42.23</v>
      </c>
      <c r="G14">
        <v>0</v>
      </c>
      <c r="H14">
        <v>-42.23</v>
      </c>
    </row>
    <row r="15" spans="1:11">
      <c r="A15" t="s">
        <v>310</v>
      </c>
      <c r="B15">
        <v>1096924</v>
      </c>
      <c r="C15">
        <v>24.07</v>
      </c>
      <c r="D15">
        <v>101903.33</v>
      </c>
      <c r="E15">
        <v>1019.03</v>
      </c>
      <c r="F15">
        <v>-42.27</v>
      </c>
      <c r="G15">
        <v>0</v>
      </c>
      <c r="H15">
        <v>-42.27</v>
      </c>
    </row>
    <row r="16" spans="1:11">
      <c r="A16" t="s">
        <v>310</v>
      </c>
      <c r="B16">
        <v>1097862</v>
      </c>
      <c r="C16">
        <v>24.07</v>
      </c>
      <c r="D16">
        <v>101903.34</v>
      </c>
      <c r="E16">
        <v>1019.03</v>
      </c>
      <c r="F16">
        <v>-42.27</v>
      </c>
      <c r="G16">
        <v>0</v>
      </c>
      <c r="H16">
        <v>-42.27</v>
      </c>
    </row>
    <row r="17" spans="1:8">
      <c r="A17" t="s">
        <v>310</v>
      </c>
      <c r="B17">
        <v>1098881</v>
      </c>
      <c r="C17">
        <v>24.08</v>
      </c>
      <c r="D17">
        <v>101903.56</v>
      </c>
      <c r="E17">
        <v>1019.04</v>
      </c>
      <c r="F17">
        <v>-42.29</v>
      </c>
      <c r="G17">
        <v>0</v>
      </c>
      <c r="H17">
        <v>-42.29</v>
      </c>
    </row>
    <row r="18" spans="1:8">
      <c r="A18" t="s">
        <v>310</v>
      </c>
      <c r="B18">
        <v>1099902</v>
      </c>
      <c r="C18">
        <v>24.08</v>
      </c>
      <c r="D18">
        <v>101903.21</v>
      </c>
      <c r="E18">
        <v>1019.03</v>
      </c>
      <c r="F18">
        <v>-42.26</v>
      </c>
      <c r="G18">
        <v>0</v>
      </c>
      <c r="H18">
        <v>-42.26</v>
      </c>
    </row>
    <row r="19" spans="1:8">
      <c r="A19" t="s">
        <v>310</v>
      </c>
      <c r="B19">
        <v>1100903</v>
      </c>
      <c r="C19">
        <v>24.08</v>
      </c>
      <c r="D19">
        <v>101902.75</v>
      </c>
      <c r="E19">
        <v>1019.03</v>
      </c>
      <c r="F19">
        <v>-42.22</v>
      </c>
      <c r="G19">
        <v>0</v>
      </c>
      <c r="H19">
        <v>-42.22</v>
      </c>
    </row>
    <row r="20" spans="1:8">
      <c r="A20" t="s">
        <v>310</v>
      </c>
      <c r="B20">
        <v>1101907</v>
      </c>
      <c r="C20">
        <v>24.08</v>
      </c>
      <c r="D20">
        <v>101902.71</v>
      </c>
      <c r="E20">
        <v>1019.03</v>
      </c>
      <c r="F20">
        <v>-42.22</v>
      </c>
      <c r="G20">
        <v>0</v>
      </c>
      <c r="H20">
        <v>-42.22</v>
      </c>
    </row>
    <row r="21" spans="1:8">
      <c r="A21" t="s">
        <v>310</v>
      </c>
      <c r="B21">
        <v>1102911</v>
      </c>
      <c r="C21">
        <v>24.08</v>
      </c>
      <c r="D21">
        <v>101902.2</v>
      </c>
      <c r="E21">
        <v>1019.02</v>
      </c>
      <c r="F21">
        <v>-42.17</v>
      </c>
      <c r="G21">
        <v>0</v>
      </c>
      <c r="H21">
        <v>-42.17</v>
      </c>
    </row>
    <row r="22" spans="1:8">
      <c r="A22" t="s">
        <v>310</v>
      </c>
      <c r="B22">
        <v>1103918</v>
      </c>
      <c r="C22">
        <v>24.08</v>
      </c>
      <c r="D22">
        <v>101902.16</v>
      </c>
      <c r="E22">
        <v>1019.02</v>
      </c>
      <c r="F22">
        <v>-42.17</v>
      </c>
      <c r="G22">
        <v>0</v>
      </c>
      <c r="H22">
        <v>-42.17</v>
      </c>
    </row>
    <row r="23" spans="1:8">
      <c r="A23" t="s">
        <v>310</v>
      </c>
      <c r="B23">
        <v>1104925</v>
      </c>
      <c r="C23">
        <v>24.08</v>
      </c>
      <c r="D23">
        <v>101902.2</v>
      </c>
      <c r="E23">
        <v>1019.02</v>
      </c>
      <c r="F23">
        <v>-42.17</v>
      </c>
      <c r="G23">
        <v>0</v>
      </c>
      <c r="H23">
        <v>-42.17</v>
      </c>
    </row>
    <row r="24" spans="1:8">
      <c r="A24" t="s">
        <v>310</v>
      </c>
      <c r="B24">
        <v>1105933</v>
      </c>
      <c r="C24">
        <v>24.08</v>
      </c>
      <c r="D24">
        <v>101902.38</v>
      </c>
      <c r="E24">
        <v>1019.02</v>
      </c>
      <c r="F24">
        <v>-42.19</v>
      </c>
      <c r="G24">
        <v>0</v>
      </c>
      <c r="H24">
        <v>-42.19</v>
      </c>
    </row>
    <row r="25" spans="1:8">
      <c r="A25" t="s">
        <v>310</v>
      </c>
      <c r="B25">
        <v>1106944</v>
      </c>
      <c r="C25">
        <v>24.08</v>
      </c>
      <c r="D25">
        <v>101902.42</v>
      </c>
      <c r="E25">
        <v>1019.02</v>
      </c>
      <c r="F25">
        <v>-42.19</v>
      </c>
      <c r="G25">
        <v>0</v>
      </c>
      <c r="H25">
        <v>-42.19</v>
      </c>
    </row>
    <row r="26" spans="1:8">
      <c r="A26" t="s">
        <v>310</v>
      </c>
      <c r="B26">
        <v>1107955</v>
      </c>
      <c r="C26">
        <v>24.08</v>
      </c>
      <c r="D26">
        <v>101902.02</v>
      </c>
      <c r="E26">
        <v>1019.02</v>
      </c>
      <c r="F26">
        <v>-42.16</v>
      </c>
      <c r="G26">
        <v>0</v>
      </c>
      <c r="H26">
        <v>-42.16</v>
      </c>
    </row>
    <row r="27" spans="1:8">
      <c r="A27" t="s">
        <v>310</v>
      </c>
      <c r="B27">
        <v>1108968</v>
      </c>
      <c r="C27">
        <v>24.07</v>
      </c>
      <c r="D27">
        <v>101902.31</v>
      </c>
      <c r="E27">
        <v>1019.02</v>
      </c>
      <c r="F27">
        <v>-42.18</v>
      </c>
      <c r="G27">
        <v>0</v>
      </c>
      <c r="H27">
        <v>-42.18</v>
      </c>
    </row>
    <row r="28" spans="1:8">
      <c r="A28" t="s">
        <v>310</v>
      </c>
      <c r="B28">
        <v>1109982</v>
      </c>
      <c r="C28">
        <v>24.07</v>
      </c>
      <c r="D28">
        <v>101902.56</v>
      </c>
      <c r="E28">
        <v>1019.03</v>
      </c>
      <c r="F28">
        <v>-42.2</v>
      </c>
      <c r="G28">
        <v>0</v>
      </c>
      <c r="H28">
        <v>-42.2</v>
      </c>
    </row>
    <row r="29" spans="1:8">
      <c r="A29" t="s">
        <v>310</v>
      </c>
      <c r="B29">
        <v>1110998</v>
      </c>
      <c r="C29">
        <v>24.07</v>
      </c>
      <c r="D29">
        <v>101902.15</v>
      </c>
      <c r="E29">
        <v>1019.02</v>
      </c>
      <c r="F29">
        <v>-42.17</v>
      </c>
      <c r="G29">
        <v>0</v>
      </c>
      <c r="H29">
        <v>-42.17</v>
      </c>
    </row>
    <row r="30" spans="1:8">
      <c r="A30" t="s">
        <v>310</v>
      </c>
      <c r="B30">
        <v>1112014</v>
      </c>
      <c r="C30">
        <v>24.07</v>
      </c>
      <c r="D30">
        <v>101901.92</v>
      </c>
      <c r="E30">
        <v>1019.02</v>
      </c>
      <c r="F30">
        <v>-42.15</v>
      </c>
      <c r="G30">
        <v>0</v>
      </c>
      <c r="H30">
        <v>-42.15</v>
      </c>
    </row>
    <row r="31" spans="1:8">
      <c r="A31" t="s">
        <v>310</v>
      </c>
      <c r="B31">
        <v>1113031</v>
      </c>
      <c r="C31">
        <v>24.08</v>
      </c>
      <c r="D31">
        <v>101901.48</v>
      </c>
      <c r="E31">
        <v>1019.01</v>
      </c>
      <c r="F31">
        <v>-42.11</v>
      </c>
      <c r="G31">
        <v>0</v>
      </c>
      <c r="H31">
        <v>-42.11</v>
      </c>
    </row>
    <row r="32" spans="1:8">
      <c r="A32" t="s">
        <v>310</v>
      </c>
      <c r="B32">
        <v>1114027</v>
      </c>
      <c r="C32">
        <v>24.08</v>
      </c>
      <c r="D32">
        <v>101901.17</v>
      </c>
      <c r="E32">
        <v>1019.01</v>
      </c>
      <c r="F32">
        <v>-42.09</v>
      </c>
      <c r="G32">
        <v>0</v>
      </c>
      <c r="H32">
        <v>-42.09</v>
      </c>
    </row>
    <row r="33" spans="1:8">
      <c r="A33" t="s">
        <v>310</v>
      </c>
      <c r="B33">
        <v>1115031</v>
      </c>
      <c r="C33">
        <v>24.08</v>
      </c>
      <c r="D33">
        <v>101901.09</v>
      </c>
      <c r="E33">
        <v>1019.01</v>
      </c>
      <c r="F33">
        <v>-42.08</v>
      </c>
      <c r="G33">
        <v>0</v>
      </c>
      <c r="H33">
        <v>-42.08</v>
      </c>
    </row>
    <row r="34" spans="1:8">
      <c r="A34" t="s">
        <v>310</v>
      </c>
      <c r="B34">
        <v>1116037</v>
      </c>
      <c r="C34">
        <v>24.07</v>
      </c>
      <c r="D34">
        <v>101900.58</v>
      </c>
      <c r="E34">
        <v>1019.01</v>
      </c>
      <c r="F34">
        <v>-42.04</v>
      </c>
      <c r="G34">
        <v>0</v>
      </c>
      <c r="H34">
        <v>-42.04</v>
      </c>
    </row>
    <row r="35" spans="1:8">
      <c r="A35" t="s">
        <v>310</v>
      </c>
      <c r="B35">
        <v>1117045</v>
      </c>
      <c r="C35">
        <v>24.07</v>
      </c>
      <c r="D35">
        <v>101900.39</v>
      </c>
      <c r="E35">
        <v>1019</v>
      </c>
      <c r="F35">
        <v>-42.02</v>
      </c>
      <c r="G35">
        <v>0</v>
      </c>
      <c r="H35">
        <v>-42.02</v>
      </c>
    </row>
    <row r="36" spans="1:8">
      <c r="A36" t="s">
        <v>310</v>
      </c>
      <c r="B36">
        <v>1118054</v>
      </c>
      <c r="C36">
        <v>24.07</v>
      </c>
      <c r="D36">
        <v>101901.05</v>
      </c>
      <c r="E36">
        <v>1019.01</v>
      </c>
      <c r="F36">
        <v>-42.08</v>
      </c>
      <c r="G36">
        <v>0</v>
      </c>
      <c r="H36">
        <v>-42.08</v>
      </c>
    </row>
    <row r="37" spans="1:8">
      <c r="A37" t="s">
        <v>310</v>
      </c>
      <c r="B37">
        <v>1119064</v>
      </c>
      <c r="C37">
        <v>24.07</v>
      </c>
      <c r="D37">
        <v>101901.68</v>
      </c>
      <c r="E37">
        <v>1019.02</v>
      </c>
      <c r="F37">
        <v>-42.13</v>
      </c>
      <c r="G37">
        <v>0</v>
      </c>
      <c r="H37">
        <v>-42.13</v>
      </c>
    </row>
    <row r="38" spans="1:8">
      <c r="A38" t="s">
        <v>310</v>
      </c>
      <c r="B38">
        <v>1120075</v>
      </c>
      <c r="C38">
        <v>24.06</v>
      </c>
      <c r="D38">
        <v>101902.03</v>
      </c>
      <c r="E38">
        <v>1019.02</v>
      </c>
      <c r="F38">
        <v>-42.16</v>
      </c>
      <c r="G38">
        <v>0</v>
      </c>
      <c r="H38">
        <v>-42.16</v>
      </c>
    </row>
    <row r="39" spans="1:8">
      <c r="A39" t="s">
        <v>310</v>
      </c>
      <c r="B39">
        <v>1121087</v>
      </c>
      <c r="C39">
        <v>24.06</v>
      </c>
      <c r="D39">
        <v>101901.95</v>
      </c>
      <c r="E39">
        <v>1019.02</v>
      </c>
      <c r="F39">
        <v>-42.15</v>
      </c>
      <c r="G39">
        <v>0</v>
      </c>
      <c r="H39">
        <v>-42.15</v>
      </c>
    </row>
    <row r="40" spans="1:8">
      <c r="A40" t="s">
        <v>310</v>
      </c>
      <c r="B40">
        <v>1122100</v>
      </c>
      <c r="C40">
        <v>24.06</v>
      </c>
      <c r="D40">
        <v>101902.3</v>
      </c>
      <c r="E40">
        <v>1019.02</v>
      </c>
      <c r="F40">
        <v>-42.18</v>
      </c>
      <c r="G40">
        <v>0</v>
      </c>
      <c r="H40">
        <v>-42.18</v>
      </c>
    </row>
    <row r="41" spans="1:8">
      <c r="A41" t="s">
        <v>310</v>
      </c>
      <c r="B41">
        <v>1123115</v>
      </c>
      <c r="C41">
        <v>24.06</v>
      </c>
      <c r="D41">
        <v>101902.9</v>
      </c>
      <c r="E41">
        <v>1019.03</v>
      </c>
      <c r="F41">
        <v>-42.23</v>
      </c>
      <c r="G41">
        <v>0</v>
      </c>
      <c r="H41">
        <v>-42.23</v>
      </c>
    </row>
    <row r="42" spans="1:8">
      <c r="A42" t="s">
        <v>310</v>
      </c>
      <c r="B42">
        <v>1124130</v>
      </c>
      <c r="C42">
        <v>24.05</v>
      </c>
      <c r="D42">
        <v>101902.77</v>
      </c>
      <c r="E42">
        <v>1019.03</v>
      </c>
      <c r="F42">
        <v>-42.22</v>
      </c>
      <c r="G42">
        <v>0</v>
      </c>
      <c r="H42">
        <v>-42.22</v>
      </c>
    </row>
    <row r="43" spans="1:8">
      <c r="A43" t="s">
        <v>310</v>
      </c>
      <c r="B43">
        <v>1125146</v>
      </c>
      <c r="C43">
        <v>24.05</v>
      </c>
      <c r="D43">
        <v>101902.77</v>
      </c>
      <c r="E43">
        <v>1019.03</v>
      </c>
      <c r="F43">
        <v>-42.22</v>
      </c>
      <c r="G43">
        <v>0</v>
      </c>
      <c r="H43">
        <v>-42.22</v>
      </c>
    </row>
    <row r="44" spans="1:8">
      <c r="A44" t="s">
        <v>310</v>
      </c>
      <c r="B44">
        <v>1126164</v>
      </c>
      <c r="C44">
        <v>24.05</v>
      </c>
      <c r="D44">
        <v>101902.95</v>
      </c>
      <c r="E44">
        <v>1019.03</v>
      </c>
      <c r="F44">
        <v>-42.23</v>
      </c>
      <c r="G44">
        <v>0</v>
      </c>
      <c r="H44">
        <v>-42.23</v>
      </c>
    </row>
    <row r="45" spans="1:8">
      <c r="A45" t="s">
        <v>310</v>
      </c>
      <c r="B45">
        <v>1127183</v>
      </c>
      <c r="C45">
        <v>24.05</v>
      </c>
      <c r="D45">
        <v>101902.92</v>
      </c>
      <c r="E45">
        <v>1019.03</v>
      </c>
      <c r="F45">
        <v>-42.23</v>
      </c>
      <c r="G45">
        <v>0</v>
      </c>
      <c r="H45">
        <v>-42.23</v>
      </c>
    </row>
    <row r="46" spans="1:8">
      <c r="A46" t="s">
        <v>310</v>
      </c>
      <c r="B46">
        <v>1128186</v>
      </c>
      <c r="C46">
        <v>24.05</v>
      </c>
      <c r="D46">
        <v>101902.5</v>
      </c>
      <c r="E46">
        <v>1019.02</v>
      </c>
      <c r="F46">
        <v>-42.2</v>
      </c>
      <c r="G46">
        <v>0</v>
      </c>
      <c r="H46">
        <v>-42.2</v>
      </c>
    </row>
    <row r="47" spans="1:8">
      <c r="A47" t="s">
        <v>310</v>
      </c>
      <c r="B47">
        <v>1129189</v>
      </c>
      <c r="C47">
        <v>24.05</v>
      </c>
      <c r="D47">
        <v>101902.32</v>
      </c>
      <c r="E47">
        <v>1019.02</v>
      </c>
      <c r="F47">
        <v>-42.18</v>
      </c>
      <c r="G47">
        <v>0</v>
      </c>
      <c r="H47">
        <v>-42.18</v>
      </c>
    </row>
    <row r="48" spans="1:8">
      <c r="A48" t="s">
        <v>310</v>
      </c>
      <c r="B48">
        <v>1130183</v>
      </c>
      <c r="C48">
        <v>24.06</v>
      </c>
      <c r="D48">
        <v>101902.45</v>
      </c>
      <c r="E48">
        <v>1019.02</v>
      </c>
      <c r="F48">
        <v>-42.19</v>
      </c>
      <c r="G48">
        <v>0</v>
      </c>
      <c r="H48">
        <v>-42.19</v>
      </c>
    </row>
    <row r="49" spans="1:8">
      <c r="A49" t="s">
        <v>310</v>
      </c>
      <c r="B49">
        <v>1131192</v>
      </c>
      <c r="C49">
        <v>24.06</v>
      </c>
      <c r="D49">
        <v>101902.18</v>
      </c>
      <c r="E49">
        <v>1019.02</v>
      </c>
      <c r="F49">
        <v>-42.17</v>
      </c>
      <c r="G49">
        <v>0</v>
      </c>
      <c r="H49">
        <v>-42.17</v>
      </c>
    </row>
    <row r="50" spans="1:8">
      <c r="A50" t="s">
        <v>310</v>
      </c>
      <c r="B50">
        <v>1132203</v>
      </c>
      <c r="C50">
        <v>24.06</v>
      </c>
      <c r="D50">
        <v>101902.2</v>
      </c>
      <c r="E50">
        <v>1019.02</v>
      </c>
      <c r="F50">
        <v>-42.17</v>
      </c>
      <c r="G50">
        <v>0</v>
      </c>
      <c r="H50">
        <v>-42.17</v>
      </c>
    </row>
    <row r="51" spans="1:8">
      <c r="A51" t="s">
        <v>310</v>
      </c>
      <c r="B51">
        <v>1133214</v>
      </c>
      <c r="C51">
        <v>24.06</v>
      </c>
      <c r="D51">
        <v>101902.56</v>
      </c>
      <c r="E51">
        <v>1019.03</v>
      </c>
      <c r="F51">
        <v>-42.2</v>
      </c>
      <c r="G51">
        <v>0</v>
      </c>
      <c r="H51">
        <v>-42.2</v>
      </c>
    </row>
    <row r="52" spans="1:8">
      <c r="A52" t="s">
        <v>310</v>
      </c>
      <c r="B52">
        <v>1183354</v>
      </c>
      <c r="C52">
        <v>24.04</v>
      </c>
      <c r="D52">
        <v>101902.77</v>
      </c>
      <c r="E52">
        <v>1019.03</v>
      </c>
      <c r="F52">
        <v>-42.22</v>
      </c>
      <c r="G52">
        <v>0</v>
      </c>
      <c r="H52">
        <v>-42.22</v>
      </c>
    </row>
    <row r="53" spans="1:8">
      <c r="A53" t="s">
        <v>310</v>
      </c>
      <c r="B53">
        <v>1184367</v>
      </c>
      <c r="C53">
        <v>24.02</v>
      </c>
      <c r="D53">
        <v>101902.77</v>
      </c>
      <c r="E53">
        <v>1019.03</v>
      </c>
      <c r="F53">
        <v>-42.22</v>
      </c>
      <c r="G53">
        <v>0</v>
      </c>
      <c r="H53">
        <v>-42.22</v>
      </c>
    </row>
    <row r="54" spans="1:8">
      <c r="A54" t="s">
        <v>310</v>
      </c>
      <c r="B54">
        <v>1185382</v>
      </c>
      <c r="C54">
        <v>24.02</v>
      </c>
      <c r="D54">
        <v>101902.7</v>
      </c>
      <c r="E54">
        <v>1019.03</v>
      </c>
      <c r="F54">
        <v>-42.21</v>
      </c>
      <c r="G54">
        <v>0</v>
      </c>
      <c r="H54">
        <v>-42.21</v>
      </c>
    </row>
    <row r="55" spans="1:8">
      <c r="A55" t="s">
        <v>310</v>
      </c>
      <c r="B55">
        <v>1186397</v>
      </c>
      <c r="C55">
        <v>24.03</v>
      </c>
      <c r="D55">
        <v>101902.87</v>
      </c>
      <c r="E55">
        <v>1019.03</v>
      </c>
      <c r="F55">
        <v>-42.23</v>
      </c>
      <c r="G55">
        <v>0</v>
      </c>
      <c r="H55">
        <v>-42.23</v>
      </c>
    </row>
    <row r="56" spans="1:8">
      <c r="A56" t="s">
        <v>310</v>
      </c>
      <c r="B56">
        <v>1187414</v>
      </c>
      <c r="C56">
        <v>24.04</v>
      </c>
      <c r="D56">
        <v>101903.02</v>
      </c>
      <c r="E56">
        <v>1019.03</v>
      </c>
      <c r="F56">
        <v>-42.24</v>
      </c>
      <c r="G56">
        <v>0</v>
      </c>
      <c r="H56">
        <v>-42.24</v>
      </c>
    </row>
    <row r="57" spans="1:8">
      <c r="A57" t="s">
        <v>310</v>
      </c>
      <c r="B57">
        <v>1188433</v>
      </c>
      <c r="C57">
        <v>24.04</v>
      </c>
      <c r="D57">
        <v>101903.33</v>
      </c>
      <c r="E57">
        <v>1019.03</v>
      </c>
      <c r="F57">
        <v>-42.27</v>
      </c>
      <c r="G57">
        <v>0</v>
      </c>
      <c r="H57">
        <v>-42.27</v>
      </c>
    </row>
    <row r="58" spans="1:8">
      <c r="A58" t="s">
        <v>310</v>
      </c>
      <c r="B58">
        <v>1189434</v>
      </c>
      <c r="C58">
        <v>24.04</v>
      </c>
      <c r="D58">
        <v>101903.63</v>
      </c>
      <c r="E58">
        <v>1019.04</v>
      </c>
      <c r="F58">
        <v>-42.29</v>
      </c>
      <c r="G58">
        <v>0</v>
      </c>
      <c r="H58">
        <v>-42.29</v>
      </c>
    </row>
    <row r="59" spans="1:8">
      <c r="A59" t="s">
        <v>310</v>
      </c>
      <c r="B59">
        <v>1190437</v>
      </c>
      <c r="C59">
        <v>24.04</v>
      </c>
      <c r="D59">
        <v>101903.79</v>
      </c>
      <c r="E59">
        <v>1019.04</v>
      </c>
      <c r="F59">
        <v>-42.31</v>
      </c>
      <c r="G59">
        <v>0</v>
      </c>
      <c r="H59">
        <v>-42.31</v>
      </c>
    </row>
    <row r="60" spans="1:8">
      <c r="A60" t="s">
        <v>310</v>
      </c>
      <c r="B60">
        <v>1191441</v>
      </c>
      <c r="C60">
        <v>24.04</v>
      </c>
      <c r="D60">
        <v>101904.16</v>
      </c>
      <c r="E60">
        <v>1019.04</v>
      </c>
      <c r="F60">
        <v>-42.34</v>
      </c>
      <c r="G60">
        <v>0</v>
      </c>
      <c r="H60">
        <v>-42.34</v>
      </c>
    </row>
    <row r="61" spans="1:8">
      <c r="A61" t="s">
        <v>310</v>
      </c>
      <c r="B61">
        <v>1192447</v>
      </c>
      <c r="C61">
        <v>24.04</v>
      </c>
      <c r="D61">
        <v>101904.23</v>
      </c>
      <c r="E61">
        <v>1019.04</v>
      </c>
      <c r="F61">
        <v>-42.34</v>
      </c>
      <c r="G61">
        <v>0</v>
      </c>
      <c r="H61">
        <v>-42.34</v>
      </c>
    </row>
    <row r="62" spans="1:8">
      <c r="A62" t="s">
        <v>310</v>
      </c>
      <c r="B62">
        <v>1193453</v>
      </c>
      <c r="C62">
        <v>24.04</v>
      </c>
      <c r="D62">
        <v>101904.14</v>
      </c>
      <c r="E62">
        <v>1019.04</v>
      </c>
      <c r="F62">
        <v>-42.33</v>
      </c>
      <c r="G62">
        <v>0</v>
      </c>
      <c r="H62">
        <v>-42.33</v>
      </c>
    </row>
    <row r="63" spans="1:8">
      <c r="A63" t="s">
        <v>310</v>
      </c>
      <c r="B63">
        <v>1194459</v>
      </c>
      <c r="C63">
        <v>24.04</v>
      </c>
      <c r="D63">
        <v>101904.73</v>
      </c>
      <c r="E63">
        <v>1019.05</v>
      </c>
      <c r="F63">
        <v>-42.38</v>
      </c>
      <c r="G63">
        <v>0</v>
      </c>
      <c r="H63">
        <v>-42.38</v>
      </c>
    </row>
    <row r="64" spans="1:8">
      <c r="A64" t="s">
        <v>310</v>
      </c>
      <c r="B64">
        <v>1195455</v>
      </c>
      <c r="C64">
        <v>24.04</v>
      </c>
      <c r="D64">
        <v>101905.07</v>
      </c>
      <c r="E64">
        <v>1019.05</v>
      </c>
      <c r="F64">
        <v>-42.41</v>
      </c>
      <c r="G64">
        <v>0</v>
      </c>
      <c r="H64">
        <v>-42.41</v>
      </c>
    </row>
    <row r="65" spans="1:8">
      <c r="A65" t="s">
        <v>310</v>
      </c>
      <c r="B65">
        <v>1196463</v>
      </c>
      <c r="C65">
        <v>24.04</v>
      </c>
      <c r="D65">
        <v>101905.3</v>
      </c>
      <c r="E65">
        <v>1019.05</v>
      </c>
      <c r="F65">
        <v>-42.43</v>
      </c>
      <c r="G65">
        <v>0</v>
      </c>
      <c r="H65">
        <v>-42.43</v>
      </c>
    </row>
    <row r="66" spans="1:8">
      <c r="A66" t="s">
        <v>310</v>
      </c>
      <c r="B66">
        <v>1197477</v>
      </c>
      <c r="C66">
        <v>24.04</v>
      </c>
      <c r="D66">
        <v>101905.05</v>
      </c>
      <c r="E66">
        <v>1019.05</v>
      </c>
      <c r="F66">
        <v>-42.41</v>
      </c>
      <c r="G66">
        <v>0</v>
      </c>
      <c r="H66">
        <v>-42.41</v>
      </c>
    </row>
    <row r="67" spans="1:8">
      <c r="A67" t="s">
        <v>310</v>
      </c>
      <c r="B67">
        <v>1198493</v>
      </c>
      <c r="C67">
        <v>24.04</v>
      </c>
      <c r="D67">
        <v>101904.43</v>
      </c>
      <c r="E67">
        <v>1019.04</v>
      </c>
      <c r="F67">
        <v>-42.36</v>
      </c>
      <c r="G67">
        <v>0</v>
      </c>
      <c r="H67">
        <v>-42.36</v>
      </c>
    </row>
    <row r="68" spans="1:8">
      <c r="A68" t="s">
        <v>310</v>
      </c>
      <c r="B68">
        <v>1199511</v>
      </c>
      <c r="C68">
        <v>24.04</v>
      </c>
      <c r="D68">
        <v>101904.09</v>
      </c>
      <c r="E68">
        <v>1019.04</v>
      </c>
      <c r="F68">
        <v>-42.33</v>
      </c>
      <c r="G68">
        <v>0</v>
      </c>
      <c r="H68">
        <v>-42.33</v>
      </c>
    </row>
    <row r="69" spans="1:8">
      <c r="A69" t="s">
        <v>310</v>
      </c>
      <c r="B69">
        <v>1200531</v>
      </c>
      <c r="C69">
        <v>24.05</v>
      </c>
      <c r="D69">
        <v>101903.38</v>
      </c>
      <c r="E69">
        <v>1019.03</v>
      </c>
      <c r="F69">
        <v>-42.27</v>
      </c>
      <c r="G69">
        <v>0</v>
      </c>
      <c r="H69">
        <v>-42.27</v>
      </c>
    </row>
    <row r="70" spans="1:8">
      <c r="A70" t="s">
        <v>310</v>
      </c>
      <c r="B70">
        <v>1201532</v>
      </c>
      <c r="C70">
        <v>24.05</v>
      </c>
      <c r="D70">
        <v>101902.63</v>
      </c>
      <c r="E70">
        <v>1019.03</v>
      </c>
      <c r="F70">
        <v>-42.21</v>
      </c>
      <c r="G70">
        <v>0</v>
      </c>
      <c r="H70">
        <v>-42.21</v>
      </c>
    </row>
    <row r="71" spans="1:8">
      <c r="A71" t="s">
        <v>310</v>
      </c>
      <c r="B71">
        <v>1202534</v>
      </c>
      <c r="C71">
        <v>24.05</v>
      </c>
      <c r="D71">
        <v>101902.08</v>
      </c>
      <c r="E71">
        <v>1019.02</v>
      </c>
      <c r="F71">
        <v>-42.16</v>
      </c>
      <c r="G71">
        <v>0</v>
      </c>
      <c r="H71">
        <v>-42.16</v>
      </c>
    </row>
    <row r="72" spans="1:8">
      <c r="A72" t="s">
        <v>310</v>
      </c>
      <c r="B72">
        <v>1203538</v>
      </c>
      <c r="C72">
        <v>24.05</v>
      </c>
      <c r="D72">
        <v>101901.37</v>
      </c>
      <c r="E72">
        <v>1019.01</v>
      </c>
      <c r="F72">
        <v>-42.1</v>
      </c>
      <c r="G72">
        <v>0</v>
      </c>
      <c r="H72">
        <v>-42.1</v>
      </c>
    </row>
    <row r="73" spans="1:8">
      <c r="A73" t="s">
        <v>310</v>
      </c>
      <c r="B73">
        <v>1204541</v>
      </c>
      <c r="C73">
        <v>24.05</v>
      </c>
      <c r="D73">
        <v>101901</v>
      </c>
      <c r="E73">
        <v>1019.01</v>
      </c>
      <c r="F73">
        <v>-42.07</v>
      </c>
      <c r="G73">
        <v>0</v>
      </c>
      <c r="H73">
        <v>-42.07</v>
      </c>
    </row>
    <row r="74" spans="1:8">
      <c r="A74" t="s">
        <v>310</v>
      </c>
      <c r="B74">
        <v>1205545</v>
      </c>
      <c r="C74">
        <v>24.05</v>
      </c>
      <c r="D74">
        <v>101900.59</v>
      </c>
      <c r="E74">
        <v>1019.01</v>
      </c>
      <c r="F74">
        <v>-42.04</v>
      </c>
      <c r="G74">
        <v>0</v>
      </c>
      <c r="H74">
        <v>-42.04</v>
      </c>
    </row>
    <row r="75" spans="1:8">
      <c r="A75" t="s">
        <v>310</v>
      </c>
      <c r="B75">
        <v>1206550</v>
      </c>
      <c r="C75">
        <v>24.05</v>
      </c>
      <c r="D75">
        <v>101900.7</v>
      </c>
      <c r="E75">
        <v>1019.01</v>
      </c>
      <c r="F75">
        <v>-42.05</v>
      </c>
      <c r="G75">
        <v>0</v>
      </c>
      <c r="H75">
        <v>-42.05</v>
      </c>
    </row>
    <row r="76" spans="1:8">
      <c r="A76" t="s">
        <v>310</v>
      </c>
      <c r="B76">
        <v>1207558</v>
      </c>
      <c r="C76">
        <v>24.06</v>
      </c>
      <c r="D76">
        <v>101900.55</v>
      </c>
      <c r="E76">
        <v>1019.01</v>
      </c>
      <c r="F76">
        <v>-42.04</v>
      </c>
      <c r="G76">
        <v>0</v>
      </c>
      <c r="H76">
        <v>-42.04</v>
      </c>
    </row>
    <row r="77" spans="1:8">
      <c r="A77" t="s">
        <v>310</v>
      </c>
      <c r="B77">
        <v>1208567</v>
      </c>
      <c r="C77">
        <v>24.06</v>
      </c>
      <c r="D77">
        <v>101900.33</v>
      </c>
      <c r="E77">
        <v>1019</v>
      </c>
      <c r="F77">
        <v>-42.02</v>
      </c>
      <c r="G77">
        <v>0</v>
      </c>
      <c r="H77">
        <v>-42.02</v>
      </c>
    </row>
    <row r="78" spans="1:8">
      <c r="A78" t="s">
        <v>310</v>
      </c>
      <c r="B78">
        <v>1209578</v>
      </c>
      <c r="C78">
        <v>24.05</v>
      </c>
      <c r="D78">
        <v>101900.61</v>
      </c>
      <c r="E78">
        <v>1019.01</v>
      </c>
      <c r="F78">
        <v>-42.04</v>
      </c>
      <c r="G78">
        <v>0</v>
      </c>
      <c r="H78">
        <v>-42.04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6"/>
  <sheetViews>
    <sheetView workbookViewId="0"/>
  </sheetViews>
  <sheetFormatPr baseColWidth="10" defaultColWidth="9" defaultRowHeight="14.25"/>
  <sheetData>
    <row r="1" spans="1:6">
      <c r="A1" t="s">
        <v>284</v>
      </c>
      <c r="B1">
        <v>0</v>
      </c>
      <c r="C1">
        <v>1</v>
      </c>
      <c r="D1">
        <v>2</v>
      </c>
      <c r="E1">
        <v>3</v>
      </c>
      <c r="F1">
        <v>4</v>
      </c>
    </row>
    <row r="2" spans="1:6">
      <c r="A2">
        <v>0</v>
      </c>
      <c r="B2">
        <v>18</v>
      </c>
      <c r="C2">
        <v>0</v>
      </c>
      <c r="D2">
        <v>0</v>
      </c>
      <c r="E2">
        <v>0</v>
      </c>
      <c r="F2">
        <v>0</v>
      </c>
    </row>
    <row r="3" spans="1:6">
      <c r="A3">
        <v>1</v>
      </c>
      <c r="B3">
        <v>0</v>
      </c>
      <c r="C3">
        <v>15</v>
      </c>
      <c r="D3">
        <v>0</v>
      </c>
      <c r="E3">
        <v>0</v>
      </c>
      <c r="F3">
        <v>0</v>
      </c>
    </row>
    <row r="4" spans="1:6">
      <c r="A4">
        <v>2</v>
      </c>
      <c r="B4">
        <v>0</v>
      </c>
      <c r="C4">
        <v>0</v>
      </c>
      <c r="D4">
        <v>18</v>
      </c>
      <c r="E4">
        <v>0</v>
      </c>
      <c r="F4">
        <v>0</v>
      </c>
    </row>
    <row r="5" spans="1:6">
      <c r="A5">
        <v>3</v>
      </c>
      <c r="B5">
        <v>0</v>
      </c>
      <c r="C5">
        <v>0</v>
      </c>
      <c r="D5">
        <v>0</v>
      </c>
      <c r="E5">
        <v>11</v>
      </c>
      <c r="F5">
        <v>0</v>
      </c>
    </row>
    <row r="6" spans="1:6">
      <c r="A6">
        <v>4</v>
      </c>
      <c r="B6">
        <v>0</v>
      </c>
      <c r="C6">
        <v>0</v>
      </c>
      <c r="D6">
        <v>0</v>
      </c>
      <c r="E6">
        <v>0</v>
      </c>
      <c r="F6">
        <v>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49"/>
  <sheetViews>
    <sheetView tabSelected="1" topLeftCell="A7" workbookViewId="0">
      <selection activeCell="C28" sqref="C28"/>
    </sheetView>
  </sheetViews>
  <sheetFormatPr baseColWidth="10" defaultColWidth="9" defaultRowHeight="14.25"/>
  <cols>
    <col min="1" max="1" width="18.625" customWidth="1"/>
    <col min="2" max="2" width="41.375" customWidth="1"/>
    <col min="3" max="3" width="59.25" customWidth="1"/>
  </cols>
  <sheetData>
    <row r="1" spans="1:9">
      <c r="A1" t="s">
        <v>311</v>
      </c>
      <c r="B1" t="s">
        <v>312</v>
      </c>
      <c r="C1" t="s">
        <v>313</v>
      </c>
      <c r="D1" t="s">
        <v>314</v>
      </c>
      <c r="F1" t="s">
        <v>315</v>
      </c>
      <c r="G1" t="s">
        <v>316</v>
      </c>
      <c r="H1" t="s">
        <v>251</v>
      </c>
      <c r="I1" t="s">
        <v>317</v>
      </c>
    </row>
    <row r="2" spans="1:9">
      <c r="A2" t="s">
        <v>318</v>
      </c>
      <c r="B2" t="s">
        <v>319</v>
      </c>
      <c r="C2">
        <f>COUNTA(elevator_wifi!A2:A63)</f>
        <v>55</v>
      </c>
      <c r="D2" t="s">
        <v>320</v>
      </c>
      <c r="F2" t="s">
        <v>321</v>
      </c>
      <c r="G2">
        <f>C4</f>
        <v>1</v>
      </c>
      <c r="H2">
        <f>C19</f>
        <v>0.96296296296296291</v>
      </c>
      <c r="I2" t="s">
        <v>322</v>
      </c>
    </row>
    <row r="3" spans="1:9">
      <c r="A3" t="s">
        <v>318</v>
      </c>
      <c r="B3" t="s">
        <v>323</v>
      </c>
      <c r="C3">
        <f>COUNTIF(elevator_wifi!D:D,"True")</f>
        <v>55</v>
      </c>
      <c r="D3" t="s">
        <v>320</v>
      </c>
      <c r="F3" t="s">
        <v>324</v>
      </c>
      <c r="G3">
        <f>C7</f>
        <v>6820.9474545454541</v>
      </c>
      <c r="H3">
        <f>C22</f>
        <v>19265.203076923077</v>
      </c>
      <c r="I3" t="s">
        <v>325</v>
      </c>
    </row>
    <row r="4" spans="1:9">
      <c r="A4" t="s">
        <v>318</v>
      </c>
      <c r="B4" t="s">
        <v>326</v>
      </c>
      <c r="C4" s="6">
        <f>C3/C2</f>
        <v>1</v>
      </c>
      <c r="D4" t="s">
        <v>327</v>
      </c>
      <c r="F4" t="s">
        <v>328</v>
      </c>
      <c r="G4">
        <f>C8</f>
        <v>-46.618181818181817</v>
      </c>
      <c r="H4">
        <f>C23</f>
        <v>-60.995370370370388</v>
      </c>
      <c r="I4" t="s">
        <v>329</v>
      </c>
    </row>
    <row r="5" spans="1:9">
      <c r="A5" t="s">
        <v>318</v>
      </c>
      <c r="B5" t="s">
        <v>330</v>
      </c>
      <c r="C5">
        <f>COUNTIF(elevator_wifi!K2:K49,"yes")</f>
        <v>46</v>
      </c>
      <c r="D5" t="s">
        <v>320</v>
      </c>
      <c r="F5" t="s">
        <v>331</v>
      </c>
      <c r="G5">
        <f>C34</f>
        <v>0.81481481481481477</v>
      </c>
      <c r="H5">
        <f>C42</f>
        <v>0.6470588235294118</v>
      </c>
      <c r="I5" t="s">
        <v>332</v>
      </c>
    </row>
    <row r="6" spans="1:9">
      <c r="A6" t="s">
        <v>318</v>
      </c>
      <c r="B6" t="s">
        <v>333</v>
      </c>
      <c r="C6">
        <f>C5/C2</f>
        <v>0.83636363636363631</v>
      </c>
      <c r="D6" t="s">
        <v>334</v>
      </c>
      <c r="F6" t="s">
        <v>335</v>
      </c>
      <c r="G6">
        <f>C35</f>
        <v>8</v>
      </c>
      <c r="H6">
        <f>C43</f>
        <v>6</v>
      </c>
      <c r="I6" t="s">
        <v>336</v>
      </c>
    </row>
    <row r="7" spans="1:9">
      <c r="A7" t="s">
        <v>318</v>
      </c>
      <c r="B7" t="s">
        <v>337</v>
      </c>
      <c r="C7">
        <f>AVERAGEIF(elevator_wifi!D:D,"True",elevator_wifi!F:F)</f>
        <v>6820.9474545454541</v>
      </c>
      <c r="D7" t="s">
        <v>338</v>
      </c>
      <c r="F7" t="s">
        <v>339</v>
      </c>
      <c r="G7">
        <f>C36</f>
        <v>8644.2877272727274</v>
      </c>
      <c r="H7">
        <f>C44</f>
        <v>23204.807272727274</v>
      </c>
      <c r="I7" t="s">
        <v>325</v>
      </c>
    </row>
    <row r="8" spans="1:9">
      <c r="A8" t="s">
        <v>318</v>
      </c>
      <c r="B8" t="s">
        <v>340</v>
      </c>
      <c r="C8">
        <f>AVERAGE(elevator_wifi!Z:Z)</f>
        <v>-46.618181818181817</v>
      </c>
      <c r="D8" t="s">
        <v>329</v>
      </c>
    </row>
    <row r="9" spans="1:9">
      <c r="A9" t="s">
        <v>318</v>
      </c>
      <c r="B9" t="s">
        <v>341</v>
      </c>
      <c r="C9">
        <f>MIN(elevator_wifi!Z2:Z49)</f>
        <v>-58</v>
      </c>
      <c r="D9" t="s">
        <v>329</v>
      </c>
    </row>
    <row r="10" spans="1:9">
      <c r="A10" t="s">
        <v>318</v>
      </c>
      <c r="B10" t="s">
        <v>342</v>
      </c>
      <c r="C10">
        <f>MAX(elevator_wifi!Z2:Z49)</f>
        <v>-34</v>
      </c>
      <c r="D10" t="s">
        <v>329</v>
      </c>
    </row>
    <row r="11" spans="1:9">
      <c r="A11" t="s">
        <v>318</v>
      </c>
      <c r="B11" t="s">
        <v>571</v>
      </c>
      <c r="C11">
        <f>operation_notes!B67</f>
        <v>3.96</v>
      </c>
      <c r="D11" t="s">
        <v>573</v>
      </c>
    </row>
    <row r="12" spans="1:9">
      <c r="A12" t="s">
        <v>318</v>
      </c>
      <c r="B12" t="s">
        <v>572</v>
      </c>
      <c r="C12">
        <f>operation_notes!B68</f>
        <v>3.91</v>
      </c>
      <c r="D12" t="s">
        <v>573</v>
      </c>
    </row>
    <row r="13" spans="1:9">
      <c r="A13" t="s">
        <v>318</v>
      </c>
      <c r="B13" t="s">
        <v>274</v>
      </c>
      <c r="C13" s="8">
        <f>operation_notes!B69</f>
        <v>0.79236111111111107</v>
      </c>
      <c r="D13" t="s">
        <v>574</v>
      </c>
    </row>
    <row r="14" spans="1:9">
      <c r="A14" t="s">
        <v>318</v>
      </c>
      <c r="B14" t="s">
        <v>275</v>
      </c>
      <c r="C14" s="8">
        <f>operation_notes!B70</f>
        <v>0.81666666666666665</v>
      </c>
      <c r="D14" t="s">
        <v>574</v>
      </c>
    </row>
    <row r="15" spans="1:9">
      <c r="A15" t="s">
        <v>318</v>
      </c>
      <c r="B15" t="s">
        <v>276</v>
      </c>
      <c r="C15" s="8">
        <f>operation_notes!B71</f>
        <v>2.430555555555558E-2</v>
      </c>
      <c r="D15" t="s">
        <v>574</v>
      </c>
    </row>
    <row r="17" spans="1:4">
      <c r="A17" t="s">
        <v>343</v>
      </c>
      <c r="B17" t="s">
        <v>319</v>
      </c>
      <c r="C17">
        <f>COUNTA(elevator_ble!A2:A55)</f>
        <v>54</v>
      </c>
      <c r="D17" t="s">
        <v>320</v>
      </c>
    </row>
    <row r="18" spans="1:4">
      <c r="A18" t="s">
        <v>343</v>
      </c>
      <c r="B18" t="s">
        <v>323</v>
      </c>
      <c r="C18">
        <f>SUMPRODUCT(--(elevator_ble!E2:E55=TRUE))+COUNTIF(elevator_ble!E2:E55,"TRUE")</f>
        <v>52</v>
      </c>
      <c r="D18" t="s">
        <v>320</v>
      </c>
    </row>
    <row r="19" spans="1:4">
      <c r="A19" t="s">
        <v>343</v>
      </c>
      <c r="B19" t="s">
        <v>326</v>
      </c>
      <c r="C19">
        <f>C18/C17</f>
        <v>0.96296296296296291</v>
      </c>
      <c r="D19" t="s">
        <v>327</v>
      </c>
    </row>
    <row r="20" spans="1:4">
      <c r="A20" t="s">
        <v>343</v>
      </c>
      <c r="B20" t="s">
        <v>330</v>
      </c>
      <c r="C20">
        <f>COUNTIF(elevator_ble!W2:W55,"yes")</f>
        <v>53</v>
      </c>
      <c r="D20" t="s">
        <v>320</v>
      </c>
    </row>
    <row r="21" spans="1:4">
      <c r="A21" t="s">
        <v>343</v>
      </c>
      <c r="B21" t="s">
        <v>333</v>
      </c>
      <c r="C21">
        <f>C20/C17</f>
        <v>0.98148148148148151</v>
      </c>
      <c r="D21" t="s">
        <v>334</v>
      </c>
    </row>
    <row r="22" spans="1:4">
      <c r="A22" t="s">
        <v>343</v>
      </c>
      <c r="B22" t="s">
        <v>344</v>
      </c>
      <c r="C22">
        <v>19265.203076923077</v>
      </c>
      <c r="D22" t="s">
        <v>338</v>
      </c>
    </row>
    <row r="23" spans="1:4">
      <c r="A23" t="s">
        <v>343</v>
      </c>
      <c r="B23" t="s">
        <v>345</v>
      </c>
      <c r="C23">
        <f>AVERAGE(elevator_ble!H2:H55)</f>
        <v>-60.995370370370388</v>
      </c>
      <c r="D23" t="s">
        <v>329</v>
      </c>
    </row>
    <row r="24" spans="1:4">
      <c r="A24" t="s">
        <v>343</v>
      </c>
      <c r="B24" t="s">
        <v>346</v>
      </c>
      <c r="C24">
        <f>MIN(elevator_ble!G2:G55)</f>
        <v>-85</v>
      </c>
      <c r="D24" t="s">
        <v>329</v>
      </c>
    </row>
    <row r="25" spans="1:4">
      <c r="A25" t="s">
        <v>343</v>
      </c>
      <c r="B25" t="s">
        <v>347</v>
      </c>
      <c r="C25">
        <f>MAX(elevator_ble!G2:G55)</f>
        <v>-43</v>
      </c>
      <c r="D25" t="s">
        <v>329</v>
      </c>
    </row>
    <row r="26" spans="1:4">
      <c r="A26" t="s">
        <v>343</v>
      </c>
      <c r="B26" t="s">
        <v>571</v>
      </c>
      <c r="C26">
        <f>operation_notes!C67</f>
        <v>3.97</v>
      </c>
      <c r="D26" t="s">
        <v>573</v>
      </c>
    </row>
    <row r="27" spans="1:4">
      <c r="A27" t="s">
        <v>343</v>
      </c>
      <c r="B27" t="s">
        <v>572</v>
      </c>
      <c r="C27">
        <f>operation_notes!C68</f>
        <v>3.97</v>
      </c>
      <c r="D27" t="s">
        <v>573</v>
      </c>
    </row>
    <row r="28" spans="1:4">
      <c r="A28" t="s">
        <v>343</v>
      </c>
      <c r="B28" t="s">
        <v>274</v>
      </c>
      <c r="C28" s="8">
        <f>operation_notes!C69</f>
        <v>0.91180555555555554</v>
      </c>
      <c r="D28" t="s">
        <v>574</v>
      </c>
    </row>
    <row r="29" spans="1:4">
      <c r="A29" t="s">
        <v>343</v>
      </c>
      <c r="B29" t="s">
        <v>275</v>
      </c>
      <c r="C29" s="8">
        <f>operation_notes!C70</f>
        <v>0.92708333333333337</v>
      </c>
      <c r="D29" t="s">
        <v>574</v>
      </c>
    </row>
    <row r="30" spans="1:4">
      <c r="A30" t="s">
        <v>343</v>
      </c>
      <c r="B30" t="s">
        <v>276</v>
      </c>
      <c r="C30" s="8">
        <f>operation_notes!C71</f>
        <v>1.5277777777777835E-2</v>
      </c>
      <c r="D30" t="s">
        <v>574</v>
      </c>
    </row>
    <row r="32" spans="1:4">
      <c r="A32" t="s">
        <v>348</v>
      </c>
      <c r="B32" t="s">
        <v>349</v>
      </c>
      <c r="C32">
        <f>COUNTA(dist_wifi!A2:A36)</f>
        <v>27</v>
      </c>
      <c r="D32" t="s">
        <v>350</v>
      </c>
    </row>
    <row r="33" spans="1:4">
      <c r="A33" t="s">
        <v>348</v>
      </c>
      <c r="B33" t="s">
        <v>351</v>
      </c>
      <c r="C33">
        <f>SUMPRODUCT(--(dist_wifi!G2:G36=TRUE))+COUNTIF(dist_wifi!G2:G36,"TRUE")</f>
        <v>22</v>
      </c>
      <c r="D33" t="s">
        <v>350</v>
      </c>
    </row>
    <row r="34" spans="1:4">
      <c r="A34" t="s">
        <v>348</v>
      </c>
      <c r="B34" t="s">
        <v>331</v>
      </c>
      <c r="C34">
        <f>C33/C32</f>
        <v>0.81481481481481477</v>
      </c>
      <c r="D34" t="s">
        <v>327</v>
      </c>
    </row>
    <row r="35" spans="1:4">
      <c r="A35" t="s">
        <v>348</v>
      </c>
      <c r="B35" t="s">
        <v>335</v>
      </c>
      <c r="C35">
        <v>8</v>
      </c>
      <c r="D35" t="s">
        <v>336</v>
      </c>
    </row>
    <row r="36" spans="1:4">
      <c r="A36" t="s">
        <v>348</v>
      </c>
      <c r="B36" t="s">
        <v>352</v>
      </c>
      <c r="C36">
        <v>8644.2877272727274</v>
      </c>
      <c r="D36" t="s">
        <v>338</v>
      </c>
    </row>
    <row r="37" spans="1:4">
      <c r="A37" t="s">
        <v>348</v>
      </c>
      <c r="B37" t="s">
        <v>353</v>
      </c>
      <c r="C37">
        <v>8482.0527272727268</v>
      </c>
      <c r="D37" t="s">
        <v>338</v>
      </c>
    </row>
    <row r="38" spans="1:4">
      <c r="A38" t="s">
        <v>348</v>
      </c>
      <c r="B38" t="s">
        <v>340</v>
      </c>
      <c r="C38">
        <f>AVERAGE(dist_wifi!AC2:AC36)</f>
        <v>-72.590909090909093</v>
      </c>
      <c r="D38" t="s">
        <v>329</v>
      </c>
    </row>
    <row r="40" spans="1:4">
      <c r="A40" t="s">
        <v>354</v>
      </c>
      <c r="B40" t="s">
        <v>349</v>
      </c>
      <c r="C40">
        <f>COUNTA(dist_ble!A2:A26)</f>
        <v>17</v>
      </c>
      <c r="D40" t="s">
        <v>350</v>
      </c>
    </row>
    <row r="41" spans="1:4">
      <c r="A41" t="s">
        <v>354</v>
      </c>
      <c r="B41" t="s">
        <v>351</v>
      </c>
      <c r="C41">
        <f>SUMPRODUCT(--(dist_ble!J2:J26=TRUE))+COUNTIF(dist_ble!J2:J26,"TRUE")</f>
        <v>11</v>
      </c>
      <c r="D41" t="s">
        <v>350</v>
      </c>
    </row>
    <row r="42" spans="1:4">
      <c r="A42" t="s">
        <v>354</v>
      </c>
      <c r="B42" t="s">
        <v>331</v>
      </c>
      <c r="C42">
        <f>C41/C40</f>
        <v>0.6470588235294118</v>
      </c>
      <c r="D42" t="s">
        <v>327</v>
      </c>
    </row>
    <row r="43" spans="1:4">
      <c r="A43" t="s">
        <v>354</v>
      </c>
      <c r="B43" t="s">
        <v>335</v>
      </c>
      <c r="C43">
        <v>6</v>
      </c>
      <c r="D43" t="s">
        <v>336</v>
      </c>
    </row>
    <row r="44" spans="1:4">
      <c r="A44" t="s">
        <v>354</v>
      </c>
      <c r="B44" t="s">
        <v>355</v>
      </c>
      <c r="C44">
        <v>23204.807272727274</v>
      </c>
      <c r="D44" t="s">
        <v>338</v>
      </c>
    </row>
    <row r="45" spans="1:4">
      <c r="A45" t="s">
        <v>354</v>
      </c>
      <c r="B45" t="s">
        <v>356</v>
      </c>
      <c r="C45">
        <v>10532.881818181819</v>
      </c>
      <c r="D45" t="s">
        <v>338</v>
      </c>
    </row>
    <row r="46" spans="1:4">
      <c r="A46" t="s">
        <v>354</v>
      </c>
      <c r="B46" t="s">
        <v>357</v>
      </c>
      <c r="C46">
        <f>AVERAGE(dist_ble!N2:N26)</f>
        <v>-85.63333333333334</v>
      </c>
      <c r="D46" t="s">
        <v>329</v>
      </c>
    </row>
    <row r="48" spans="1:4">
      <c r="A48" t="s">
        <v>358</v>
      </c>
      <c r="B48" t="s">
        <v>359</v>
      </c>
      <c r="C48">
        <f>idle_test!D8-idle_test!D9</f>
        <v>3.0000000000000249E-2</v>
      </c>
      <c r="D48" t="s">
        <v>360</v>
      </c>
    </row>
    <row r="49" spans="1:4">
      <c r="A49" t="s">
        <v>358</v>
      </c>
      <c r="B49" t="s">
        <v>361</v>
      </c>
      <c r="C49">
        <f>idle_test!D4-idle_test!D5</f>
        <v>0</v>
      </c>
      <c r="D49" t="s">
        <v>360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53"/>
  <sheetViews>
    <sheetView topLeftCell="A34" workbookViewId="0">
      <selection activeCell="G23" sqref="A1:XFD1048576"/>
    </sheetView>
  </sheetViews>
  <sheetFormatPr baseColWidth="10" defaultColWidth="9" defaultRowHeight="14.25"/>
  <cols>
    <col min="1" max="1" width="25.25" customWidth="1"/>
    <col min="2" max="2" width="43.375" customWidth="1"/>
  </cols>
  <sheetData>
    <row r="1" spans="1:9">
      <c r="A1" t="s">
        <v>311</v>
      </c>
      <c r="B1" t="s">
        <v>312</v>
      </c>
      <c r="C1" t="s">
        <v>313</v>
      </c>
      <c r="D1" t="s">
        <v>314</v>
      </c>
      <c r="F1" t="s">
        <v>362</v>
      </c>
      <c r="G1" t="s">
        <v>363</v>
      </c>
      <c r="H1" t="s">
        <v>364</v>
      </c>
      <c r="I1" t="s">
        <v>365</v>
      </c>
    </row>
    <row r="2" spans="1:9">
      <c r="A2" t="s">
        <v>366</v>
      </c>
      <c r="B2" t="s">
        <v>367</v>
      </c>
      <c r="C2">
        <f>COUNTA(manual_test_points!A2:A83)</f>
        <v>82</v>
      </c>
      <c r="D2" t="s">
        <v>368</v>
      </c>
      <c r="F2">
        <v>0</v>
      </c>
      <c r="G2">
        <f>SUMIFS(floor_confusion!B2:F2,floor_confusion!B1:F1,0)</f>
        <v>18</v>
      </c>
      <c r="H2">
        <f>SUM(floor_confusion!B2:F2)</f>
        <v>18</v>
      </c>
      <c r="I2">
        <f>G2/H2</f>
        <v>1</v>
      </c>
    </row>
    <row r="3" spans="1:9">
      <c r="A3" t="s">
        <v>366</v>
      </c>
      <c r="B3" t="s">
        <v>369</v>
      </c>
      <c r="C3">
        <f>SUMPRODUCT(--(manual_test_points!M2:M83=TRUE))+COUNTIF(manual_test_points!M2:M83,"TRUE")</f>
        <v>77</v>
      </c>
      <c r="D3" t="s">
        <v>368</v>
      </c>
      <c r="F3">
        <v>1</v>
      </c>
      <c r="G3">
        <f>SUMIFS(floor_confusion!B3:F3,floor_confusion!B1:F1,1)</f>
        <v>15</v>
      </c>
      <c r="H3">
        <f>SUM(floor_confusion!B3:F3)</f>
        <v>15</v>
      </c>
      <c r="I3">
        <f>G3/H3</f>
        <v>1</v>
      </c>
    </row>
    <row r="4" spans="1:9">
      <c r="A4" t="s">
        <v>366</v>
      </c>
      <c r="B4" t="s">
        <v>370</v>
      </c>
      <c r="C4">
        <f>C3/C2</f>
        <v>0.93902439024390238</v>
      </c>
      <c r="D4" t="s">
        <v>371</v>
      </c>
      <c r="F4">
        <v>2</v>
      </c>
      <c r="G4">
        <f>SUMIFS(floor_confusion!B4:F4,floor_confusion!B1:F1,2)</f>
        <v>18</v>
      </c>
      <c r="H4">
        <f>SUM(floor_confusion!B4:F4)</f>
        <v>18</v>
      </c>
      <c r="I4">
        <f>G4/H4</f>
        <v>1</v>
      </c>
    </row>
    <row r="5" spans="1:9">
      <c r="A5" t="s">
        <v>366</v>
      </c>
      <c r="B5" t="s">
        <v>372</v>
      </c>
      <c r="C5">
        <f>AVERAGE(manual_test_points!K2:K83)</f>
        <v>0.17073170731707318</v>
      </c>
      <c r="D5" t="s">
        <v>373</v>
      </c>
      <c r="F5">
        <v>3</v>
      </c>
      <c r="G5">
        <f>SUMIFS(floor_confusion!B5:F5,floor_confusion!B1:F1,3)</f>
        <v>11</v>
      </c>
      <c r="H5">
        <f>SUM(floor_confusion!B5:F5)</f>
        <v>11</v>
      </c>
      <c r="I5">
        <f>G5/H5</f>
        <v>1</v>
      </c>
    </row>
    <row r="6" spans="1:9">
      <c r="A6" t="s">
        <v>366</v>
      </c>
      <c r="B6" t="s">
        <v>374</v>
      </c>
      <c r="C6">
        <f>AVERAGE(manual_test_points!L2:L83)</f>
        <v>0.17073170731707318</v>
      </c>
      <c r="D6" t="s">
        <v>373</v>
      </c>
      <c r="F6">
        <v>4</v>
      </c>
      <c r="G6">
        <f>SUMIFS(floor_confusion!B6:F6,floor_confusion!B1:F1,4)</f>
        <v>13</v>
      </c>
      <c r="H6">
        <f>SUM(floor_confusion!B6:F6)</f>
        <v>13</v>
      </c>
      <c r="I6">
        <f>G6/H6</f>
        <v>1</v>
      </c>
    </row>
    <row r="7" spans="1:9">
      <c r="A7" t="s">
        <v>366</v>
      </c>
      <c r="B7" t="s">
        <v>375</v>
      </c>
      <c r="C7">
        <f>MAX(manual_test_points!L2:L83)</f>
        <v>4</v>
      </c>
      <c r="D7" t="s">
        <v>373</v>
      </c>
    </row>
    <row r="9" spans="1:9">
      <c r="A9" t="s">
        <v>376</v>
      </c>
      <c r="B9" t="s">
        <v>377</v>
      </c>
      <c r="C9">
        <f>COUNTIF(manual_test_points!H2:H83,"after_calibration")</f>
        <v>75</v>
      </c>
      <c r="D9" t="s">
        <v>368</v>
      </c>
    </row>
    <row r="10" spans="1:9">
      <c r="A10" t="s">
        <v>376</v>
      </c>
      <c r="B10" t="s">
        <v>363</v>
      </c>
      <c r="C10">
        <f>SUMPRODUCT(--(manual_test_points!H2:H83="after_calibration"),--(manual_test_points!M2:M83=TRUE))+COUNTIFS(manual_test_points!H2:H83,"after_calibration",manual_test_points!M2:M83,"TRUE")</f>
        <v>75</v>
      </c>
      <c r="D10" t="s">
        <v>368</v>
      </c>
    </row>
    <row r="11" spans="1:9">
      <c r="A11" t="s">
        <v>376</v>
      </c>
      <c r="B11" t="s">
        <v>365</v>
      </c>
      <c r="C11" s="6">
        <f>C10/C9</f>
        <v>1</v>
      </c>
      <c r="D11" t="s">
        <v>371</v>
      </c>
    </row>
    <row r="12" spans="1:9">
      <c r="A12" t="s">
        <v>376</v>
      </c>
      <c r="B12" t="s">
        <v>374</v>
      </c>
      <c r="C12" s="4">
        <f>AVERAGEIF(manual_test_points!H2:H83,"after_calibration",manual_test_points!Q2:Q83)</f>
        <v>0.60508771929824579</v>
      </c>
      <c r="D12" t="s">
        <v>336</v>
      </c>
    </row>
    <row r="13" spans="1:9">
      <c r="A13" t="s">
        <v>376</v>
      </c>
      <c r="B13" t="s">
        <v>375</v>
      </c>
      <c r="C13" s="3">
        <f>_xlfn.MAXIFS(manual_test_points!Q2:Q83,manual_test_points!H2:H83,"after_calibration")</f>
        <v>1.1000000000000001</v>
      </c>
      <c r="D13" t="s">
        <v>336</v>
      </c>
    </row>
    <row r="15" spans="1:9">
      <c r="A15" t="s">
        <v>378</v>
      </c>
      <c r="B15" t="s">
        <v>377</v>
      </c>
      <c r="C15">
        <f>COUNTIF(manual_test_points!H2:H83,"before_calibration")</f>
        <v>2</v>
      </c>
      <c r="D15" t="s">
        <v>368</v>
      </c>
    </row>
    <row r="16" spans="1:9">
      <c r="A16" t="s">
        <v>378</v>
      </c>
      <c r="B16" t="s">
        <v>363</v>
      </c>
      <c r="C16">
        <f>SUMPRODUCT(--(manual_test_points!H2:H83="before_calibration"),--(manual_test_points!M2:M83=TRUE))+COUNTIFS(manual_test_points!H2:H83,"before_calibration",manual_test_points!M2:M83,"TRUE")</f>
        <v>1</v>
      </c>
      <c r="D16" t="s">
        <v>368</v>
      </c>
    </row>
    <row r="17" spans="1:4">
      <c r="A17" t="s">
        <v>378</v>
      </c>
      <c r="B17" t="s">
        <v>365</v>
      </c>
      <c r="C17">
        <f>C16/C15</f>
        <v>0.5</v>
      </c>
      <c r="D17" t="s">
        <v>371</v>
      </c>
    </row>
    <row r="18" spans="1:4">
      <c r="A18" t="s">
        <v>378</v>
      </c>
      <c r="B18" t="s">
        <v>374</v>
      </c>
      <c r="C18" s="5">
        <f>AVERAGEIF(manual_test_points!H2:H83,"before_calibration",manual_test_points!Q2:Q83)</f>
        <v>56.29</v>
      </c>
      <c r="D18" t="s">
        <v>336</v>
      </c>
    </row>
    <row r="19" spans="1:4">
      <c r="A19" t="s">
        <v>378</v>
      </c>
      <c r="B19" t="s">
        <v>375</v>
      </c>
      <c r="C19">
        <f>_xlfn.MAXIFS(manual_test_points!Q2:Q83,manual_test_points!H2:H83,"before_calibration")</f>
        <v>63.61</v>
      </c>
      <c r="D19" t="s">
        <v>336</v>
      </c>
    </row>
    <row r="21" spans="1:4">
      <c r="A21" t="s">
        <v>379</v>
      </c>
      <c r="B21" t="s">
        <v>377</v>
      </c>
      <c r="C21">
        <f>COUNTIF(manual_test_points!H2:H83,"no_calibration_in_run")</f>
        <v>5</v>
      </c>
      <c r="D21" t="s">
        <v>368</v>
      </c>
    </row>
    <row r="22" spans="1:4">
      <c r="A22" t="s">
        <v>379</v>
      </c>
      <c r="B22" t="s">
        <v>363</v>
      </c>
      <c r="C22">
        <f>SUMPRODUCT(--(manual_test_points!H2:H83="no_calibration_in_run"),--(manual_test_points!M2:M83=TRUE))+COUNTIFS(manual_test_points!H2:H83,"no_calibration_in_run",manual_test_points!M2:M83,"TRUE")</f>
        <v>1</v>
      </c>
      <c r="D22" t="s">
        <v>368</v>
      </c>
    </row>
    <row r="23" spans="1:4">
      <c r="A23" t="s">
        <v>379</v>
      </c>
      <c r="B23" t="s">
        <v>365</v>
      </c>
      <c r="C23">
        <f>C22/C21</f>
        <v>0.2</v>
      </c>
      <c r="D23" t="s">
        <v>371</v>
      </c>
    </row>
    <row r="24" spans="1:4">
      <c r="A24" t="s">
        <v>379</v>
      </c>
      <c r="B24" t="s">
        <v>374</v>
      </c>
      <c r="C24">
        <f>AVERAGEIF(manual_test_points!H2:H83,"no_calibration_in_run",manual_test_points!Q2:Q83)</f>
        <v>58.007999999999996</v>
      </c>
      <c r="D24" t="s">
        <v>336</v>
      </c>
    </row>
    <row r="25" spans="1:4">
      <c r="A25" t="s">
        <v>379</v>
      </c>
      <c r="B25" t="s">
        <v>375</v>
      </c>
      <c r="C25">
        <f>_xlfn.MAXIFS(manual_test_points!Q2:Q83,manual_test_points!H2:H83,"no_calibration_in_run")</f>
        <v>65.34</v>
      </c>
      <c r="D25" t="s">
        <v>336</v>
      </c>
    </row>
    <row r="27" spans="1:4">
      <c r="A27" t="s">
        <v>570</v>
      </c>
      <c r="B27" t="s">
        <v>377</v>
      </c>
      <c r="C27">
        <f>C21+C15</f>
        <v>7</v>
      </c>
      <c r="D27" t="s">
        <v>368</v>
      </c>
    </row>
    <row r="28" spans="1:4">
      <c r="A28" t="s">
        <v>570</v>
      </c>
      <c r="B28" t="s">
        <v>363</v>
      </c>
      <c r="C28">
        <f>C16+C22</f>
        <v>2</v>
      </c>
      <c r="D28" t="s">
        <v>368</v>
      </c>
    </row>
    <row r="29" spans="1:4">
      <c r="A29" t="s">
        <v>570</v>
      </c>
      <c r="B29" t="s">
        <v>365</v>
      </c>
      <c r="C29">
        <f>C28/C27</f>
        <v>0.2857142857142857</v>
      </c>
      <c r="D29" t="s">
        <v>371</v>
      </c>
    </row>
    <row r="30" spans="1:4">
      <c r="A30" t="s">
        <v>570</v>
      </c>
      <c r="B30" t="s">
        <v>374</v>
      </c>
      <c r="C30" cm="1">
        <f t="array" ref="C30">AVERAGE(_xlfn._xlws.FILTER(manual_test_points!Q2:Q83,(manual_test_points!H2:H83="before_calibration")+(manual_test_points!H2:H83="no_calibration_in_run")))</f>
        <v>57.517142857142858</v>
      </c>
      <c r="D30" t="s">
        <v>336</v>
      </c>
    </row>
    <row r="31" spans="1:4">
      <c r="A31" t="s">
        <v>570</v>
      </c>
      <c r="B31" t="s">
        <v>375</v>
      </c>
      <c r="C31" cm="1">
        <f t="array" ref="C31">MAX(_xlfn._xlws.FILTER(manual_test_points!Q2:Q83,(manual_test_points!H2:H83="no_calibration_in_run")+(manual_test_points!H2:H83="before_calibration")))</f>
        <v>65.34</v>
      </c>
      <c r="D31" t="s">
        <v>336</v>
      </c>
    </row>
    <row r="34" spans="1:4">
      <c r="A34" t="s">
        <v>380</v>
      </c>
      <c r="B34" t="s">
        <v>381</v>
      </c>
      <c r="C34">
        <f>COUNTA(recalibration_points!A2:A5)</f>
        <v>4</v>
      </c>
      <c r="D34" t="s">
        <v>368</v>
      </c>
    </row>
    <row r="35" spans="1:4">
      <c r="A35" t="s">
        <v>380</v>
      </c>
      <c r="B35" t="s">
        <v>382</v>
      </c>
      <c r="C35">
        <f>AVERAGE(recalibration_points!I2:I5)</f>
        <v>1014.8225</v>
      </c>
      <c r="D35" t="s">
        <v>383</v>
      </c>
    </row>
    <row r="36" spans="1:4">
      <c r="A36" t="s">
        <v>380</v>
      </c>
      <c r="B36" t="s">
        <v>384</v>
      </c>
      <c r="C36">
        <f>MIN(recalibration_points!I2:I5)</f>
        <v>1012.16</v>
      </c>
      <c r="D36" t="s">
        <v>383</v>
      </c>
    </row>
    <row r="37" spans="1:4">
      <c r="A37" t="s">
        <v>380</v>
      </c>
      <c r="B37" t="s">
        <v>385</v>
      </c>
      <c r="C37">
        <f>MAX(recalibration_points!I2:I5)</f>
        <v>1022.28</v>
      </c>
      <c r="D37" t="s">
        <v>383</v>
      </c>
    </row>
    <row r="41" spans="1:4">
      <c r="A41" t="s">
        <v>388</v>
      </c>
      <c r="B41" t="s">
        <v>389</v>
      </c>
      <c r="C41">
        <f>COUNTIF(desk_drift!A2:A78,"read")</f>
        <v>75</v>
      </c>
      <c r="D41" t="s">
        <v>390</v>
      </c>
    </row>
    <row r="42" spans="1:4">
      <c r="A42" t="s">
        <v>388</v>
      </c>
      <c r="B42" t="s">
        <v>276</v>
      </c>
      <c r="C42">
        <f>(_xlfn.MAXIFS(desk_drift!B2:B78,desk_drift!A2:A78,"read")-_xlfn.MINIFS(desk_drift!B2:B78,desk_drift!A2:A78,"read"))/1000</f>
        <v>123.79600000000001</v>
      </c>
      <c r="D42" t="s">
        <v>391</v>
      </c>
    </row>
    <row r="43" spans="1:4">
      <c r="A43" t="s">
        <v>388</v>
      </c>
      <c r="B43" t="s">
        <v>392</v>
      </c>
      <c r="C43">
        <f>AVERAGEIFS(desk_drift!D2:D78,desk_drift!A2:A78,"read")</f>
        <v>101902.65466666665</v>
      </c>
      <c r="D43" t="s">
        <v>393</v>
      </c>
    </row>
    <row r="44" spans="1:4">
      <c r="A44" t="s">
        <v>388</v>
      </c>
      <c r="B44" t="s">
        <v>394</v>
      </c>
      <c r="C44">
        <f>_xlfn.MINIFS(desk_drift!D2:D78,desk_drift!A2:A78,"read")</f>
        <v>101900.33</v>
      </c>
      <c r="D44" t="s">
        <v>393</v>
      </c>
    </row>
    <row r="45" spans="1:4">
      <c r="A45" t="s">
        <v>388</v>
      </c>
      <c r="B45" t="s">
        <v>395</v>
      </c>
      <c r="C45">
        <f>_xlfn.MAXIFS(desk_drift!D2:D78,desk_drift!A2:A78,"read")</f>
        <v>101905.3</v>
      </c>
      <c r="D45" t="s">
        <v>393</v>
      </c>
    </row>
    <row r="46" spans="1:4">
      <c r="A46" t="s">
        <v>388</v>
      </c>
      <c r="B46" t="s">
        <v>396</v>
      </c>
      <c r="C46">
        <f>C45-C44</f>
        <v>4.9700000000011642</v>
      </c>
      <c r="D46" t="s">
        <v>393</v>
      </c>
    </row>
    <row r="47" spans="1:4">
      <c r="A47" t="s">
        <v>388</v>
      </c>
      <c r="B47" t="s">
        <v>397</v>
      </c>
      <c r="C47">
        <f>_xlfn.STDEV.S(desk_drift!D4:D78)</f>
        <v>1.1574264711147455</v>
      </c>
      <c r="D47" t="s">
        <v>393</v>
      </c>
    </row>
    <row r="48" spans="1:4">
      <c r="A48" t="s">
        <v>388</v>
      </c>
      <c r="B48" t="s">
        <v>398</v>
      </c>
      <c r="C48">
        <f>AVERAGEIFS(desk_drift!F2:F78,desk_drift!A2:A78,"read")</f>
        <v>-42.210533333333331</v>
      </c>
      <c r="D48" t="s">
        <v>336</v>
      </c>
    </row>
    <row r="49" spans="1:4">
      <c r="A49" t="s">
        <v>388</v>
      </c>
      <c r="B49" t="s">
        <v>386</v>
      </c>
      <c r="C49">
        <f>_xlfn.MINIFS(desk_drift!F2:F78,desk_drift!A2:A78,"read")</f>
        <v>-42.43</v>
      </c>
      <c r="D49" t="s">
        <v>336</v>
      </c>
    </row>
    <row r="50" spans="1:4">
      <c r="A50" t="s">
        <v>388</v>
      </c>
      <c r="B50" t="s">
        <v>387</v>
      </c>
      <c r="C50">
        <f>_xlfn.MAXIFS(desk_drift!F2:F78,desk_drift!A2:A78,"read")</f>
        <v>-42.02</v>
      </c>
      <c r="D50" t="s">
        <v>336</v>
      </c>
    </row>
    <row r="51" spans="1:4">
      <c r="A51" t="s">
        <v>388</v>
      </c>
      <c r="B51" t="s">
        <v>399</v>
      </c>
      <c r="C51">
        <f>C50-C49</f>
        <v>0.40999999999999659</v>
      </c>
      <c r="D51" t="s">
        <v>336</v>
      </c>
    </row>
    <row r="52" spans="1:4">
      <c r="A52" t="s">
        <v>388</v>
      </c>
      <c r="B52" t="s">
        <v>400</v>
      </c>
      <c r="C52">
        <f>AVERAGEIFS(desk_drift!C2:C78,desk_drift!A2:A78,"read")</f>
        <v>24.056133333333317</v>
      </c>
      <c r="D52" t="s">
        <v>401</v>
      </c>
    </row>
    <row r="53" spans="1:4">
      <c r="A53" t="s">
        <v>388</v>
      </c>
      <c r="B53" t="s">
        <v>402</v>
      </c>
      <c r="C53">
        <f>_xlfn.MAXIFS(desk_drift!C2:C78,desk_drift!A2:A78,"read")-_xlfn.MINIFS(desk_drift!C2:C78,desk_drift!A2:A78,"read")</f>
        <v>5.9999999999998721E-2</v>
      </c>
      <c r="D53" t="s">
        <v>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12</vt:i4>
      </vt:variant>
    </vt:vector>
  </HeadingPairs>
  <TitlesOfParts>
    <vt:vector size="12" baseType="lpstr">
      <vt:lpstr>elevator_wifi</vt:lpstr>
      <vt:lpstr>elevator_ble</vt:lpstr>
      <vt:lpstr>dist_wifi</vt:lpstr>
      <vt:lpstr>dist_ble</vt:lpstr>
      <vt:lpstr>idle_test</vt:lpstr>
      <vt:lpstr>operation_notes</vt:lpstr>
      <vt:lpstr>recalibration_points</vt:lpstr>
      <vt:lpstr>manual_test_points</vt:lpstr>
      <vt:lpstr>desk_drift</vt:lpstr>
      <vt:lpstr>floor_confusion</vt:lpstr>
      <vt:lpstr>Elevator Summary</vt:lpstr>
      <vt:lpstr>Barometer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Johanna Wörz</dc:creator>
  <cp:lastModifiedBy>Johanna Wörz</cp:lastModifiedBy>
  <dcterms:created xsi:type="dcterms:W3CDTF">2026-07-02T21:31:54Z</dcterms:created>
  <dcterms:modified xsi:type="dcterms:W3CDTF">2026-07-14T14:19:10Z</dcterms:modified>
</cp:coreProperties>
</file>